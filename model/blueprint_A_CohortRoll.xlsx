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Cohort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00"/>
    <numFmt numFmtId="166" formatCode="0.0000"/>
    <numFmt numFmtId="167" formatCode="+0.00;-0.00;0.00"/>
    <numFmt numFmtId="168" formatCode="0.0%"/>
    <numFmt numFmtId="169" formatCode="+0.000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color rgb="00595959"/>
      <sz val="10"/>
    </font>
    <font>
      <name val="Arial"/>
      <b val="1"/>
      <sz val="10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2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5" fontId="4" fillId="3" borderId="0" pivotButton="0" quotePrefix="0" xfId="0"/>
    <xf numFmtId="166" fontId="4" fillId="3" borderId="0" pivotButton="0" quotePrefix="0" xfId="0"/>
    <xf numFmtId="1" fontId="4" fillId="0" borderId="0" pivotButton="0" quotePrefix="0" xfId="0"/>
    <xf numFmtId="9" fontId="4" fillId="0" borderId="0" pivotButton="0" quotePrefix="0" xfId="0"/>
    <xf numFmtId="0" fontId="6" fillId="4" borderId="0" pivotButton="0" quotePrefix="0" xfId="0"/>
    <xf numFmtId="1" fontId="2" fillId="0" borderId="0" pivotButton="0" quotePrefix="0" xfId="0"/>
    <xf numFmtId="165" fontId="2" fillId="0" borderId="0" pivotButton="0" quotePrefix="0" xfId="0"/>
    <xf numFmtId="2" fontId="4" fillId="0" borderId="0" pivotButton="0" quotePrefix="0" xfId="0"/>
    <xf numFmtId="2" fontId="2" fillId="0" borderId="0" pivotButton="0" quotePrefix="0" xfId="0"/>
    <xf numFmtId="0" fontId="5" fillId="0" borderId="0" applyAlignment="1" pivotButton="0" quotePrefix="0" xfId="0">
      <alignment vertical="top" wrapText="1"/>
    </xf>
    <xf numFmtId="1" fontId="6" fillId="4" borderId="0" pivotButton="0" quotePrefix="0" xfId="0"/>
    <xf numFmtId="164" fontId="2" fillId="0" borderId="0" pivotButton="0" quotePrefix="0" xfId="0"/>
    <xf numFmtId="0" fontId="6" fillId="0" borderId="0" pivotButton="0" quotePrefix="0" xfId="0"/>
    <xf numFmtId="2" fontId="6" fillId="4" borderId="0" pivotButton="0" quotePrefix="0" xfId="0"/>
    <xf numFmtId="167" fontId="2" fillId="0" borderId="0" pivotButton="0" quotePrefix="0" xfId="0"/>
    <xf numFmtId="168" fontId="2" fillId="0" borderId="0" pivotButton="0" quotePrefix="0" xfId="0"/>
    <xf numFmtId="167" fontId="6" fillId="0" borderId="0" pivotButton="0" quotePrefix="0" xfId="0"/>
    <xf numFmtId="169" fontId="2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6" customWidth="1" min="2" max="2"/>
    <col width="13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</cols>
  <sheetData>
    <row r="1">
      <c r="A1" s="1" t="inlineStr">
        <is>
          <t>BLUEPRINT TAB — Mechanism A: Fleet cohort roll → baseline total-loss frequency</t>
        </is>
      </c>
    </row>
    <row r="2" ht="44" customHeight="1">
      <c r="A2" s="2" t="inlineStr">
        <is>
          <t>Every model year is a cohort of known size that ages through brackets with different totaling propensities. Baseline TLF(year) = Σ_cohorts [sales × survival(age) × claim-freq(age) × TL-propensity(age)] ÷ Σ [sales × survival × claim-freq]. This tab answers one question: how much of the TLF rise is DEMOGRAPHICS, versus everything else (repair-cost cycle, technology, the 2025 denominator artifact)?</t>
        </is>
      </c>
    </row>
    <row r="3" ht="44" customHeight="1">
      <c r="A3" s="2" t="inlineStr">
        <is>
          <t>Sources: cohort sizes = FRED TOTALNSA (light-vehicle sales, NSA, summed by calendar year) data/csv/fred_TOTALNSA.csv · TL-propensity anchors = CCC Crash Course (≈10% current MY; 45.3% at 13+ yrs; 70% of total losses are 7+ yrs) · avg fleet age 12.7 = S&amp;P Global Mobility 2025 · actual TLF = CCC all-loss, data/csv/ccc_tlf_annual.csv.   Colour: BLUE = input · BLACK = formula · YELLOW = calibrated to a stated anchor.</t>
        </is>
      </c>
    </row>
    <row r="5">
      <c r="A5" s="3" t="inlineStr">
        <is>
          <t>INPUTS  (one assumption per cell; source or note to the right)</t>
        </is>
      </c>
    </row>
    <row r="6">
      <c r="B6" s="4" t="inlineStr">
        <is>
          <t>Future model-year sales, 2026–2032 (M / yr)</t>
        </is>
      </c>
      <c r="C6" s="5" t="n">
        <v>16.5</v>
      </c>
      <c r="D6" s="6" t="inlineStr">
        <is>
          <t>ASSUMED — 2023–25 ran 16.0–16.7M</t>
        </is>
      </c>
    </row>
    <row r="7">
      <c r="B7" s="4" t="inlineStr">
        <is>
          <t>Survival curve centre (age at 50% survival, yrs)</t>
        </is>
      </c>
      <c r="C7" s="7" t="n">
        <v>25.652</v>
      </c>
      <c r="D7" s="6" t="inlineStr">
        <is>
          <t>CALIBRATED so 2025 avg fleet age = S&amp;P 12.7 (C12). Logistic S(a)=1/(1+EXP((a−centre)/scale))</t>
        </is>
      </c>
    </row>
    <row r="8">
      <c r="B8" s="4" t="inlineStr">
        <is>
          <t>Survival curve scale (yrs)</t>
        </is>
      </c>
      <c r="C8" s="5" t="n">
        <v>4</v>
      </c>
      <c r="D8" s="6" t="inlineStr">
        <is>
          <t>ASSUMED shape parameter</t>
        </is>
      </c>
    </row>
    <row r="9">
      <c r="B9" s="4" t="inlineStr">
        <is>
          <t>TL-propensity level multiplier</t>
        </is>
      </c>
      <c r="C9" s="8" t="n">
        <v>0.6991000000000001</v>
      </c>
      <c r="D9" s="6" t="inlineStr">
        <is>
          <t>CALIBRATED so 2019 baseline = CCC 19.2% (C10:C11). Curve SHAPE is the input; LEVEL is calibrated</t>
        </is>
      </c>
    </row>
    <row r="10">
      <c r="B10" s="4" t="inlineStr">
        <is>
          <t>Anchor year</t>
        </is>
      </c>
      <c r="C10" s="9" t="n">
        <v>2019</v>
      </c>
      <c r="D10" s="6" t="inlineStr">
        <is>
          <t>pre-COVID, pre-rate-shock</t>
        </is>
      </c>
    </row>
    <row r="11">
      <c r="B11" s="4" t="inlineStr">
        <is>
          <t>Anchor TLF, CCC all-loss (%)</t>
        </is>
      </c>
      <c r="C11" s="5" t="n">
        <v>19.2</v>
      </c>
      <c r="D11" s="6" t="inlineStr">
        <is>
          <t>CCC Crash Course; ccc_tlf_annual.csv</t>
        </is>
      </c>
    </row>
    <row r="12">
      <c r="B12" s="4" t="inlineStr">
        <is>
          <t>Check target: avg fleet age 2025 (yrs)</t>
        </is>
      </c>
      <c r="C12" s="5" t="n">
        <v>12.7</v>
      </c>
      <c r="D12" s="6" t="inlineStr">
        <is>
          <t>S&amp;P Global Mobility, 2025</t>
        </is>
      </c>
    </row>
    <row r="13">
      <c r="B13" s="4" t="inlineStr">
        <is>
          <t>Check target: share of total losses from vehicles 7+ yrs</t>
        </is>
      </c>
      <c r="C13" s="10" t="n">
        <v>0.7</v>
      </c>
      <c r="D13" s="6" t="inlineStr">
        <is>
          <t>CCC Crash Course</t>
        </is>
      </c>
    </row>
    <row r="15">
      <c r="A15" s="3" t="inlineStr">
        <is>
          <t>AGE CURVES  (rows = vehicle age 0–35)</t>
        </is>
      </c>
    </row>
    <row r="16">
      <c r="A16" s="11" t="inlineStr">
        <is>
          <t>Age (yrs)</t>
        </is>
      </c>
      <c r="B16" s="11" t="inlineStr">
        <is>
          <t>Survival S(a)</t>
        </is>
      </c>
      <c r="C16" s="11" t="inlineStr">
        <is>
          <t>Rel. insured-claim freq R(a)</t>
        </is>
      </c>
      <c r="D16" s="11" t="inlineStr">
        <is>
          <t>TL propensity, raw P(a) %</t>
        </is>
      </c>
      <c r="E16" s="11" t="inlineStr">
        <is>
          <t>P(a) calibrated %</t>
        </is>
      </c>
    </row>
    <row r="17">
      <c r="A17" s="12" t="n">
        <v>0</v>
      </c>
      <c r="B17" s="13">
        <f>1/(1+EXP((A17-$C$7)/$C$8))</f>
        <v/>
      </c>
      <c r="C17" s="14" t="n">
        <v>1</v>
      </c>
      <c r="D17" s="5" t="n">
        <v>10</v>
      </c>
      <c r="E17" s="15">
        <f>D17*$C$9</f>
        <v/>
      </c>
      <c r="G17" s="16" t="inlineStr">
        <is>
          <t>R(a): older cars are driven less and are often liability-only, so they generate fewer INSURED physical-damage claims. ASSUMED step function — flex it.</t>
        </is>
      </c>
    </row>
    <row r="18">
      <c r="A18" s="12" t="n">
        <v>1</v>
      </c>
      <c r="B18" s="13">
        <f>1/(1+EXP((A18-$C$7)/$C$8))</f>
        <v/>
      </c>
      <c r="C18" s="14" t="n">
        <v>1</v>
      </c>
      <c r="D18" s="5" t="n">
        <v>11</v>
      </c>
      <c r="E18" s="15">
        <f>D18*$C$9</f>
        <v/>
      </c>
    </row>
    <row r="19">
      <c r="A19" s="12" t="n">
        <v>2</v>
      </c>
      <c r="B19" s="13">
        <f>1/(1+EXP((A19-$C$7)/$C$8))</f>
        <v/>
      </c>
      <c r="C19" s="14" t="n">
        <v>1</v>
      </c>
      <c r="D19" s="5" t="n">
        <v>12</v>
      </c>
      <c r="E19" s="15">
        <f>D19*$C$9</f>
        <v/>
      </c>
    </row>
    <row r="20">
      <c r="A20" s="12" t="n">
        <v>3</v>
      </c>
      <c r="B20" s="13">
        <f>1/(1+EXP((A20-$C$7)/$C$8))</f>
        <v/>
      </c>
      <c r="C20" s="14" t="n">
        <v>1</v>
      </c>
      <c r="D20" s="5" t="n">
        <v>13.5</v>
      </c>
      <c r="E20" s="15">
        <f>D20*$C$9</f>
        <v/>
      </c>
    </row>
    <row r="21">
      <c r="A21" s="12" t="n">
        <v>4</v>
      </c>
      <c r="B21" s="13">
        <f>1/(1+EXP((A21-$C$7)/$C$8))</f>
        <v/>
      </c>
      <c r="C21" s="14" t="n">
        <v>1</v>
      </c>
      <c r="D21" s="5" t="n">
        <v>15</v>
      </c>
      <c r="E21" s="15">
        <f>D21*$C$9</f>
        <v/>
      </c>
      <c r="G21" s="16" t="inlineStr">
        <is>
          <t>P(a): probability a CLAIM on an age-a vehicle is a total loss. Anchors ≈10% (age 0) and ≈45% (13+) from CCC; points between are interpolated (ASSUMED). Held FIXED over time — so any TLF rise this tab does NOT produce is technology / cycle / measurement, not demographics.</t>
        </is>
      </c>
    </row>
    <row r="22">
      <c r="A22" s="12" t="n">
        <v>5</v>
      </c>
      <c r="B22" s="13">
        <f>1/(1+EXP((A22-$C$7)/$C$8))</f>
        <v/>
      </c>
      <c r="C22" s="14" t="n">
        <v>1</v>
      </c>
      <c r="D22" s="5" t="n">
        <v>17</v>
      </c>
      <c r="E22" s="15">
        <f>D22*$C$9</f>
        <v/>
      </c>
    </row>
    <row r="23">
      <c r="A23" s="12" t="n">
        <v>6</v>
      </c>
      <c r="B23" s="13">
        <f>1/(1+EXP((A23-$C$7)/$C$8))</f>
        <v/>
      </c>
      <c r="C23" s="14" t="n">
        <v>0.9</v>
      </c>
      <c r="D23" s="5" t="n">
        <v>19</v>
      </c>
      <c r="E23" s="15">
        <f>D23*$C$9</f>
        <v/>
      </c>
    </row>
    <row r="24">
      <c r="A24" s="12" t="n">
        <v>7</v>
      </c>
      <c r="B24" s="13">
        <f>1/(1+EXP((A24-$C$7)/$C$8))</f>
        <v/>
      </c>
      <c r="C24" s="14" t="n">
        <v>0.9</v>
      </c>
      <c r="D24" s="5" t="n">
        <v>22</v>
      </c>
      <c r="E24" s="15">
        <f>D24*$C$9</f>
        <v/>
      </c>
    </row>
    <row r="25">
      <c r="A25" s="12" t="n">
        <v>8</v>
      </c>
      <c r="B25" s="13">
        <f>1/(1+EXP((A25-$C$7)/$C$8))</f>
        <v/>
      </c>
      <c r="C25" s="14" t="n">
        <v>0.9</v>
      </c>
      <c r="D25" s="5" t="n">
        <v>25</v>
      </c>
      <c r="E25" s="15">
        <f>D25*$C$9</f>
        <v/>
      </c>
    </row>
    <row r="26">
      <c r="A26" s="12" t="n">
        <v>9</v>
      </c>
      <c r="B26" s="13">
        <f>1/(1+EXP((A26-$C$7)/$C$8))</f>
        <v/>
      </c>
      <c r="C26" s="14" t="n">
        <v>0.9</v>
      </c>
      <c r="D26" s="5" t="n">
        <v>28</v>
      </c>
      <c r="E26" s="15">
        <f>D26*$C$9</f>
        <v/>
      </c>
    </row>
    <row r="27">
      <c r="A27" s="12" t="n">
        <v>10</v>
      </c>
      <c r="B27" s="13">
        <f>1/(1+EXP((A27-$C$7)/$C$8))</f>
        <v/>
      </c>
      <c r="C27" s="14" t="n">
        <v>0.75</v>
      </c>
      <c r="D27" s="5" t="n">
        <v>31</v>
      </c>
      <c r="E27" s="15">
        <f>D27*$C$9</f>
        <v/>
      </c>
    </row>
    <row r="28">
      <c r="A28" s="12" t="n">
        <v>11</v>
      </c>
      <c r="B28" s="13">
        <f>1/(1+EXP((A28-$C$7)/$C$8))</f>
        <v/>
      </c>
      <c r="C28" s="14" t="n">
        <v>0.75</v>
      </c>
      <c r="D28" s="5" t="n">
        <v>35</v>
      </c>
      <c r="E28" s="15">
        <f>D28*$C$9</f>
        <v/>
      </c>
    </row>
    <row r="29">
      <c r="A29" s="12" t="n">
        <v>12</v>
      </c>
      <c r="B29" s="13">
        <f>1/(1+EXP((A29-$C$7)/$C$8))</f>
        <v/>
      </c>
      <c r="C29" s="14" t="n">
        <v>0.75</v>
      </c>
      <c r="D29" s="5" t="n">
        <v>39</v>
      </c>
      <c r="E29" s="15">
        <f>D29*$C$9</f>
        <v/>
      </c>
    </row>
    <row r="30">
      <c r="A30" s="12" t="n">
        <v>13</v>
      </c>
      <c r="B30" s="13">
        <f>1/(1+EXP((A30-$C$7)/$C$8))</f>
        <v/>
      </c>
      <c r="C30" s="14" t="n">
        <v>0.55</v>
      </c>
      <c r="D30" s="5" t="n">
        <v>43</v>
      </c>
      <c r="E30" s="15">
        <f>D30*$C$9</f>
        <v/>
      </c>
    </row>
    <row r="31">
      <c r="A31" s="12" t="n">
        <v>14</v>
      </c>
      <c r="B31" s="13">
        <f>1/(1+EXP((A31-$C$7)/$C$8))</f>
        <v/>
      </c>
      <c r="C31" s="14" t="n">
        <v>0.55</v>
      </c>
      <c r="D31" s="5" t="n">
        <v>45</v>
      </c>
      <c r="E31" s="15">
        <f>D31*$C$9</f>
        <v/>
      </c>
    </row>
    <row r="32">
      <c r="A32" s="12" t="n">
        <v>15</v>
      </c>
      <c r="B32" s="13">
        <f>1/(1+EXP((A32-$C$7)/$C$8))</f>
        <v/>
      </c>
      <c r="C32" s="14" t="n">
        <v>0.55</v>
      </c>
      <c r="D32" s="5" t="n">
        <v>47</v>
      </c>
      <c r="E32" s="15">
        <f>D32*$C$9</f>
        <v/>
      </c>
    </row>
    <row r="33">
      <c r="A33" s="12" t="n">
        <v>16</v>
      </c>
      <c r="B33" s="13">
        <f>1/(1+EXP((A33-$C$7)/$C$8))</f>
        <v/>
      </c>
      <c r="C33" s="14" t="n">
        <v>0.55</v>
      </c>
      <c r="D33" s="5" t="n">
        <v>48</v>
      </c>
      <c r="E33" s="15">
        <f>D33*$C$9</f>
        <v/>
      </c>
    </row>
    <row r="34">
      <c r="A34" s="12" t="n">
        <v>17</v>
      </c>
      <c r="B34" s="13">
        <f>1/(1+EXP((A34-$C$7)/$C$8))</f>
        <v/>
      </c>
      <c r="C34" s="14" t="n">
        <v>0.4</v>
      </c>
      <c r="D34" s="5" t="n">
        <v>48</v>
      </c>
      <c r="E34" s="15">
        <f>D34*$C$9</f>
        <v/>
      </c>
    </row>
    <row r="35">
      <c r="A35" s="12" t="n">
        <v>18</v>
      </c>
      <c r="B35" s="13">
        <f>1/(1+EXP((A35-$C$7)/$C$8))</f>
        <v/>
      </c>
      <c r="C35" s="14" t="n">
        <v>0.4</v>
      </c>
      <c r="D35" s="5" t="n">
        <v>48</v>
      </c>
      <c r="E35" s="15">
        <f>D35*$C$9</f>
        <v/>
      </c>
    </row>
    <row r="36">
      <c r="A36" s="12" t="n">
        <v>19</v>
      </c>
      <c r="B36" s="13">
        <f>1/(1+EXP((A36-$C$7)/$C$8))</f>
        <v/>
      </c>
      <c r="C36" s="14" t="n">
        <v>0.4</v>
      </c>
      <c r="D36" s="5" t="n">
        <v>48</v>
      </c>
      <c r="E36" s="15">
        <f>D36*$C$9</f>
        <v/>
      </c>
    </row>
    <row r="37">
      <c r="A37" s="12" t="n">
        <v>20</v>
      </c>
      <c r="B37" s="13">
        <f>1/(1+EXP((A37-$C$7)/$C$8))</f>
        <v/>
      </c>
      <c r="C37" s="14" t="n">
        <v>0.4</v>
      </c>
      <c r="D37" s="5" t="n">
        <v>48</v>
      </c>
      <c r="E37" s="15">
        <f>D37*$C$9</f>
        <v/>
      </c>
    </row>
    <row r="38">
      <c r="A38" s="12" t="n">
        <v>21</v>
      </c>
      <c r="B38" s="13">
        <f>1/(1+EXP((A38-$C$7)/$C$8))</f>
        <v/>
      </c>
      <c r="C38" s="14" t="n">
        <v>0.4</v>
      </c>
      <c r="D38" s="5" t="n">
        <v>48</v>
      </c>
      <c r="E38" s="15">
        <f>D38*$C$9</f>
        <v/>
      </c>
    </row>
    <row r="39">
      <c r="A39" s="12" t="n">
        <v>22</v>
      </c>
      <c r="B39" s="13">
        <f>1/(1+EXP((A39-$C$7)/$C$8))</f>
        <v/>
      </c>
      <c r="C39" s="14" t="n">
        <v>0.4</v>
      </c>
      <c r="D39" s="5" t="n">
        <v>48</v>
      </c>
      <c r="E39" s="15">
        <f>D39*$C$9</f>
        <v/>
      </c>
    </row>
    <row r="40">
      <c r="A40" s="12" t="n">
        <v>23</v>
      </c>
      <c r="B40" s="13">
        <f>1/(1+EXP((A40-$C$7)/$C$8))</f>
        <v/>
      </c>
      <c r="C40" s="14" t="n">
        <v>0.4</v>
      </c>
      <c r="D40" s="5" t="n">
        <v>48</v>
      </c>
      <c r="E40" s="15">
        <f>D40*$C$9</f>
        <v/>
      </c>
    </row>
    <row r="41">
      <c r="A41" s="12" t="n">
        <v>24</v>
      </c>
      <c r="B41" s="13">
        <f>1/(1+EXP((A41-$C$7)/$C$8))</f>
        <v/>
      </c>
      <c r="C41" s="14" t="n">
        <v>0.4</v>
      </c>
      <c r="D41" s="5" t="n">
        <v>48</v>
      </c>
      <c r="E41" s="15">
        <f>D41*$C$9</f>
        <v/>
      </c>
    </row>
    <row r="42">
      <c r="A42" s="12" t="n">
        <v>25</v>
      </c>
      <c r="B42" s="13">
        <f>1/(1+EXP((A42-$C$7)/$C$8))</f>
        <v/>
      </c>
      <c r="C42" s="14" t="n">
        <v>0.4</v>
      </c>
      <c r="D42" s="5" t="n">
        <v>48</v>
      </c>
      <c r="E42" s="15">
        <f>D42*$C$9</f>
        <v/>
      </c>
    </row>
    <row r="43">
      <c r="A43" s="12" t="n">
        <v>26</v>
      </c>
      <c r="B43" s="13">
        <f>1/(1+EXP((A43-$C$7)/$C$8))</f>
        <v/>
      </c>
      <c r="C43" s="14" t="n">
        <v>0.4</v>
      </c>
      <c r="D43" s="5" t="n">
        <v>48</v>
      </c>
      <c r="E43" s="15">
        <f>D43*$C$9</f>
        <v/>
      </c>
    </row>
    <row r="44">
      <c r="A44" s="12" t="n">
        <v>27</v>
      </c>
      <c r="B44" s="13">
        <f>1/(1+EXP((A44-$C$7)/$C$8))</f>
        <v/>
      </c>
      <c r="C44" s="14" t="n">
        <v>0.4</v>
      </c>
      <c r="D44" s="5" t="n">
        <v>48</v>
      </c>
      <c r="E44" s="15">
        <f>D44*$C$9</f>
        <v/>
      </c>
    </row>
    <row r="45">
      <c r="A45" s="12" t="n">
        <v>28</v>
      </c>
      <c r="B45" s="13">
        <f>1/(1+EXP((A45-$C$7)/$C$8))</f>
        <v/>
      </c>
      <c r="C45" s="14" t="n">
        <v>0.4</v>
      </c>
      <c r="D45" s="5" t="n">
        <v>48</v>
      </c>
      <c r="E45" s="15">
        <f>D45*$C$9</f>
        <v/>
      </c>
    </row>
    <row r="46">
      <c r="A46" s="12" t="n">
        <v>29</v>
      </c>
      <c r="B46" s="13">
        <f>1/(1+EXP((A46-$C$7)/$C$8))</f>
        <v/>
      </c>
      <c r="C46" s="14" t="n">
        <v>0.4</v>
      </c>
      <c r="D46" s="5" t="n">
        <v>48</v>
      </c>
      <c r="E46" s="15">
        <f>D46*$C$9</f>
        <v/>
      </c>
    </row>
    <row r="47">
      <c r="A47" s="12" t="n">
        <v>30</v>
      </c>
      <c r="B47" s="13">
        <f>1/(1+EXP((A47-$C$7)/$C$8))</f>
        <v/>
      </c>
      <c r="C47" s="14" t="n">
        <v>0.4</v>
      </c>
      <c r="D47" s="5" t="n">
        <v>48</v>
      </c>
      <c r="E47" s="15">
        <f>D47*$C$9</f>
        <v/>
      </c>
    </row>
    <row r="48">
      <c r="A48" s="12" t="n">
        <v>31</v>
      </c>
      <c r="B48" s="13">
        <f>1/(1+EXP((A48-$C$7)/$C$8))</f>
        <v/>
      </c>
      <c r="C48" s="14" t="n">
        <v>0.4</v>
      </c>
      <c r="D48" s="5" t="n">
        <v>48</v>
      </c>
      <c r="E48" s="15">
        <f>D48*$C$9</f>
        <v/>
      </c>
    </row>
    <row r="49">
      <c r="A49" s="12" t="n">
        <v>32</v>
      </c>
      <c r="B49" s="13">
        <f>1/(1+EXP((A49-$C$7)/$C$8))</f>
        <v/>
      </c>
      <c r="C49" s="14" t="n">
        <v>0.4</v>
      </c>
      <c r="D49" s="5" t="n">
        <v>48</v>
      </c>
      <c r="E49" s="15">
        <f>D49*$C$9</f>
        <v/>
      </c>
    </row>
    <row r="50">
      <c r="A50" s="12" t="n">
        <v>33</v>
      </c>
      <c r="B50" s="13">
        <f>1/(1+EXP((A50-$C$7)/$C$8))</f>
        <v/>
      </c>
      <c r="C50" s="14" t="n">
        <v>0.4</v>
      </c>
      <c r="D50" s="5" t="n">
        <v>48</v>
      </c>
      <c r="E50" s="15">
        <f>D50*$C$9</f>
        <v/>
      </c>
    </row>
    <row r="51">
      <c r="A51" s="12" t="n">
        <v>34</v>
      </c>
      <c r="B51" s="13">
        <f>1/(1+EXP((A51-$C$7)/$C$8))</f>
        <v/>
      </c>
      <c r="C51" s="14" t="n">
        <v>0.4</v>
      </c>
      <c r="D51" s="5" t="n">
        <v>48</v>
      </c>
      <c r="E51" s="15">
        <f>D51*$C$9</f>
        <v/>
      </c>
    </row>
    <row r="52">
      <c r="A52" s="12" t="n">
        <v>35</v>
      </c>
      <c r="B52" s="13">
        <f>1/(1+EXP((A52-$C$7)/$C$8))</f>
        <v/>
      </c>
      <c r="C52" s="14" t="n">
        <v>0.4</v>
      </c>
      <c r="D52" s="5" t="n">
        <v>48</v>
      </c>
      <c r="E52" s="15">
        <f>D52*$C$9</f>
        <v/>
      </c>
    </row>
    <row r="55">
      <c r="A55" s="3" t="inlineStr">
        <is>
          <t>COHORT SIZES  (rows = model year)</t>
        </is>
      </c>
    </row>
    <row r="56">
      <c r="A56" s="11" t="inlineStr">
        <is>
          <t>Model year</t>
        </is>
      </c>
      <c r="B56" s="11" t="inlineStr">
        <is>
          <t>Sales (M)</t>
        </is>
      </c>
      <c r="C56" s="11" t="inlineStr">
        <is>
          <t>Source</t>
        </is>
      </c>
    </row>
    <row r="57">
      <c r="A57" s="12" t="n">
        <v>1995</v>
      </c>
      <c r="B57" s="14" t="n">
        <v>15.12</v>
      </c>
      <c r="C57" s="6" t="inlineStr">
        <is>
          <t>FRED TOTALNSA</t>
        </is>
      </c>
    </row>
    <row r="58">
      <c r="A58" s="12" t="n">
        <v>1996</v>
      </c>
      <c r="B58" s="14" t="n">
        <v>15.46</v>
      </c>
      <c r="C58" s="6" t="inlineStr">
        <is>
          <t>FRED TOTALNSA</t>
        </is>
      </c>
    </row>
    <row r="59">
      <c r="A59" s="12" t="n">
        <v>1997</v>
      </c>
      <c r="B59" s="14" t="n">
        <v>15.5</v>
      </c>
      <c r="C59" s="6" t="inlineStr">
        <is>
          <t>FRED TOTALNSA</t>
        </is>
      </c>
    </row>
    <row r="60">
      <c r="A60" s="12" t="n">
        <v>1998</v>
      </c>
      <c r="B60" s="14" t="n">
        <v>15.97</v>
      </c>
      <c r="C60" s="6" t="inlineStr">
        <is>
          <t>FRED TOTALNSA</t>
        </is>
      </c>
    </row>
    <row r="61">
      <c r="A61" s="12" t="n">
        <v>1999</v>
      </c>
      <c r="B61" s="14" t="n">
        <v>17.41</v>
      </c>
      <c r="C61" s="6" t="inlineStr">
        <is>
          <t>FRED TOTALNSA</t>
        </is>
      </c>
    </row>
    <row r="62">
      <c r="A62" s="12" t="n">
        <v>2000</v>
      </c>
      <c r="B62" s="14" t="n">
        <v>17.81</v>
      </c>
      <c r="C62" s="6" t="inlineStr">
        <is>
          <t>FRED TOTALNSA</t>
        </is>
      </c>
    </row>
    <row r="63">
      <c r="A63" s="12" t="n">
        <v>2001</v>
      </c>
      <c r="B63" s="14" t="n">
        <v>17.47</v>
      </c>
      <c r="C63" s="6" t="inlineStr">
        <is>
          <t>FRED TOTALNSA</t>
        </is>
      </c>
    </row>
    <row r="64">
      <c r="A64" s="12" t="n">
        <v>2002</v>
      </c>
      <c r="B64" s="14" t="n">
        <v>17.14</v>
      </c>
      <c r="C64" s="6" t="inlineStr">
        <is>
          <t>FRED TOTALNSA</t>
        </is>
      </c>
    </row>
    <row r="65">
      <c r="A65" s="12" t="n">
        <v>2003</v>
      </c>
      <c r="B65" s="14" t="n">
        <v>16.97</v>
      </c>
      <c r="C65" s="6" t="inlineStr">
        <is>
          <t>FRED TOTALNSA</t>
        </is>
      </c>
    </row>
    <row r="66">
      <c r="A66" s="12" t="n">
        <v>2004</v>
      </c>
      <c r="B66" s="14" t="n">
        <v>17.3</v>
      </c>
      <c r="C66" s="6" t="inlineStr">
        <is>
          <t>FRED TOTALNSA</t>
        </is>
      </c>
    </row>
    <row r="67">
      <c r="A67" s="12" t="n">
        <v>2005</v>
      </c>
      <c r="B67" s="14" t="n">
        <v>17.44</v>
      </c>
      <c r="C67" s="6" t="inlineStr">
        <is>
          <t>FRED TOTALNSA</t>
        </is>
      </c>
    </row>
    <row r="68">
      <c r="A68" s="12" t="n">
        <v>2006</v>
      </c>
      <c r="B68" s="14" t="n">
        <v>17.05</v>
      </c>
      <c r="C68" s="6" t="inlineStr">
        <is>
          <t>FRED TOTALNSA</t>
        </is>
      </c>
    </row>
    <row r="69">
      <c r="A69" s="12" t="n">
        <v>2007</v>
      </c>
      <c r="B69" s="14" t="n">
        <v>16.46</v>
      </c>
      <c r="C69" s="6" t="inlineStr">
        <is>
          <t>FRED TOTALNSA</t>
        </is>
      </c>
    </row>
    <row r="70">
      <c r="A70" s="12" t="n">
        <v>2008</v>
      </c>
      <c r="B70" s="14" t="n">
        <v>13.49</v>
      </c>
      <c r="C70" s="6" t="inlineStr">
        <is>
          <t>FRED TOTALNSA</t>
        </is>
      </c>
    </row>
    <row r="71">
      <c r="A71" s="12" t="n">
        <v>2009</v>
      </c>
      <c r="B71" s="14" t="n">
        <v>10.6</v>
      </c>
      <c r="C71" s="6" t="inlineStr">
        <is>
          <t>FRED TOTALNSA</t>
        </is>
      </c>
    </row>
    <row r="72">
      <c r="A72" s="12" t="n">
        <v>2010</v>
      </c>
      <c r="B72" s="14" t="n">
        <v>11.77</v>
      </c>
      <c r="C72" s="6" t="inlineStr">
        <is>
          <t>FRED TOTALNSA</t>
        </is>
      </c>
    </row>
    <row r="73">
      <c r="A73" s="12" t="n">
        <v>2011</v>
      </c>
      <c r="B73" s="14" t="n">
        <v>13.05</v>
      </c>
      <c r="C73" s="6" t="inlineStr">
        <is>
          <t>FRED TOTALNSA</t>
        </is>
      </c>
    </row>
    <row r="74">
      <c r="A74" s="12" t="n">
        <v>2012</v>
      </c>
      <c r="B74" s="14" t="n">
        <v>14.78</v>
      </c>
      <c r="C74" s="6" t="inlineStr">
        <is>
          <t>FRED TOTALNSA</t>
        </is>
      </c>
    </row>
    <row r="75">
      <c r="A75" s="12" t="n">
        <v>2013</v>
      </c>
      <c r="B75" s="14" t="n">
        <v>15.88</v>
      </c>
      <c r="C75" s="6" t="inlineStr">
        <is>
          <t>FRED TOTALNSA</t>
        </is>
      </c>
    </row>
    <row r="76">
      <c r="A76" s="12" t="n">
        <v>2014</v>
      </c>
      <c r="B76" s="14" t="n">
        <v>16.86</v>
      </c>
      <c r="C76" s="6" t="inlineStr">
        <is>
          <t>FRED TOTALNSA</t>
        </is>
      </c>
    </row>
    <row r="77">
      <c r="A77" s="12" t="n">
        <v>2015</v>
      </c>
      <c r="B77" s="14" t="n">
        <v>17.86</v>
      </c>
      <c r="C77" s="6" t="inlineStr">
        <is>
          <t>FRED TOTALNSA</t>
        </is>
      </c>
    </row>
    <row r="78">
      <c r="A78" s="12" t="n">
        <v>2016</v>
      </c>
      <c r="B78" s="14" t="n">
        <v>17.88</v>
      </c>
      <c r="C78" s="6" t="inlineStr">
        <is>
          <t>FRED TOTALNSA</t>
        </is>
      </c>
    </row>
    <row r="79">
      <c r="A79" s="12" t="n">
        <v>2017</v>
      </c>
      <c r="B79" s="14" t="n">
        <v>17.57</v>
      </c>
      <c r="C79" s="6" t="inlineStr">
        <is>
          <t>FRED TOTALNSA</t>
        </is>
      </c>
    </row>
    <row r="80">
      <c r="A80" s="12" t="n">
        <v>2018</v>
      </c>
      <c r="B80" s="14" t="n">
        <v>17.71</v>
      </c>
      <c r="C80" s="6" t="inlineStr">
        <is>
          <t>FRED TOTALNSA</t>
        </is>
      </c>
    </row>
    <row r="81">
      <c r="A81" s="12" t="n">
        <v>2019</v>
      </c>
      <c r="B81" s="14" t="n">
        <v>17.49</v>
      </c>
      <c r="C81" s="6" t="inlineStr">
        <is>
          <t>FRED TOTALNSA</t>
        </is>
      </c>
    </row>
    <row r="82">
      <c r="A82" s="12" t="n">
        <v>2020</v>
      </c>
      <c r="B82" s="14" t="n">
        <v>14.88</v>
      </c>
      <c r="C82" s="6" t="inlineStr">
        <is>
          <t>FRED TOTALNSA</t>
        </is>
      </c>
    </row>
    <row r="83">
      <c r="A83" s="12" t="n">
        <v>2021</v>
      </c>
      <c r="B83" s="14" t="n">
        <v>15.41</v>
      </c>
      <c r="C83" s="6" t="inlineStr">
        <is>
          <t>FRED TOTALNSA</t>
        </is>
      </c>
    </row>
    <row r="84">
      <c r="A84" s="12" t="n">
        <v>2022</v>
      </c>
      <c r="B84" s="14" t="n">
        <v>14.23</v>
      </c>
      <c r="C84" s="6" t="inlineStr">
        <is>
          <t>FRED TOTALNSA</t>
        </is>
      </c>
    </row>
    <row r="85">
      <c r="A85" s="12" t="n">
        <v>2023</v>
      </c>
      <c r="B85" s="14" t="n">
        <v>16.01</v>
      </c>
      <c r="C85" s="6" t="inlineStr">
        <is>
          <t>FRED TOTALNSA</t>
        </is>
      </c>
    </row>
    <row r="86">
      <c r="A86" s="12" t="n">
        <v>2024</v>
      </c>
      <c r="B86" s="14" t="n">
        <v>16.33</v>
      </c>
      <c r="C86" s="6" t="inlineStr">
        <is>
          <t>FRED TOTALNSA</t>
        </is>
      </c>
    </row>
    <row r="87">
      <c r="A87" s="12" t="n">
        <v>2025</v>
      </c>
      <c r="B87" s="14" t="n">
        <v>16.68</v>
      </c>
      <c r="C87" s="6" t="inlineStr">
        <is>
          <t>FRED TOTALNSA</t>
        </is>
      </c>
    </row>
    <row r="88">
      <c r="A88" s="12" t="n">
        <v>2026</v>
      </c>
      <c r="B88" s="15">
        <f>$C$6</f>
        <v/>
      </c>
      <c r="C88" s="6">
        <f> input C6</f>
        <v/>
      </c>
    </row>
    <row r="89">
      <c r="A89" s="12" t="n">
        <v>2027</v>
      </c>
      <c r="B89" s="15">
        <f>$C$6</f>
        <v/>
      </c>
      <c r="C89" s="6">
        <f> input C6</f>
        <v/>
      </c>
    </row>
    <row r="90">
      <c r="A90" s="12" t="n">
        <v>2028</v>
      </c>
      <c r="B90" s="15">
        <f>$C$6</f>
        <v/>
      </c>
      <c r="C90" s="6">
        <f> input C6</f>
        <v/>
      </c>
    </row>
    <row r="91">
      <c r="A91" s="12" t="n">
        <v>2029</v>
      </c>
      <c r="B91" s="15">
        <f>$C$6</f>
        <v/>
      </c>
      <c r="C91" s="6">
        <f> input C6</f>
        <v/>
      </c>
    </row>
    <row r="92">
      <c r="A92" s="12" t="n">
        <v>2030</v>
      </c>
      <c r="B92" s="15">
        <f>$C$6</f>
        <v/>
      </c>
      <c r="C92" s="6">
        <f> input C6</f>
        <v/>
      </c>
    </row>
    <row r="93">
      <c r="A93" s="12" t="n">
        <v>2031</v>
      </c>
      <c r="B93" s="15">
        <f>$C$6</f>
        <v/>
      </c>
      <c r="C93" s="6">
        <f> input C6</f>
        <v/>
      </c>
    </row>
    <row r="94">
      <c r="A94" s="12" t="n">
        <v>2032</v>
      </c>
      <c r="B94" s="15">
        <f>$C$6</f>
        <v/>
      </c>
      <c r="C94" s="6">
        <f> input C6</f>
        <v/>
      </c>
    </row>
    <row r="98">
      <c r="A98" s="3" t="inlineStr">
        <is>
          <t>MATRIX 1 — Fleet weight = sales(MY) × S(age),   age = calendar year − model year</t>
        </is>
      </c>
    </row>
    <row r="99">
      <c r="A99" s="11" t="inlineStr">
        <is>
          <t>Model year</t>
        </is>
      </c>
      <c r="B99" s="11" t="inlineStr">
        <is>
          <t>Sales (M)</t>
        </is>
      </c>
      <c r="D99" s="17" t="n">
        <v>2018</v>
      </c>
      <c r="E99" s="17" t="n">
        <v>2019</v>
      </c>
      <c r="F99" s="17" t="n">
        <v>2020</v>
      </c>
      <c r="G99" s="17" t="n">
        <v>2021</v>
      </c>
      <c r="H99" s="17" t="n">
        <v>2022</v>
      </c>
      <c r="I99" s="17" t="n">
        <v>2023</v>
      </c>
      <c r="J99" s="17" t="n">
        <v>2024</v>
      </c>
      <c r="K99" s="17" t="n">
        <v>2025</v>
      </c>
      <c r="L99" s="17" t="n">
        <v>2026</v>
      </c>
      <c r="M99" s="17" t="n">
        <v>2027</v>
      </c>
      <c r="N99" s="17" t="n">
        <v>2028</v>
      </c>
      <c r="O99" s="17" t="n">
        <v>2029</v>
      </c>
      <c r="P99" s="17" t="n">
        <v>2030</v>
      </c>
      <c r="Q99" s="17" t="n">
        <v>2031</v>
      </c>
      <c r="R99" s="17" t="n">
        <v>2032</v>
      </c>
    </row>
    <row r="100">
      <c r="A100" s="12">
        <f>A57</f>
        <v/>
      </c>
      <c r="B100" s="15">
        <f>B57</f>
        <v/>
      </c>
      <c r="D100" s="13">
        <f>IF(OR(D$99-$A100&lt;0,D$99-$A100&gt;35),0,$B100*INDEX($B$17:$B$52,D$99-$A100+1))</f>
        <v/>
      </c>
      <c r="E100" s="13">
        <f>IF(OR(E$99-$A100&lt;0,E$99-$A100&gt;35),0,$B100*INDEX($B$17:$B$52,E$99-$A100+1))</f>
        <v/>
      </c>
      <c r="F100" s="13">
        <f>IF(OR(F$99-$A100&lt;0,F$99-$A100&gt;35),0,$B100*INDEX($B$17:$B$52,F$99-$A100+1))</f>
        <v/>
      </c>
      <c r="G100" s="13">
        <f>IF(OR(G$99-$A100&lt;0,G$99-$A100&gt;35),0,$B100*INDEX($B$17:$B$52,G$99-$A100+1))</f>
        <v/>
      </c>
      <c r="H100" s="13">
        <f>IF(OR(H$99-$A100&lt;0,H$99-$A100&gt;35),0,$B100*INDEX($B$17:$B$52,H$99-$A100+1))</f>
        <v/>
      </c>
      <c r="I100" s="13">
        <f>IF(OR(I$99-$A100&lt;0,I$99-$A100&gt;35),0,$B100*INDEX($B$17:$B$52,I$99-$A100+1))</f>
        <v/>
      </c>
      <c r="J100" s="13">
        <f>IF(OR(J$99-$A100&lt;0,J$99-$A100&gt;35),0,$B100*INDEX($B$17:$B$52,J$99-$A100+1))</f>
        <v/>
      </c>
      <c r="K100" s="13">
        <f>IF(OR(K$99-$A100&lt;0,K$99-$A100&gt;35),0,$B100*INDEX($B$17:$B$52,K$99-$A100+1))</f>
        <v/>
      </c>
      <c r="L100" s="13">
        <f>IF(OR(L$99-$A100&lt;0,L$99-$A100&gt;35),0,$B100*INDEX($B$17:$B$52,L$99-$A100+1))</f>
        <v/>
      </c>
      <c r="M100" s="13">
        <f>IF(OR(M$99-$A100&lt;0,M$99-$A100&gt;35),0,$B100*INDEX($B$17:$B$52,M$99-$A100+1))</f>
        <v/>
      </c>
      <c r="N100" s="13">
        <f>IF(OR(N$99-$A100&lt;0,N$99-$A100&gt;35),0,$B100*INDEX($B$17:$B$52,N$99-$A100+1))</f>
        <v/>
      </c>
      <c r="O100" s="13">
        <f>IF(OR(O$99-$A100&lt;0,O$99-$A100&gt;35),0,$B100*INDEX($B$17:$B$52,O$99-$A100+1))</f>
        <v/>
      </c>
      <c r="P100" s="13">
        <f>IF(OR(P$99-$A100&lt;0,P$99-$A100&gt;35),0,$B100*INDEX($B$17:$B$52,P$99-$A100+1))</f>
        <v/>
      </c>
      <c r="Q100" s="13">
        <f>IF(OR(Q$99-$A100&lt;0,Q$99-$A100&gt;35),0,$B100*INDEX($B$17:$B$52,Q$99-$A100+1))</f>
        <v/>
      </c>
      <c r="R100" s="13">
        <f>IF(OR(R$99-$A100&lt;0,R$99-$A100&gt;35),0,$B100*INDEX($B$17:$B$52,R$99-$A100+1))</f>
        <v/>
      </c>
    </row>
    <row r="101">
      <c r="A101" s="12">
        <f>A58</f>
        <v/>
      </c>
      <c r="B101" s="15">
        <f>B58</f>
        <v/>
      </c>
      <c r="D101" s="13">
        <f>IF(OR(D$99-$A101&lt;0,D$99-$A101&gt;35),0,$B101*INDEX($B$17:$B$52,D$99-$A101+1))</f>
        <v/>
      </c>
      <c r="E101" s="13">
        <f>IF(OR(E$99-$A101&lt;0,E$99-$A101&gt;35),0,$B101*INDEX($B$17:$B$52,E$99-$A101+1))</f>
        <v/>
      </c>
      <c r="F101" s="13">
        <f>IF(OR(F$99-$A101&lt;0,F$99-$A101&gt;35),0,$B101*INDEX($B$17:$B$52,F$99-$A101+1))</f>
        <v/>
      </c>
      <c r="G101" s="13">
        <f>IF(OR(G$99-$A101&lt;0,G$99-$A101&gt;35),0,$B101*INDEX($B$17:$B$52,G$99-$A101+1))</f>
        <v/>
      </c>
      <c r="H101" s="13">
        <f>IF(OR(H$99-$A101&lt;0,H$99-$A101&gt;35),0,$B101*INDEX($B$17:$B$52,H$99-$A101+1))</f>
        <v/>
      </c>
      <c r="I101" s="13">
        <f>IF(OR(I$99-$A101&lt;0,I$99-$A101&gt;35),0,$B101*INDEX($B$17:$B$52,I$99-$A101+1))</f>
        <v/>
      </c>
      <c r="J101" s="13">
        <f>IF(OR(J$99-$A101&lt;0,J$99-$A101&gt;35),0,$B101*INDEX($B$17:$B$52,J$99-$A101+1))</f>
        <v/>
      </c>
      <c r="K101" s="13">
        <f>IF(OR(K$99-$A101&lt;0,K$99-$A101&gt;35),0,$B101*INDEX($B$17:$B$52,K$99-$A101+1))</f>
        <v/>
      </c>
      <c r="L101" s="13">
        <f>IF(OR(L$99-$A101&lt;0,L$99-$A101&gt;35),0,$B101*INDEX($B$17:$B$52,L$99-$A101+1))</f>
        <v/>
      </c>
      <c r="M101" s="13">
        <f>IF(OR(M$99-$A101&lt;0,M$99-$A101&gt;35),0,$B101*INDEX($B$17:$B$52,M$99-$A101+1))</f>
        <v/>
      </c>
      <c r="N101" s="13">
        <f>IF(OR(N$99-$A101&lt;0,N$99-$A101&gt;35),0,$B101*INDEX($B$17:$B$52,N$99-$A101+1))</f>
        <v/>
      </c>
      <c r="O101" s="13">
        <f>IF(OR(O$99-$A101&lt;0,O$99-$A101&gt;35),0,$B101*INDEX($B$17:$B$52,O$99-$A101+1))</f>
        <v/>
      </c>
      <c r="P101" s="13">
        <f>IF(OR(P$99-$A101&lt;0,P$99-$A101&gt;35),0,$B101*INDEX($B$17:$B$52,P$99-$A101+1))</f>
        <v/>
      </c>
      <c r="Q101" s="13">
        <f>IF(OR(Q$99-$A101&lt;0,Q$99-$A101&gt;35),0,$B101*INDEX($B$17:$B$52,Q$99-$A101+1))</f>
        <v/>
      </c>
      <c r="R101" s="13">
        <f>IF(OR(R$99-$A101&lt;0,R$99-$A101&gt;35),0,$B101*INDEX($B$17:$B$52,R$99-$A101+1))</f>
        <v/>
      </c>
    </row>
    <row r="102">
      <c r="A102" s="12">
        <f>A59</f>
        <v/>
      </c>
      <c r="B102" s="15">
        <f>B59</f>
        <v/>
      </c>
      <c r="D102" s="13">
        <f>IF(OR(D$99-$A102&lt;0,D$99-$A102&gt;35),0,$B102*INDEX($B$17:$B$52,D$99-$A102+1))</f>
        <v/>
      </c>
      <c r="E102" s="13">
        <f>IF(OR(E$99-$A102&lt;0,E$99-$A102&gt;35),0,$B102*INDEX($B$17:$B$52,E$99-$A102+1))</f>
        <v/>
      </c>
      <c r="F102" s="13">
        <f>IF(OR(F$99-$A102&lt;0,F$99-$A102&gt;35),0,$B102*INDEX($B$17:$B$52,F$99-$A102+1))</f>
        <v/>
      </c>
      <c r="G102" s="13">
        <f>IF(OR(G$99-$A102&lt;0,G$99-$A102&gt;35),0,$B102*INDEX($B$17:$B$52,G$99-$A102+1))</f>
        <v/>
      </c>
      <c r="H102" s="13">
        <f>IF(OR(H$99-$A102&lt;0,H$99-$A102&gt;35),0,$B102*INDEX($B$17:$B$52,H$99-$A102+1))</f>
        <v/>
      </c>
      <c r="I102" s="13">
        <f>IF(OR(I$99-$A102&lt;0,I$99-$A102&gt;35),0,$B102*INDEX($B$17:$B$52,I$99-$A102+1))</f>
        <v/>
      </c>
      <c r="J102" s="13">
        <f>IF(OR(J$99-$A102&lt;0,J$99-$A102&gt;35),0,$B102*INDEX($B$17:$B$52,J$99-$A102+1))</f>
        <v/>
      </c>
      <c r="K102" s="13">
        <f>IF(OR(K$99-$A102&lt;0,K$99-$A102&gt;35),0,$B102*INDEX($B$17:$B$52,K$99-$A102+1))</f>
        <v/>
      </c>
      <c r="L102" s="13">
        <f>IF(OR(L$99-$A102&lt;0,L$99-$A102&gt;35),0,$B102*INDEX($B$17:$B$52,L$99-$A102+1))</f>
        <v/>
      </c>
      <c r="M102" s="13">
        <f>IF(OR(M$99-$A102&lt;0,M$99-$A102&gt;35),0,$B102*INDEX($B$17:$B$52,M$99-$A102+1))</f>
        <v/>
      </c>
      <c r="N102" s="13">
        <f>IF(OR(N$99-$A102&lt;0,N$99-$A102&gt;35),0,$B102*INDEX($B$17:$B$52,N$99-$A102+1))</f>
        <v/>
      </c>
      <c r="O102" s="13">
        <f>IF(OR(O$99-$A102&lt;0,O$99-$A102&gt;35),0,$B102*INDEX($B$17:$B$52,O$99-$A102+1))</f>
        <v/>
      </c>
      <c r="P102" s="13">
        <f>IF(OR(P$99-$A102&lt;0,P$99-$A102&gt;35),0,$B102*INDEX($B$17:$B$52,P$99-$A102+1))</f>
        <v/>
      </c>
      <c r="Q102" s="13">
        <f>IF(OR(Q$99-$A102&lt;0,Q$99-$A102&gt;35),0,$B102*INDEX($B$17:$B$52,Q$99-$A102+1))</f>
        <v/>
      </c>
      <c r="R102" s="13">
        <f>IF(OR(R$99-$A102&lt;0,R$99-$A102&gt;35),0,$B102*INDEX($B$17:$B$52,R$99-$A102+1))</f>
        <v/>
      </c>
    </row>
    <row r="103">
      <c r="A103" s="12">
        <f>A60</f>
        <v/>
      </c>
      <c r="B103" s="15">
        <f>B60</f>
        <v/>
      </c>
      <c r="D103" s="13">
        <f>IF(OR(D$99-$A103&lt;0,D$99-$A103&gt;35),0,$B103*INDEX($B$17:$B$52,D$99-$A103+1))</f>
        <v/>
      </c>
      <c r="E103" s="13">
        <f>IF(OR(E$99-$A103&lt;0,E$99-$A103&gt;35),0,$B103*INDEX($B$17:$B$52,E$99-$A103+1))</f>
        <v/>
      </c>
      <c r="F103" s="13">
        <f>IF(OR(F$99-$A103&lt;0,F$99-$A103&gt;35),0,$B103*INDEX($B$17:$B$52,F$99-$A103+1))</f>
        <v/>
      </c>
      <c r="G103" s="13">
        <f>IF(OR(G$99-$A103&lt;0,G$99-$A103&gt;35),0,$B103*INDEX($B$17:$B$52,G$99-$A103+1))</f>
        <v/>
      </c>
      <c r="H103" s="13">
        <f>IF(OR(H$99-$A103&lt;0,H$99-$A103&gt;35),0,$B103*INDEX($B$17:$B$52,H$99-$A103+1))</f>
        <v/>
      </c>
      <c r="I103" s="13">
        <f>IF(OR(I$99-$A103&lt;0,I$99-$A103&gt;35),0,$B103*INDEX($B$17:$B$52,I$99-$A103+1))</f>
        <v/>
      </c>
      <c r="J103" s="13">
        <f>IF(OR(J$99-$A103&lt;0,J$99-$A103&gt;35),0,$B103*INDEX($B$17:$B$52,J$99-$A103+1))</f>
        <v/>
      </c>
      <c r="K103" s="13">
        <f>IF(OR(K$99-$A103&lt;0,K$99-$A103&gt;35),0,$B103*INDEX($B$17:$B$52,K$99-$A103+1))</f>
        <v/>
      </c>
      <c r="L103" s="13">
        <f>IF(OR(L$99-$A103&lt;0,L$99-$A103&gt;35),0,$B103*INDEX($B$17:$B$52,L$99-$A103+1))</f>
        <v/>
      </c>
      <c r="M103" s="13">
        <f>IF(OR(M$99-$A103&lt;0,M$99-$A103&gt;35),0,$B103*INDEX($B$17:$B$52,M$99-$A103+1))</f>
        <v/>
      </c>
      <c r="N103" s="13">
        <f>IF(OR(N$99-$A103&lt;0,N$99-$A103&gt;35),0,$B103*INDEX($B$17:$B$52,N$99-$A103+1))</f>
        <v/>
      </c>
      <c r="O103" s="13">
        <f>IF(OR(O$99-$A103&lt;0,O$99-$A103&gt;35),0,$B103*INDEX($B$17:$B$52,O$99-$A103+1))</f>
        <v/>
      </c>
      <c r="P103" s="13">
        <f>IF(OR(P$99-$A103&lt;0,P$99-$A103&gt;35),0,$B103*INDEX($B$17:$B$52,P$99-$A103+1))</f>
        <v/>
      </c>
      <c r="Q103" s="13">
        <f>IF(OR(Q$99-$A103&lt;0,Q$99-$A103&gt;35),0,$B103*INDEX($B$17:$B$52,Q$99-$A103+1))</f>
        <v/>
      </c>
      <c r="R103" s="13">
        <f>IF(OR(R$99-$A103&lt;0,R$99-$A103&gt;35),0,$B103*INDEX($B$17:$B$52,R$99-$A103+1))</f>
        <v/>
      </c>
    </row>
    <row r="104">
      <c r="A104" s="12">
        <f>A61</f>
        <v/>
      </c>
      <c r="B104" s="15">
        <f>B61</f>
        <v/>
      </c>
      <c r="D104" s="13">
        <f>IF(OR(D$99-$A104&lt;0,D$99-$A104&gt;35),0,$B104*INDEX($B$17:$B$52,D$99-$A104+1))</f>
        <v/>
      </c>
      <c r="E104" s="13">
        <f>IF(OR(E$99-$A104&lt;0,E$99-$A104&gt;35),0,$B104*INDEX($B$17:$B$52,E$99-$A104+1))</f>
        <v/>
      </c>
      <c r="F104" s="13">
        <f>IF(OR(F$99-$A104&lt;0,F$99-$A104&gt;35),0,$B104*INDEX($B$17:$B$52,F$99-$A104+1))</f>
        <v/>
      </c>
      <c r="G104" s="13">
        <f>IF(OR(G$99-$A104&lt;0,G$99-$A104&gt;35),0,$B104*INDEX($B$17:$B$52,G$99-$A104+1))</f>
        <v/>
      </c>
      <c r="H104" s="13">
        <f>IF(OR(H$99-$A104&lt;0,H$99-$A104&gt;35),0,$B104*INDEX($B$17:$B$52,H$99-$A104+1))</f>
        <v/>
      </c>
      <c r="I104" s="13">
        <f>IF(OR(I$99-$A104&lt;0,I$99-$A104&gt;35),0,$B104*INDEX($B$17:$B$52,I$99-$A104+1))</f>
        <v/>
      </c>
      <c r="J104" s="13">
        <f>IF(OR(J$99-$A104&lt;0,J$99-$A104&gt;35),0,$B104*INDEX($B$17:$B$52,J$99-$A104+1))</f>
        <v/>
      </c>
      <c r="K104" s="13">
        <f>IF(OR(K$99-$A104&lt;0,K$99-$A104&gt;35),0,$B104*INDEX($B$17:$B$52,K$99-$A104+1))</f>
        <v/>
      </c>
      <c r="L104" s="13">
        <f>IF(OR(L$99-$A104&lt;0,L$99-$A104&gt;35),0,$B104*INDEX($B$17:$B$52,L$99-$A104+1))</f>
        <v/>
      </c>
      <c r="M104" s="13">
        <f>IF(OR(M$99-$A104&lt;0,M$99-$A104&gt;35),0,$B104*INDEX($B$17:$B$52,M$99-$A104+1))</f>
        <v/>
      </c>
      <c r="N104" s="13">
        <f>IF(OR(N$99-$A104&lt;0,N$99-$A104&gt;35),0,$B104*INDEX($B$17:$B$52,N$99-$A104+1))</f>
        <v/>
      </c>
      <c r="O104" s="13">
        <f>IF(OR(O$99-$A104&lt;0,O$99-$A104&gt;35),0,$B104*INDEX($B$17:$B$52,O$99-$A104+1))</f>
        <v/>
      </c>
      <c r="P104" s="13">
        <f>IF(OR(P$99-$A104&lt;0,P$99-$A104&gt;35),0,$B104*INDEX($B$17:$B$52,P$99-$A104+1))</f>
        <v/>
      </c>
      <c r="Q104" s="13">
        <f>IF(OR(Q$99-$A104&lt;0,Q$99-$A104&gt;35),0,$B104*INDEX($B$17:$B$52,Q$99-$A104+1))</f>
        <v/>
      </c>
      <c r="R104" s="13">
        <f>IF(OR(R$99-$A104&lt;0,R$99-$A104&gt;35),0,$B104*INDEX($B$17:$B$52,R$99-$A104+1))</f>
        <v/>
      </c>
    </row>
    <row r="105">
      <c r="A105" s="12">
        <f>A62</f>
        <v/>
      </c>
      <c r="B105" s="15">
        <f>B62</f>
        <v/>
      </c>
      <c r="D105" s="13">
        <f>IF(OR(D$99-$A105&lt;0,D$99-$A105&gt;35),0,$B105*INDEX($B$17:$B$52,D$99-$A105+1))</f>
        <v/>
      </c>
      <c r="E105" s="13">
        <f>IF(OR(E$99-$A105&lt;0,E$99-$A105&gt;35),0,$B105*INDEX($B$17:$B$52,E$99-$A105+1))</f>
        <v/>
      </c>
      <c r="F105" s="13">
        <f>IF(OR(F$99-$A105&lt;0,F$99-$A105&gt;35),0,$B105*INDEX($B$17:$B$52,F$99-$A105+1))</f>
        <v/>
      </c>
      <c r="G105" s="13">
        <f>IF(OR(G$99-$A105&lt;0,G$99-$A105&gt;35),0,$B105*INDEX($B$17:$B$52,G$99-$A105+1))</f>
        <v/>
      </c>
      <c r="H105" s="13">
        <f>IF(OR(H$99-$A105&lt;0,H$99-$A105&gt;35),0,$B105*INDEX($B$17:$B$52,H$99-$A105+1))</f>
        <v/>
      </c>
      <c r="I105" s="13">
        <f>IF(OR(I$99-$A105&lt;0,I$99-$A105&gt;35),0,$B105*INDEX($B$17:$B$52,I$99-$A105+1))</f>
        <v/>
      </c>
      <c r="J105" s="13">
        <f>IF(OR(J$99-$A105&lt;0,J$99-$A105&gt;35),0,$B105*INDEX($B$17:$B$52,J$99-$A105+1))</f>
        <v/>
      </c>
      <c r="K105" s="13">
        <f>IF(OR(K$99-$A105&lt;0,K$99-$A105&gt;35),0,$B105*INDEX($B$17:$B$52,K$99-$A105+1))</f>
        <v/>
      </c>
      <c r="L105" s="13">
        <f>IF(OR(L$99-$A105&lt;0,L$99-$A105&gt;35),0,$B105*INDEX($B$17:$B$52,L$99-$A105+1))</f>
        <v/>
      </c>
      <c r="M105" s="13">
        <f>IF(OR(M$99-$A105&lt;0,M$99-$A105&gt;35),0,$B105*INDEX($B$17:$B$52,M$99-$A105+1))</f>
        <v/>
      </c>
      <c r="N105" s="13">
        <f>IF(OR(N$99-$A105&lt;0,N$99-$A105&gt;35),0,$B105*INDEX($B$17:$B$52,N$99-$A105+1))</f>
        <v/>
      </c>
      <c r="O105" s="13">
        <f>IF(OR(O$99-$A105&lt;0,O$99-$A105&gt;35),0,$B105*INDEX($B$17:$B$52,O$99-$A105+1))</f>
        <v/>
      </c>
      <c r="P105" s="13">
        <f>IF(OR(P$99-$A105&lt;0,P$99-$A105&gt;35),0,$B105*INDEX($B$17:$B$52,P$99-$A105+1))</f>
        <v/>
      </c>
      <c r="Q105" s="13">
        <f>IF(OR(Q$99-$A105&lt;0,Q$99-$A105&gt;35),0,$B105*INDEX($B$17:$B$52,Q$99-$A105+1))</f>
        <v/>
      </c>
      <c r="R105" s="13">
        <f>IF(OR(R$99-$A105&lt;0,R$99-$A105&gt;35),0,$B105*INDEX($B$17:$B$52,R$99-$A105+1))</f>
        <v/>
      </c>
    </row>
    <row r="106">
      <c r="A106" s="12">
        <f>A63</f>
        <v/>
      </c>
      <c r="B106" s="15">
        <f>B63</f>
        <v/>
      </c>
      <c r="D106" s="13">
        <f>IF(OR(D$99-$A106&lt;0,D$99-$A106&gt;35),0,$B106*INDEX($B$17:$B$52,D$99-$A106+1))</f>
        <v/>
      </c>
      <c r="E106" s="13">
        <f>IF(OR(E$99-$A106&lt;0,E$99-$A106&gt;35),0,$B106*INDEX($B$17:$B$52,E$99-$A106+1))</f>
        <v/>
      </c>
      <c r="F106" s="13">
        <f>IF(OR(F$99-$A106&lt;0,F$99-$A106&gt;35),0,$B106*INDEX($B$17:$B$52,F$99-$A106+1))</f>
        <v/>
      </c>
      <c r="G106" s="13">
        <f>IF(OR(G$99-$A106&lt;0,G$99-$A106&gt;35),0,$B106*INDEX($B$17:$B$52,G$99-$A106+1))</f>
        <v/>
      </c>
      <c r="H106" s="13">
        <f>IF(OR(H$99-$A106&lt;0,H$99-$A106&gt;35),0,$B106*INDEX($B$17:$B$52,H$99-$A106+1))</f>
        <v/>
      </c>
      <c r="I106" s="13">
        <f>IF(OR(I$99-$A106&lt;0,I$99-$A106&gt;35),0,$B106*INDEX($B$17:$B$52,I$99-$A106+1))</f>
        <v/>
      </c>
      <c r="J106" s="13">
        <f>IF(OR(J$99-$A106&lt;0,J$99-$A106&gt;35),0,$B106*INDEX($B$17:$B$52,J$99-$A106+1))</f>
        <v/>
      </c>
      <c r="K106" s="13">
        <f>IF(OR(K$99-$A106&lt;0,K$99-$A106&gt;35),0,$B106*INDEX($B$17:$B$52,K$99-$A106+1))</f>
        <v/>
      </c>
      <c r="L106" s="13">
        <f>IF(OR(L$99-$A106&lt;0,L$99-$A106&gt;35),0,$B106*INDEX($B$17:$B$52,L$99-$A106+1))</f>
        <v/>
      </c>
      <c r="M106" s="13">
        <f>IF(OR(M$99-$A106&lt;0,M$99-$A106&gt;35),0,$B106*INDEX($B$17:$B$52,M$99-$A106+1))</f>
        <v/>
      </c>
      <c r="N106" s="13">
        <f>IF(OR(N$99-$A106&lt;0,N$99-$A106&gt;35),0,$B106*INDEX($B$17:$B$52,N$99-$A106+1))</f>
        <v/>
      </c>
      <c r="O106" s="13">
        <f>IF(OR(O$99-$A106&lt;0,O$99-$A106&gt;35),0,$B106*INDEX($B$17:$B$52,O$99-$A106+1))</f>
        <v/>
      </c>
      <c r="P106" s="13">
        <f>IF(OR(P$99-$A106&lt;0,P$99-$A106&gt;35),0,$B106*INDEX($B$17:$B$52,P$99-$A106+1))</f>
        <v/>
      </c>
      <c r="Q106" s="13">
        <f>IF(OR(Q$99-$A106&lt;0,Q$99-$A106&gt;35),0,$B106*INDEX($B$17:$B$52,Q$99-$A106+1))</f>
        <v/>
      </c>
      <c r="R106" s="13">
        <f>IF(OR(R$99-$A106&lt;0,R$99-$A106&gt;35),0,$B106*INDEX($B$17:$B$52,R$99-$A106+1))</f>
        <v/>
      </c>
    </row>
    <row r="107">
      <c r="A107" s="12">
        <f>A64</f>
        <v/>
      </c>
      <c r="B107" s="15">
        <f>B64</f>
        <v/>
      </c>
      <c r="D107" s="13">
        <f>IF(OR(D$99-$A107&lt;0,D$99-$A107&gt;35),0,$B107*INDEX($B$17:$B$52,D$99-$A107+1))</f>
        <v/>
      </c>
      <c r="E107" s="13">
        <f>IF(OR(E$99-$A107&lt;0,E$99-$A107&gt;35),0,$B107*INDEX($B$17:$B$52,E$99-$A107+1))</f>
        <v/>
      </c>
      <c r="F107" s="13">
        <f>IF(OR(F$99-$A107&lt;0,F$99-$A107&gt;35),0,$B107*INDEX($B$17:$B$52,F$99-$A107+1))</f>
        <v/>
      </c>
      <c r="G107" s="13">
        <f>IF(OR(G$99-$A107&lt;0,G$99-$A107&gt;35),0,$B107*INDEX($B$17:$B$52,G$99-$A107+1))</f>
        <v/>
      </c>
      <c r="H107" s="13">
        <f>IF(OR(H$99-$A107&lt;0,H$99-$A107&gt;35),0,$B107*INDEX($B$17:$B$52,H$99-$A107+1))</f>
        <v/>
      </c>
      <c r="I107" s="13">
        <f>IF(OR(I$99-$A107&lt;0,I$99-$A107&gt;35),0,$B107*INDEX($B$17:$B$52,I$99-$A107+1))</f>
        <v/>
      </c>
      <c r="J107" s="13">
        <f>IF(OR(J$99-$A107&lt;0,J$99-$A107&gt;35),0,$B107*INDEX($B$17:$B$52,J$99-$A107+1))</f>
        <v/>
      </c>
      <c r="K107" s="13">
        <f>IF(OR(K$99-$A107&lt;0,K$99-$A107&gt;35),0,$B107*INDEX($B$17:$B$52,K$99-$A107+1))</f>
        <v/>
      </c>
      <c r="L107" s="13">
        <f>IF(OR(L$99-$A107&lt;0,L$99-$A107&gt;35),0,$B107*INDEX($B$17:$B$52,L$99-$A107+1))</f>
        <v/>
      </c>
      <c r="M107" s="13">
        <f>IF(OR(M$99-$A107&lt;0,M$99-$A107&gt;35),0,$B107*INDEX($B$17:$B$52,M$99-$A107+1))</f>
        <v/>
      </c>
      <c r="N107" s="13">
        <f>IF(OR(N$99-$A107&lt;0,N$99-$A107&gt;35),0,$B107*INDEX($B$17:$B$52,N$99-$A107+1))</f>
        <v/>
      </c>
      <c r="O107" s="13">
        <f>IF(OR(O$99-$A107&lt;0,O$99-$A107&gt;35),0,$B107*INDEX($B$17:$B$52,O$99-$A107+1))</f>
        <v/>
      </c>
      <c r="P107" s="13">
        <f>IF(OR(P$99-$A107&lt;0,P$99-$A107&gt;35),0,$B107*INDEX($B$17:$B$52,P$99-$A107+1))</f>
        <v/>
      </c>
      <c r="Q107" s="13">
        <f>IF(OR(Q$99-$A107&lt;0,Q$99-$A107&gt;35),0,$B107*INDEX($B$17:$B$52,Q$99-$A107+1))</f>
        <v/>
      </c>
      <c r="R107" s="13">
        <f>IF(OR(R$99-$A107&lt;0,R$99-$A107&gt;35),0,$B107*INDEX($B$17:$B$52,R$99-$A107+1))</f>
        <v/>
      </c>
    </row>
    <row r="108">
      <c r="A108" s="12">
        <f>A65</f>
        <v/>
      </c>
      <c r="B108" s="15">
        <f>B65</f>
        <v/>
      </c>
      <c r="D108" s="13">
        <f>IF(OR(D$99-$A108&lt;0,D$99-$A108&gt;35),0,$B108*INDEX($B$17:$B$52,D$99-$A108+1))</f>
        <v/>
      </c>
      <c r="E108" s="13">
        <f>IF(OR(E$99-$A108&lt;0,E$99-$A108&gt;35),0,$B108*INDEX($B$17:$B$52,E$99-$A108+1))</f>
        <v/>
      </c>
      <c r="F108" s="13">
        <f>IF(OR(F$99-$A108&lt;0,F$99-$A108&gt;35),0,$B108*INDEX($B$17:$B$52,F$99-$A108+1))</f>
        <v/>
      </c>
      <c r="G108" s="13">
        <f>IF(OR(G$99-$A108&lt;0,G$99-$A108&gt;35),0,$B108*INDEX($B$17:$B$52,G$99-$A108+1))</f>
        <v/>
      </c>
      <c r="H108" s="13">
        <f>IF(OR(H$99-$A108&lt;0,H$99-$A108&gt;35),0,$B108*INDEX($B$17:$B$52,H$99-$A108+1))</f>
        <v/>
      </c>
      <c r="I108" s="13">
        <f>IF(OR(I$99-$A108&lt;0,I$99-$A108&gt;35),0,$B108*INDEX($B$17:$B$52,I$99-$A108+1))</f>
        <v/>
      </c>
      <c r="J108" s="13">
        <f>IF(OR(J$99-$A108&lt;0,J$99-$A108&gt;35),0,$B108*INDEX($B$17:$B$52,J$99-$A108+1))</f>
        <v/>
      </c>
      <c r="K108" s="13">
        <f>IF(OR(K$99-$A108&lt;0,K$99-$A108&gt;35),0,$B108*INDEX($B$17:$B$52,K$99-$A108+1))</f>
        <v/>
      </c>
      <c r="L108" s="13">
        <f>IF(OR(L$99-$A108&lt;0,L$99-$A108&gt;35),0,$B108*INDEX($B$17:$B$52,L$99-$A108+1))</f>
        <v/>
      </c>
      <c r="M108" s="13">
        <f>IF(OR(M$99-$A108&lt;0,M$99-$A108&gt;35),0,$B108*INDEX($B$17:$B$52,M$99-$A108+1))</f>
        <v/>
      </c>
      <c r="N108" s="13">
        <f>IF(OR(N$99-$A108&lt;0,N$99-$A108&gt;35),0,$B108*INDEX($B$17:$B$52,N$99-$A108+1))</f>
        <v/>
      </c>
      <c r="O108" s="13">
        <f>IF(OR(O$99-$A108&lt;0,O$99-$A108&gt;35),0,$B108*INDEX($B$17:$B$52,O$99-$A108+1))</f>
        <v/>
      </c>
      <c r="P108" s="13">
        <f>IF(OR(P$99-$A108&lt;0,P$99-$A108&gt;35),0,$B108*INDEX($B$17:$B$52,P$99-$A108+1))</f>
        <v/>
      </c>
      <c r="Q108" s="13">
        <f>IF(OR(Q$99-$A108&lt;0,Q$99-$A108&gt;35),0,$B108*INDEX($B$17:$B$52,Q$99-$A108+1))</f>
        <v/>
      </c>
      <c r="R108" s="13">
        <f>IF(OR(R$99-$A108&lt;0,R$99-$A108&gt;35),0,$B108*INDEX($B$17:$B$52,R$99-$A108+1))</f>
        <v/>
      </c>
    </row>
    <row r="109">
      <c r="A109" s="12">
        <f>A66</f>
        <v/>
      </c>
      <c r="B109" s="15">
        <f>B66</f>
        <v/>
      </c>
      <c r="D109" s="13">
        <f>IF(OR(D$99-$A109&lt;0,D$99-$A109&gt;35),0,$B109*INDEX($B$17:$B$52,D$99-$A109+1))</f>
        <v/>
      </c>
      <c r="E109" s="13">
        <f>IF(OR(E$99-$A109&lt;0,E$99-$A109&gt;35),0,$B109*INDEX($B$17:$B$52,E$99-$A109+1))</f>
        <v/>
      </c>
      <c r="F109" s="13">
        <f>IF(OR(F$99-$A109&lt;0,F$99-$A109&gt;35),0,$B109*INDEX($B$17:$B$52,F$99-$A109+1))</f>
        <v/>
      </c>
      <c r="G109" s="13">
        <f>IF(OR(G$99-$A109&lt;0,G$99-$A109&gt;35),0,$B109*INDEX($B$17:$B$52,G$99-$A109+1))</f>
        <v/>
      </c>
      <c r="H109" s="13">
        <f>IF(OR(H$99-$A109&lt;0,H$99-$A109&gt;35),0,$B109*INDEX($B$17:$B$52,H$99-$A109+1))</f>
        <v/>
      </c>
      <c r="I109" s="13">
        <f>IF(OR(I$99-$A109&lt;0,I$99-$A109&gt;35),0,$B109*INDEX($B$17:$B$52,I$99-$A109+1))</f>
        <v/>
      </c>
      <c r="J109" s="13">
        <f>IF(OR(J$99-$A109&lt;0,J$99-$A109&gt;35),0,$B109*INDEX($B$17:$B$52,J$99-$A109+1))</f>
        <v/>
      </c>
      <c r="K109" s="13">
        <f>IF(OR(K$99-$A109&lt;0,K$99-$A109&gt;35),0,$B109*INDEX($B$17:$B$52,K$99-$A109+1))</f>
        <v/>
      </c>
      <c r="L109" s="13">
        <f>IF(OR(L$99-$A109&lt;0,L$99-$A109&gt;35),0,$B109*INDEX($B$17:$B$52,L$99-$A109+1))</f>
        <v/>
      </c>
      <c r="M109" s="13">
        <f>IF(OR(M$99-$A109&lt;0,M$99-$A109&gt;35),0,$B109*INDEX($B$17:$B$52,M$99-$A109+1))</f>
        <v/>
      </c>
      <c r="N109" s="13">
        <f>IF(OR(N$99-$A109&lt;0,N$99-$A109&gt;35),0,$B109*INDEX($B$17:$B$52,N$99-$A109+1))</f>
        <v/>
      </c>
      <c r="O109" s="13">
        <f>IF(OR(O$99-$A109&lt;0,O$99-$A109&gt;35),0,$B109*INDEX($B$17:$B$52,O$99-$A109+1))</f>
        <v/>
      </c>
      <c r="P109" s="13">
        <f>IF(OR(P$99-$A109&lt;0,P$99-$A109&gt;35),0,$B109*INDEX($B$17:$B$52,P$99-$A109+1))</f>
        <v/>
      </c>
      <c r="Q109" s="13">
        <f>IF(OR(Q$99-$A109&lt;0,Q$99-$A109&gt;35),0,$B109*INDEX($B$17:$B$52,Q$99-$A109+1))</f>
        <v/>
      </c>
      <c r="R109" s="13">
        <f>IF(OR(R$99-$A109&lt;0,R$99-$A109&gt;35),0,$B109*INDEX($B$17:$B$52,R$99-$A109+1))</f>
        <v/>
      </c>
    </row>
    <row r="110">
      <c r="A110" s="12">
        <f>A67</f>
        <v/>
      </c>
      <c r="B110" s="15">
        <f>B67</f>
        <v/>
      </c>
      <c r="D110" s="13">
        <f>IF(OR(D$99-$A110&lt;0,D$99-$A110&gt;35),0,$B110*INDEX($B$17:$B$52,D$99-$A110+1))</f>
        <v/>
      </c>
      <c r="E110" s="13">
        <f>IF(OR(E$99-$A110&lt;0,E$99-$A110&gt;35),0,$B110*INDEX($B$17:$B$52,E$99-$A110+1))</f>
        <v/>
      </c>
      <c r="F110" s="13">
        <f>IF(OR(F$99-$A110&lt;0,F$99-$A110&gt;35),0,$B110*INDEX($B$17:$B$52,F$99-$A110+1))</f>
        <v/>
      </c>
      <c r="G110" s="13">
        <f>IF(OR(G$99-$A110&lt;0,G$99-$A110&gt;35),0,$B110*INDEX($B$17:$B$52,G$99-$A110+1))</f>
        <v/>
      </c>
      <c r="H110" s="13">
        <f>IF(OR(H$99-$A110&lt;0,H$99-$A110&gt;35),0,$B110*INDEX($B$17:$B$52,H$99-$A110+1))</f>
        <v/>
      </c>
      <c r="I110" s="13">
        <f>IF(OR(I$99-$A110&lt;0,I$99-$A110&gt;35),0,$B110*INDEX($B$17:$B$52,I$99-$A110+1))</f>
        <v/>
      </c>
      <c r="J110" s="13">
        <f>IF(OR(J$99-$A110&lt;0,J$99-$A110&gt;35),0,$B110*INDEX($B$17:$B$52,J$99-$A110+1))</f>
        <v/>
      </c>
      <c r="K110" s="13">
        <f>IF(OR(K$99-$A110&lt;0,K$99-$A110&gt;35),0,$B110*INDEX($B$17:$B$52,K$99-$A110+1))</f>
        <v/>
      </c>
      <c r="L110" s="13">
        <f>IF(OR(L$99-$A110&lt;0,L$99-$A110&gt;35),0,$B110*INDEX($B$17:$B$52,L$99-$A110+1))</f>
        <v/>
      </c>
      <c r="M110" s="13">
        <f>IF(OR(M$99-$A110&lt;0,M$99-$A110&gt;35),0,$B110*INDEX($B$17:$B$52,M$99-$A110+1))</f>
        <v/>
      </c>
      <c r="N110" s="13">
        <f>IF(OR(N$99-$A110&lt;0,N$99-$A110&gt;35),0,$B110*INDEX($B$17:$B$52,N$99-$A110+1))</f>
        <v/>
      </c>
      <c r="O110" s="13">
        <f>IF(OR(O$99-$A110&lt;0,O$99-$A110&gt;35),0,$B110*INDEX($B$17:$B$52,O$99-$A110+1))</f>
        <v/>
      </c>
      <c r="P110" s="13">
        <f>IF(OR(P$99-$A110&lt;0,P$99-$A110&gt;35),0,$B110*INDEX($B$17:$B$52,P$99-$A110+1))</f>
        <v/>
      </c>
      <c r="Q110" s="13">
        <f>IF(OR(Q$99-$A110&lt;0,Q$99-$A110&gt;35),0,$B110*INDEX($B$17:$B$52,Q$99-$A110+1))</f>
        <v/>
      </c>
      <c r="R110" s="13">
        <f>IF(OR(R$99-$A110&lt;0,R$99-$A110&gt;35),0,$B110*INDEX($B$17:$B$52,R$99-$A110+1))</f>
        <v/>
      </c>
    </row>
    <row r="111">
      <c r="A111" s="12">
        <f>A68</f>
        <v/>
      </c>
      <c r="B111" s="15">
        <f>B68</f>
        <v/>
      </c>
      <c r="D111" s="13">
        <f>IF(OR(D$99-$A111&lt;0,D$99-$A111&gt;35),0,$B111*INDEX($B$17:$B$52,D$99-$A111+1))</f>
        <v/>
      </c>
      <c r="E111" s="13">
        <f>IF(OR(E$99-$A111&lt;0,E$99-$A111&gt;35),0,$B111*INDEX($B$17:$B$52,E$99-$A111+1))</f>
        <v/>
      </c>
      <c r="F111" s="13">
        <f>IF(OR(F$99-$A111&lt;0,F$99-$A111&gt;35),0,$B111*INDEX($B$17:$B$52,F$99-$A111+1))</f>
        <v/>
      </c>
      <c r="G111" s="13">
        <f>IF(OR(G$99-$A111&lt;0,G$99-$A111&gt;35),0,$B111*INDEX($B$17:$B$52,G$99-$A111+1))</f>
        <v/>
      </c>
      <c r="H111" s="13">
        <f>IF(OR(H$99-$A111&lt;0,H$99-$A111&gt;35),0,$B111*INDEX($B$17:$B$52,H$99-$A111+1))</f>
        <v/>
      </c>
      <c r="I111" s="13">
        <f>IF(OR(I$99-$A111&lt;0,I$99-$A111&gt;35),0,$B111*INDEX($B$17:$B$52,I$99-$A111+1))</f>
        <v/>
      </c>
      <c r="J111" s="13">
        <f>IF(OR(J$99-$A111&lt;0,J$99-$A111&gt;35),0,$B111*INDEX($B$17:$B$52,J$99-$A111+1))</f>
        <v/>
      </c>
      <c r="K111" s="13">
        <f>IF(OR(K$99-$A111&lt;0,K$99-$A111&gt;35),0,$B111*INDEX($B$17:$B$52,K$99-$A111+1))</f>
        <v/>
      </c>
      <c r="L111" s="13">
        <f>IF(OR(L$99-$A111&lt;0,L$99-$A111&gt;35),0,$B111*INDEX($B$17:$B$52,L$99-$A111+1))</f>
        <v/>
      </c>
      <c r="M111" s="13">
        <f>IF(OR(M$99-$A111&lt;0,M$99-$A111&gt;35),0,$B111*INDEX($B$17:$B$52,M$99-$A111+1))</f>
        <v/>
      </c>
      <c r="N111" s="13">
        <f>IF(OR(N$99-$A111&lt;0,N$99-$A111&gt;35),0,$B111*INDEX($B$17:$B$52,N$99-$A111+1))</f>
        <v/>
      </c>
      <c r="O111" s="13">
        <f>IF(OR(O$99-$A111&lt;0,O$99-$A111&gt;35),0,$B111*INDEX($B$17:$B$52,O$99-$A111+1))</f>
        <v/>
      </c>
      <c r="P111" s="13">
        <f>IF(OR(P$99-$A111&lt;0,P$99-$A111&gt;35),0,$B111*INDEX($B$17:$B$52,P$99-$A111+1))</f>
        <v/>
      </c>
      <c r="Q111" s="13">
        <f>IF(OR(Q$99-$A111&lt;0,Q$99-$A111&gt;35),0,$B111*INDEX($B$17:$B$52,Q$99-$A111+1))</f>
        <v/>
      </c>
      <c r="R111" s="13">
        <f>IF(OR(R$99-$A111&lt;0,R$99-$A111&gt;35),0,$B111*INDEX($B$17:$B$52,R$99-$A111+1))</f>
        <v/>
      </c>
    </row>
    <row r="112">
      <c r="A112" s="12">
        <f>A69</f>
        <v/>
      </c>
      <c r="B112" s="15">
        <f>B69</f>
        <v/>
      </c>
      <c r="D112" s="13">
        <f>IF(OR(D$99-$A112&lt;0,D$99-$A112&gt;35),0,$B112*INDEX($B$17:$B$52,D$99-$A112+1))</f>
        <v/>
      </c>
      <c r="E112" s="13">
        <f>IF(OR(E$99-$A112&lt;0,E$99-$A112&gt;35),0,$B112*INDEX($B$17:$B$52,E$99-$A112+1))</f>
        <v/>
      </c>
      <c r="F112" s="13">
        <f>IF(OR(F$99-$A112&lt;0,F$99-$A112&gt;35),0,$B112*INDEX($B$17:$B$52,F$99-$A112+1))</f>
        <v/>
      </c>
      <c r="G112" s="13">
        <f>IF(OR(G$99-$A112&lt;0,G$99-$A112&gt;35),0,$B112*INDEX($B$17:$B$52,G$99-$A112+1))</f>
        <v/>
      </c>
      <c r="H112" s="13">
        <f>IF(OR(H$99-$A112&lt;0,H$99-$A112&gt;35),0,$B112*INDEX($B$17:$B$52,H$99-$A112+1))</f>
        <v/>
      </c>
      <c r="I112" s="13">
        <f>IF(OR(I$99-$A112&lt;0,I$99-$A112&gt;35),0,$B112*INDEX($B$17:$B$52,I$99-$A112+1))</f>
        <v/>
      </c>
      <c r="J112" s="13">
        <f>IF(OR(J$99-$A112&lt;0,J$99-$A112&gt;35),0,$B112*INDEX($B$17:$B$52,J$99-$A112+1))</f>
        <v/>
      </c>
      <c r="K112" s="13">
        <f>IF(OR(K$99-$A112&lt;0,K$99-$A112&gt;35),0,$B112*INDEX($B$17:$B$52,K$99-$A112+1))</f>
        <v/>
      </c>
      <c r="L112" s="13">
        <f>IF(OR(L$99-$A112&lt;0,L$99-$A112&gt;35),0,$B112*INDEX($B$17:$B$52,L$99-$A112+1))</f>
        <v/>
      </c>
      <c r="M112" s="13">
        <f>IF(OR(M$99-$A112&lt;0,M$99-$A112&gt;35),0,$B112*INDEX($B$17:$B$52,M$99-$A112+1))</f>
        <v/>
      </c>
      <c r="N112" s="13">
        <f>IF(OR(N$99-$A112&lt;0,N$99-$A112&gt;35),0,$B112*INDEX($B$17:$B$52,N$99-$A112+1))</f>
        <v/>
      </c>
      <c r="O112" s="13">
        <f>IF(OR(O$99-$A112&lt;0,O$99-$A112&gt;35),0,$B112*INDEX($B$17:$B$52,O$99-$A112+1))</f>
        <v/>
      </c>
      <c r="P112" s="13">
        <f>IF(OR(P$99-$A112&lt;0,P$99-$A112&gt;35),0,$B112*INDEX($B$17:$B$52,P$99-$A112+1))</f>
        <v/>
      </c>
      <c r="Q112" s="13">
        <f>IF(OR(Q$99-$A112&lt;0,Q$99-$A112&gt;35),0,$B112*INDEX($B$17:$B$52,Q$99-$A112+1))</f>
        <v/>
      </c>
      <c r="R112" s="13">
        <f>IF(OR(R$99-$A112&lt;0,R$99-$A112&gt;35),0,$B112*INDEX($B$17:$B$52,R$99-$A112+1))</f>
        <v/>
      </c>
    </row>
    <row r="113">
      <c r="A113" s="12">
        <f>A70</f>
        <v/>
      </c>
      <c r="B113" s="15">
        <f>B70</f>
        <v/>
      </c>
      <c r="D113" s="13">
        <f>IF(OR(D$99-$A113&lt;0,D$99-$A113&gt;35),0,$B113*INDEX($B$17:$B$52,D$99-$A113+1))</f>
        <v/>
      </c>
      <c r="E113" s="13">
        <f>IF(OR(E$99-$A113&lt;0,E$99-$A113&gt;35),0,$B113*INDEX($B$17:$B$52,E$99-$A113+1))</f>
        <v/>
      </c>
      <c r="F113" s="13">
        <f>IF(OR(F$99-$A113&lt;0,F$99-$A113&gt;35),0,$B113*INDEX($B$17:$B$52,F$99-$A113+1))</f>
        <v/>
      </c>
      <c r="G113" s="13">
        <f>IF(OR(G$99-$A113&lt;0,G$99-$A113&gt;35),0,$B113*INDEX($B$17:$B$52,G$99-$A113+1))</f>
        <v/>
      </c>
      <c r="H113" s="13">
        <f>IF(OR(H$99-$A113&lt;0,H$99-$A113&gt;35),0,$B113*INDEX($B$17:$B$52,H$99-$A113+1))</f>
        <v/>
      </c>
      <c r="I113" s="13">
        <f>IF(OR(I$99-$A113&lt;0,I$99-$A113&gt;35),0,$B113*INDEX($B$17:$B$52,I$99-$A113+1))</f>
        <v/>
      </c>
      <c r="J113" s="13">
        <f>IF(OR(J$99-$A113&lt;0,J$99-$A113&gt;35),0,$B113*INDEX($B$17:$B$52,J$99-$A113+1))</f>
        <v/>
      </c>
      <c r="K113" s="13">
        <f>IF(OR(K$99-$A113&lt;0,K$99-$A113&gt;35),0,$B113*INDEX($B$17:$B$52,K$99-$A113+1))</f>
        <v/>
      </c>
      <c r="L113" s="13">
        <f>IF(OR(L$99-$A113&lt;0,L$99-$A113&gt;35),0,$B113*INDEX($B$17:$B$52,L$99-$A113+1))</f>
        <v/>
      </c>
      <c r="M113" s="13">
        <f>IF(OR(M$99-$A113&lt;0,M$99-$A113&gt;35),0,$B113*INDEX($B$17:$B$52,M$99-$A113+1))</f>
        <v/>
      </c>
      <c r="N113" s="13">
        <f>IF(OR(N$99-$A113&lt;0,N$99-$A113&gt;35),0,$B113*INDEX($B$17:$B$52,N$99-$A113+1))</f>
        <v/>
      </c>
      <c r="O113" s="13">
        <f>IF(OR(O$99-$A113&lt;0,O$99-$A113&gt;35),0,$B113*INDEX($B$17:$B$52,O$99-$A113+1))</f>
        <v/>
      </c>
      <c r="P113" s="13">
        <f>IF(OR(P$99-$A113&lt;0,P$99-$A113&gt;35),0,$B113*INDEX($B$17:$B$52,P$99-$A113+1))</f>
        <v/>
      </c>
      <c r="Q113" s="13">
        <f>IF(OR(Q$99-$A113&lt;0,Q$99-$A113&gt;35),0,$B113*INDEX($B$17:$B$52,Q$99-$A113+1))</f>
        <v/>
      </c>
      <c r="R113" s="13">
        <f>IF(OR(R$99-$A113&lt;0,R$99-$A113&gt;35),0,$B113*INDEX($B$17:$B$52,R$99-$A113+1))</f>
        <v/>
      </c>
    </row>
    <row r="114">
      <c r="A114" s="12">
        <f>A71</f>
        <v/>
      </c>
      <c r="B114" s="15">
        <f>B71</f>
        <v/>
      </c>
      <c r="D114" s="13">
        <f>IF(OR(D$99-$A114&lt;0,D$99-$A114&gt;35),0,$B114*INDEX($B$17:$B$52,D$99-$A114+1))</f>
        <v/>
      </c>
      <c r="E114" s="13">
        <f>IF(OR(E$99-$A114&lt;0,E$99-$A114&gt;35),0,$B114*INDEX($B$17:$B$52,E$99-$A114+1))</f>
        <v/>
      </c>
      <c r="F114" s="13">
        <f>IF(OR(F$99-$A114&lt;0,F$99-$A114&gt;35),0,$B114*INDEX($B$17:$B$52,F$99-$A114+1))</f>
        <v/>
      </c>
      <c r="G114" s="13">
        <f>IF(OR(G$99-$A114&lt;0,G$99-$A114&gt;35),0,$B114*INDEX($B$17:$B$52,G$99-$A114+1))</f>
        <v/>
      </c>
      <c r="H114" s="13">
        <f>IF(OR(H$99-$A114&lt;0,H$99-$A114&gt;35),0,$B114*INDEX($B$17:$B$52,H$99-$A114+1))</f>
        <v/>
      </c>
      <c r="I114" s="13">
        <f>IF(OR(I$99-$A114&lt;0,I$99-$A114&gt;35),0,$B114*INDEX($B$17:$B$52,I$99-$A114+1))</f>
        <v/>
      </c>
      <c r="J114" s="13">
        <f>IF(OR(J$99-$A114&lt;0,J$99-$A114&gt;35),0,$B114*INDEX($B$17:$B$52,J$99-$A114+1))</f>
        <v/>
      </c>
      <c r="K114" s="13">
        <f>IF(OR(K$99-$A114&lt;0,K$99-$A114&gt;35),0,$B114*INDEX($B$17:$B$52,K$99-$A114+1))</f>
        <v/>
      </c>
      <c r="L114" s="13">
        <f>IF(OR(L$99-$A114&lt;0,L$99-$A114&gt;35),0,$B114*INDEX($B$17:$B$52,L$99-$A114+1))</f>
        <v/>
      </c>
      <c r="M114" s="13">
        <f>IF(OR(M$99-$A114&lt;0,M$99-$A114&gt;35),0,$B114*INDEX($B$17:$B$52,M$99-$A114+1))</f>
        <v/>
      </c>
      <c r="N114" s="13">
        <f>IF(OR(N$99-$A114&lt;0,N$99-$A114&gt;35),0,$B114*INDEX($B$17:$B$52,N$99-$A114+1))</f>
        <v/>
      </c>
      <c r="O114" s="13">
        <f>IF(OR(O$99-$A114&lt;0,O$99-$A114&gt;35),0,$B114*INDEX($B$17:$B$52,O$99-$A114+1))</f>
        <v/>
      </c>
      <c r="P114" s="13">
        <f>IF(OR(P$99-$A114&lt;0,P$99-$A114&gt;35),0,$B114*INDEX($B$17:$B$52,P$99-$A114+1))</f>
        <v/>
      </c>
      <c r="Q114" s="13">
        <f>IF(OR(Q$99-$A114&lt;0,Q$99-$A114&gt;35),0,$B114*INDEX($B$17:$B$52,Q$99-$A114+1))</f>
        <v/>
      </c>
      <c r="R114" s="13">
        <f>IF(OR(R$99-$A114&lt;0,R$99-$A114&gt;35),0,$B114*INDEX($B$17:$B$52,R$99-$A114+1))</f>
        <v/>
      </c>
    </row>
    <row r="115">
      <c r="A115" s="12">
        <f>A72</f>
        <v/>
      </c>
      <c r="B115" s="15">
        <f>B72</f>
        <v/>
      </c>
      <c r="D115" s="13">
        <f>IF(OR(D$99-$A115&lt;0,D$99-$A115&gt;35),0,$B115*INDEX($B$17:$B$52,D$99-$A115+1))</f>
        <v/>
      </c>
      <c r="E115" s="13">
        <f>IF(OR(E$99-$A115&lt;0,E$99-$A115&gt;35),0,$B115*INDEX($B$17:$B$52,E$99-$A115+1))</f>
        <v/>
      </c>
      <c r="F115" s="13">
        <f>IF(OR(F$99-$A115&lt;0,F$99-$A115&gt;35),0,$B115*INDEX($B$17:$B$52,F$99-$A115+1))</f>
        <v/>
      </c>
      <c r="G115" s="13">
        <f>IF(OR(G$99-$A115&lt;0,G$99-$A115&gt;35),0,$B115*INDEX($B$17:$B$52,G$99-$A115+1))</f>
        <v/>
      </c>
      <c r="H115" s="13">
        <f>IF(OR(H$99-$A115&lt;0,H$99-$A115&gt;35),0,$B115*INDEX($B$17:$B$52,H$99-$A115+1))</f>
        <v/>
      </c>
      <c r="I115" s="13">
        <f>IF(OR(I$99-$A115&lt;0,I$99-$A115&gt;35),0,$B115*INDEX($B$17:$B$52,I$99-$A115+1))</f>
        <v/>
      </c>
      <c r="J115" s="13">
        <f>IF(OR(J$99-$A115&lt;0,J$99-$A115&gt;35),0,$B115*INDEX($B$17:$B$52,J$99-$A115+1))</f>
        <v/>
      </c>
      <c r="K115" s="13">
        <f>IF(OR(K$99-$A115&lt;0,K$99-$A115&gt;35),0,$B115*INDEX($B$17:$B$52,K$99-$A115+1))</f>
        <v/>
      </c>
      <c r="L115" s="13">
        <f>IF(OR(L$99-$A115&lt;0,L$99-$A115&gt;35),0,$B115*INDEX($B$17:$B$52,L$99-$A115+1))</f>
        <v/>
      </c>
      <c r="M115" s="13">
        <f>IF(OR(M$99-$A115&lt;0,M$99-$A115&gt;35),0,$B115*INDEX($B$17:$B$52,M$99-$A115+1))</f>
        <v/>
      </c>
      <c r="N115" s="13">
        <f>IF(OR(N$99-$A115&lt;0,N$99-$A115&gt;35),0,$B115*INDEX($B$17:$B$52,N$99-$A115+1))</f>
        <v/>
      </c>
      <c r="O115" s="13">
        <f>IF(OR(O$99-$A115&lt;0,O$99-$A115&gt;35),0,$B115*INDEX($B$17:$B$52,O$99-$A115+1))</f>
        <v/>
      </c>
      <c r="P115" s="13">
        <f>IF(OR(P$99-$A115&lt;0,P$99-$A115&gt;35),0,$B115*INDEX($B$17:$B$52,P$99-$A115+1))</f>
        <v/>
      </c>
      <c r="Q115" s="13">
        <f>IF(OR(Q$99-$A115&lt;0,Q$99-$A115&gt;35),0,$B115*INDEX($B$17:$B$52,Q$99-$A115+1))</f>
        <v/>
      </c>
      <c r="R115" s="13">
        <f>IF(OR(R$99-$A115&lt;0,R$99-$A115&gt;35),0,$B115*INDEX($B$17:$B$52,R$99-$A115+1))</f>
        <v/>
      </c>
    </row>
    <row r="116">
      <c r="A116" s="12">
        <f>A73</f>
        <v/>
      </c>
      <c r="B116" s="15">
        <f>B73</f>
        <v/>
      </c>
      <c r="D116" s="13">
        <f>IF(OR(D$99-$A116&lt;0,D$99-$A116&gt;35),0,$B116*INDEX($B$17:$B$52,D$99-$A116+1))</f>
        <v/>
      </c>
      <c r="E116" s="13">
        <f>IF(OR(E$99-$A116&lt;0,E$99-$A116&gt;35),0,$B116*INDEX($B$17:$B$52,E$99-$A116+1))</f>
        <v/>
      </c>
      <c r="F116" s="13">
        <f>IF(OR(F$99-$A116&lt;0,F$99-$A116&gt;35),0,$B116*INDEX($B$17:$B$52,F$99-$A116+1))</f>
        <v/>
      </c>
      <c r="G116" s="13">
        <f>IF(OR(G$99-$A116&lt;0,G$99-$A116&gt;35),0,$B116*INDEX($B$17:$B$52,G$99-$A116+1))</f>
        <v/>
      </c>
      <c r="H116" s="13">
        <f>IF(OR(H$99-$A116&lt;0,H$99-$A116&gt;35),0,$B116*INDEX($B$17:$B$52,H$99-$A116+1))</f>
        <v/>
      </c>
      <c r="I116" s="13">
        <f>IF(OR(I$99-$A116&lt;0,I$99-$A116&gt;35),0,$B116*INDEX($B$17:$B$52,I$99-$A116+1))</f>
        <v/>
      </c>
      <c r="J116" s="13">
        <f>IF(OR(J$99-$A116&lt;0,J$99-$A116&gt;35),0,$B116*INDEX($B$17:$B$52,J$99-$A116+1))</f>
        <v/>
      </c>
      <c r="K116" s="13">
        <f>IF(OR(K$99-$A116&lt;0,K$99-$A116&gt;35),0,$B116*INDEX($B$17:$B$52,K$99-$A116+1))</f>
        <v/>
      </c>
      <c r="L116" s="13">
        <f>IF(OR(L$99-$A116&lt;0,L$99-$A116&gt;35),0,$B116*INDEX($B$17:$B$52,L$99-$A116+1))</f>
        <v/>
      </c>
      <c r="M116" s="13">
        <f>IF(OR(M$99-$A116&lt;0,M$99-$A116&gt;35),0,$B116*INDEX($B$17:$B$52,M$99-$A116+1))</f>
        <v/>
      </c>
      <c r="N116" s="13">
        <f>IF(OR(N$99-$A116&lt;0,N$99-$A116&gt;35),0,$B116*INDEX($B$17:$B$52,N$99-$A116+1))</f>
        <v/>
      </c>
      <c r="O116" s="13">
        <f>IF(OR(O$99-$A116&lt;0,O$99-$A116&gt;35),0,$B116*INDEX($B$17:$B$52,O$99-$A116+1))</f>
        <v/>
      </c>
      <c r="P116" s="13">
        <f>IF(OR(P$99-$A116&lt;0,P$99-$A116&gt;35),0,$B116*INDEX($B$17:$B$52,P$99-$A116+1))</f>
        <v/>
      </c>
      <c r="Q116" s="13">
        <f>IF(OR(Q$99-$A116&lt;0,Q$99-$A116&gt;35),0,$B116*INDEX($B$17:$B$52,Q$99-$A116+1))</f>
        <v/>
      </c>
      <c r="R116" s="13">
        <f>IF(OR(R$99-$A116&lt;0,R$99-$A116&gt;35),0,$B116*INDEX($B$17:$B$52,R$99-$A116+1))</f>
        <v/>
      </c>
    </row>
    <row r="117">
      <c r="A117" s="12">
        <f>A74</f>
        <v/>
      </c>
      <c r="B117" s="15">
        <f>B74</f>
        <v/>
      </c>
      <c r="D117" s="13">
        <f>IF(OR(D$99-$A117&lt;0,D$99-$A117&gt;35),0,$B117*INDEX($B$17:$B$52,D$99-$A117+1))</f>
        <v/>
      </c>
      <c r="E117" s="13">
        <f>IF(OR(E$99-$A117&lt;0,E$99-$A117&gt;35),0,$B117*INDEX($B$17:$B$52,E$99-$A117+1))</f>
        <v/>
      </c>
      <c r="F117" s="13">
        <f>IF(OR(F$99-$A117&lt;0,F$99-$A117&gt;35),0,$B117*INDEX($B$17:$B$52,F$99-$A117+1))</f>
        <v/>
      </c>
      <c r="G117" s="13">
        <f>IF(OR(G$99-$A117&lt;0,G$99-$A117&gt;35),0,$B117*INDEX($B$17:$B$52,G$99-$A117+1))</f>
        <v/>
      </c>
      <c r="H117" s="13">
        <f>IF(OR(H$99-$A117&lt;0,H$99-$A117&gt;35),0,$B117*INDEX($B$17:$B$52,H$99-$A117+1))</f>
        <v/>
      </c>
      <c r="I117" s="13">
        <f>IF(OR(I$99-$A117&lt;0,I$99-$A117&gt;35),0,$B117*INDEX($B$17:$B$52,I$99-$A117+1))</f>
        <v/>
      </c>
      <c r="J117" s="13">
        <f>IF(OR(J$99-$A117&lt;0,J$99-$A117&gt;35),0,$B117*INDEX($B$17:$B$52,J$99-$A117+1))</f>
        <v/>
      </c>
      <c r="K117" s="13">
        <f>IF(OR(K$99-$A117&lt;0,K$99-$A117&gt;35),0,$B117*INDEX($B$17:$B$52,K$99-$A117+1))</f>
        <v/>
      </c>
      <c r="L117" s="13">
        <f>IF(OR(L$99-$A117&lt;0,L$99-$A117&gt;35),0,$B117*INDEX($B$17:$B$52,L$99-$A117+1))</f>
        <v/>
      </c>
      <c r="M117" s="13">
        <f>IF(OR(M$99-$A117&lt;0,M$99-$A117&gt;35),0,$B117*INDEX($B$17:$B$52,M$99-$A117+1))</f>
        <v/>
      </c>
      <c r="N117" s="13">
        <f>IF(OR(N$99-$A117&lt;0,N$99-$A117&gt;35),0,$B117*INDEX($B$17:$B$52,N$99-$A117+1))</f>
        <v/>
      </c>
      <c r="O117" s="13">
        <f>IF(OR(O$99-$A117&lt;0,O$99-$A117&gt;35),0,$B117*INDEX($B$17:$B$52,O$99-$A117+1))</f>
        <v/>
      </c>
      <c r="P117" s="13">
        <f>IF(OR(P$99-$A117&lt;0,P$99-$A117&gt;35),0,$B117*INDEX($B$17:$B$52,P$99-$A117+1))</f>
        <v/>
      </c>
      <c r="Q117" s="13">
        <f>IF(OR(Q$99-$A117&lt;0,Q$99-$A117&gt;35),0,$B117*INDEX($B$17:$B$52,Q$99-$A117+1))</f>
        <v/>
      </c>
      <c r="R117" s="13">
        <f>IF(OR(R$99-$A117&lt;0,R$99-$A117&gt;35),0,$B117*INDEX($B$17:$B$52,R$99-$A117+1))</f>
        <v/>
      </c>
    </row>
    <row r="118">
      <c r="A118" s="12">
        <f>A75</f>
        <v/>
      </c>
      <c r="B118" s="15">
        <f>B75</f>
        <v/>
      </c>
      <c r="D118" s="13">
        <f>IF(OR(D$99-$A118&lt;0,D$99-$A118&gt;35),0,$B118*INDEX($B$17:$B$52,D$99-$A118+1))</f>
        <v/>
      </c>
      <c r="E118" s="13">
        <f>IF(OR(E$99-$A118&lt;0,E$99-$A118&gt;35),0,$B118*INDEX($B$17:$B$52,E$99-$A118+1))</f>
        <v/>
      </c>
      <c r="F118" s="13">
        <f>IF(OR(F$99-$A118&lt;0,F$99-$A118&gt;35),0,$B118*INDEX($B$17:$B$52,F$99-$A118+1))</f>
        <v/>
      </c>
      <c r="G118" s="13">
        <f>IF(OR(G$99-$A118&lt;0,G$99-$A118&gt;35),0,$B118*INDEX($B$17:$B$52,G$99-$A118+1))</f>
        <v/>
      </c>
      <c r="H118" s="13">
        <f>IF(OR(H$99-$A118&lt;0,H$99-$A118&gt;35),0,$B118*INDEX($B$17:$B$52,H$99-$A118+1))</f>
        <v/>
      </c>
      <c r="I118" s="13">
        <f>IF(OR(I$99-$A118&lt;0,I$99-$A118&gt;35),0,$B118*INDEX($B$17:$B$52,I$99-$A118+1))</f>
        <v/>
      </c>
      <c r="J118" s="13">
        <f>IF(OR(J$99-$A118&lt;0,J$99-$A118&gt;35),0,$B118*INDEX($B$17:$B$52,J$99-$A118+1))</f>
        <v/>
      </c>
      <c r="K118" s="13">
        <f>IF(OR(K$99-$A118&lt;0,K$99-$A118&gt;35),0,$B118*INDEX($B$17:$B$52,K$99-$A118+1))</f>
        <v/>
      </c>
      <c r="L118" s="13">
        <f>IF(OR(L$99-$A118&lt;0,L$99-$A118&gt;35),0,$B118*INDEX($B$17:$B$52,L$99-$A118+1))</f>
        <v/>
      </c>
      <c r="M118" s="13">
        <f>IF(OR(M$99-$A118&lt;0,M$99-$A118&gt;35),0,$B118*INDEX($B$17:$B$52,M$99-$A118+1))</f>
        <v/>
      </c>
      <c r="N118" s="13">
        <f>IF(OR(N$99-$A118&lt;0,N$99-$A118&gt;35),0,$B118*INDEX($B$17:$B$52,N$99-$A118+1))</f>
        <v/>
      </c>
      <c r="O118" s="13">
        <f>IF(OR(O$99-$A118&lt;0,O$99-$A118&gt;35),0,$B118*INDEX($B$17:$B$52,O$99-$A118+1))</f>
        <v/>
      </c>
      <c r="P118" s="13">
        <f>IF(OR(P$99-$A118&lt;0,P$99-$A118&gt;35),0,$B118*INDEX($B$17:$B$52,P$99-$A118+1))</f>
        <v/>
      </c>
      <c r="Q118" s="13">
        <f>IF(OR(Q$99-$A118&lt;0,Q$99-$A118&gt;35),0,$B118*INDEX($B$17:$B$52,Q$99-$A118+1))</f>
        <v/>
      </c>
      <c r="R118" s="13">
        <f>IF(OR(R$99-$A118&lt;0,R$99-$A118&gt;35),0,$B118*INDEX($B$17:$B$52,R$99-$A118+1))</f>
        <v/>
      </c>
    </row>
    <row r="119">
      <c r="A119" s="12">
        <f>A76</f>
        <v/>
      </c>
      <c r="B119" s="15">
        <f>B76</f>
        <v/>
      </c>
      <c r="D119" s="13">
        <f>IF(OR(D$99-$A119&lt;0,D$99-$A119&gt;35),0,$B119*INDEX($B$17:$B$52,D$99-$A119+1))</f>
        <v/>
      </c>
      <c r="E119" s="13">
        <f>IF(OR(E$99-$A119&lt;0,E$99-$A119&gt;35),0,$B119*INDEX($B$17:$B$52,E$99-$A119+1))</f>
        <v/>
      </c>
      <c r="F119" s="13">
        <f>IF(OR(F$99-$A119&lt;0,F$99-$A119&gt;35),0,$B119*INDEX($B$17:$B$52,F$99-$A119+1))</f>
        <v/>
      </c>
      <c r="G119" s="13">
        <f>IF(OR(G$99-$A119&lt;0,G$99-$A119&gt;35),0,$B119*INDEX($B$17:$B$52,G$99-$A119+1))</f>
        <v/>
      </c>
      <c r="H119" s="13">
        <f>IF(OR(H$99-$A119&lt;0,H$99-$A119&gt;35),0,$B119*INDEX($B$17:$B$52,H$99-$A119+1))</f>
        <v/>
      </c>
      <c r="I119" s="13">
        <f>IF(OR(I$99-$A119&lt;0,I$99-$A119&gt;35),0,$B119*INDEX($B$17:$B$52,I$99-$A119+1))</f>
        <v/>
      </c>
      <c r="J119" s="13">
        <f>IF(OR(J$99-$A119&lt;0,J$99-$A119&gt;35),0,$B119*INDEX($B$17:$B$52,J$99-$A119+1))</f>
        <v/>
      </c>
      <c r="K119" s="13">
        <f>IF(OR(K$99-$A119&lt;0,K$99-$A119&gt;35),0,$B119*INDEX($B$17:$B$52,K$99-$A119+1))</f>
        <v/>
      </c>
      <c r="L119" s="13">
        <f>IF(OR(L$99-$A119&lt;0,L$99-$A119&gt;35),0,$B119*INDEX($B$17:$B$52,L$99-$A119+1))</f>
        <v/>
      </c>
      <c r="M119" s="13">
        <f>IF(OR(M$99-$A119&lt;0,M$99-$A119&gt;35),0,$B119*INDEX($B$17:$B$52,M$99-$A119+1))</f>
        <v/>
      </c>
      <c r="N119" s="13">
        <f>IF(OR(N$99-$A119&lt;0,N$99-$A119&gt;35),0,$B119*INDEX($B$17:$B$52,N$99-$A119+1))</f>
        <v/>
      </c>
      <c r="O119" s="13">
        <f>IF(OR(O$99-$A119&lt;0,O$99-$A119&gt;35),0,$B119*INDEX($B$17:$B$52,O$99-$A119+1))</f>
        <v/>
      </c>
      <c r="P119" s="13">
        <f>IF(OR(P$99-$A119&lt;0,P$99-$A119&gt;35),0,$B119*INDEX($B$17:$B$52,P$99-$A119+1))</f>
        <v/>
      </c>
      <c r="Q119" s="13">
        <f>IF(OR(Q$99-$A119&lt;0,Q$99-$A119&gt;35),0,$B119*INDEX($B$17:$B$52,Q$99-$A119+1))</f>
        <v/>
      </c>
      <c r="R119" s="13">
        <f>IF(OR(R$99-$A119&lt;0,R$99-$A119&gt;35),0,$B119*INDEX($B$17:$B$52,R$99-$A119+1))</f>
        <v/>
      </c>
    </row>
    <row r="120">
      <c r="A120" s="12">
        <f>A77</f>
        <v/>
      </c>
      <c r="B120" s="15">
        <f>B77</f>
        <v/>
      </c>
      <c r="D120" s="13">
        <f>IF(OR(D$99-$A120&lt;0,D$99-$A120&gt;35),0,$B120*INDEX($B$17:$B$52,D$99-$A120+1))</f>
        <v/>
      </c>
      <c r="E120" s="13">
        <f>IF(OR(E$99-$A120&lt;0,E$99-$A120&gt;35),0,$B120*INDEX($B$17:$B$52,E$99-$A120+1))</f>
        <v/>
      </c>
      <c r="F120" s="13">
        <f>IF(OR(F$99-$A120&lt;0,F$99-$A120&gt;35),0,$B120*INDEX($B$17:$B$52,F$99-$A120+1))</f>
        <v/>
      </c>
      <c r="G120" s="13">
        <f>IF(OR(G$99-$A120&lt;0,G$99-$A120&gt;35),0,$B120*INDEX($B$17:$B$52,G$99-$A120+1))</f>
        <v/>
      </c>
      <c r="H120" s="13">
        <f>IF(OR(H$99-$A120&lt;0,H$99-$A120&gt;35),0,$B120*INDEX($B$17:$B$52,H$99-$A120+1))</f>
        <v/>
      </c>
      <c r="I120" s="13">
        <f>IF(OR(I$99-$A120&lt;0,I$99-$A120&gt;35),0,$B120*INDEX($B$17:$B$52,I$99-$A120+1))</f>
        <v/>
      </c>
      <c r="J120" s="13">
        <f>IF(OR(J$99-$A120&lt;0,J$99-$A120&gt;35),0,$B120*INDEX($B$17:$B$52,J$99-$A120+1))</f>
        <v/>
      </c>
      <c r="K120" s="13">
        <f>IF(OR(K$99-$A120&lt;0,K$99-$A120&gt;35),0,$B120*INDEX($B$17:$B$52,K$99-$A120+1))</f>
        <v/>
      </c>
      <c r="L120" s="13">
        <f>IF(OR(L$99-$A120&lt;0,L$99-$A120&gt;35),0,$B120*INDEX($B$17:$B$52,L$99-$A120+1))</f>
        <v/>
      </c>
      <c r="M120" s="13">
        <f>IF(OR(M$99-$A120&lt;0,M$99-$A120&gt;35),0,$B120*INDEX($B$17:$B$52,M$99-$A120+1))</f>
        <v/>
      </c>
      <c r="N120" s="13">
        <f>IF(OR(N$99-$A120&lt;0,N$99-$A120&gt;35),0,$B120*INDEX($B$17:$B$52,N$99-$A120+1))</f>
        <v/>
      </c>
      <c r="O120" s="13">
        <f>IF(OR(O$99-$A120&lt;0,O$99-$A120&gt;35),0,$B120*INDEX($B$17:$B$52,O$99-$A120+1))</f>
        <v/>
      </c>
      <c r="P120" s="13">
        <f>IF(OR(P$99-$A120&lt;0,P$99-$A120&gt;35),0,$B120*INDEX($B$17:$B$52,P$99-$A120+1))</f>
        <v/>
      </c>
      <c r="Q120" s="13">
        <f>IF(OR(Q$99-$A120&lt;0,Q$99-$A120&gt;35),0,$B120*INDEX($B$17:$B$52,Q$99-$A120+1))</f>
        <v/>
      </c>
      <c r="R120" s="13">
        <f>IF(OR(R$99-$A120&lt;0,R$99-$A120&gt;35),0,$B120*INDEX($B$17:$B$52,R$99-$A120+1))</f>
        <v/>
      </c>
    </row>
    <row r="121">
      <c r="A121" s="12">
        <f>A78</f>
        <v/>
      </c>
      <c r="B121" s="15">
        <f>B78</f>
        <v/>
      </c>
      <c r="D121" s="13">
        <f>IF(OR(D$99-$A121&lt;0,D$99-$A121&gt;35),0,$B121*INDEX($B$17:$B$52,D$99-$A121+1))</f>
        <v/>
      </c>
      <c r="E121" s="13">
        <f>IF(OR(E$99-$A121&lt;0,E$99-$A121&gt;35),0,$B121*INDEX($B$17:$B$52,E$99-$A121+1))</f>
        <v/>
      </c>
      <c r="F121" s="13">
        <f>IF(OR(F$99-$A121&lt;0,F$99-$A121&gt;35),0,$B121*INDEX($B$17:$B$52,F$99-$A121+1))</f>
        <v/>
      </c>
      <c r="G121" s="13">
        <f>IF(OR(G$99-$A121&lt;0,G$99-$A121&gt;35),0,$B121*INDEX($B$17:$B$52,G$99-$A121+1))</f>
        <v/>
      </c>
      <c r="H121" s="13">
        <f>IF(OR(H$99-$A121&lt;0,H$99-$A121&gt;35),0,$B121*INDEX($B$17:$B$52,H$99-$A121+1))</f>
        <v/>
      </c>
      <c r="I121" s="13">
        <f>IF(OR(I$99-$A121&lt;0,I$99-$A121&gt;35),0,$B121*INDEX($B$17:$B$52,I$99-$A121+1))</f>
        <v/>
      </c>
      <c r="J121" s="13">
        <f>IF(OR(J$99-$A121&lt;0,J$99-$A121&gt;35),0,$B121*INDEX($B$17:$B$52,J$99-$A121+1))</f>
        <v/>
      </c>
      <c r="K121" s="13">
        <f>IF(OR(K$99-$A121&lt;0,K$99-$A121&gt;35),0,$B121*INDEX($B$17:$B$52,K$99-$A121+1))</f>
        <v/>
      </c>
      <c r="L121" s="13">
        <f>IF(OR(L$99-$A121&lt;0,L$99-$A121&gt;35),0,$B121*INDEX($B$17:$B$52,L$99-$A121+1))</f>
        <v/>
      </c>
      <c r="M121" s="13">
        <f>IF(OR(M$99-$A121&lt;0,M$99-$A121&gt;35),0,$B121*INDEX($B$17:$B$52,M$99-$A121+1))</f>
        <v/>
      </c>
      <c r="N121" s="13">
        <f>IF(OR(N$99-$A121&lt;0,N$99-$A121&gt;35),0,$B121*INDEX($B$17:$B$52,N$99-$A121+1))</f>
        <v/>
      </c>
      <c r="O121" s="13">
        <f>IF(OR(O$99-$A121&lt;0,O$99-$A121&gt;35),0,$B121*INDEX($B$17:$B$52,O$99-$A121+1))</f>
        <v/>
      </c>
      <c r="P121" s="13">
        <f>IF(OR(P$99-$A121&lt;0,P$99-$A121&gt;35),0,$B121*INDEX($B$17:$B$52,P$99-$A121+1))</f>
        <v/>
      </c>
      <c r="Q121" s="13">
        <f>IF(OR(Q$99-$A121&lt;0,Q$99-$A121&gt;35),0,$B121*INDEX($B$17:$B$52,Q$99-$A121+1))</f>
        <v/>
      </c>
      <c r="R121" s="13">
        <f>IF(OR(R$99-$A121&lt;0,R$99-$A121&gt;35),0,$B121*INDEX($B$17:$B$52,R$99-$A121+1))</f>
        <v/>
      </c>
    </row>
    <row r="122">
      <c r="A122" s="12">
        <f>A79</f>
        <v/>
      </c>
      <c r="B122" s="15">
        <f>B79</f>
        <v/>
      </c>
      <c r="D122" s="13">
        <f>IF(OR(D$99-$A122&lt;0,D$99-$A122&gt;35),0,$B122*INDEX($B$17:$B$52,D$99-$A122+1))</f>
        <v/>
      </c>
      <c r="E122" s="13">
        <f>IF(OR(E$99-$A122&lt;0,E$99-$A122&gt;35),0,$B122*INDEX($B$17:$B$52,E$99-$A122+1))</f>
        <v/>
      </c>
      <c r="F122" s="13">
        <f>IF(OR(F$99-$A122&lt;0,F$99-$A122&gt;35),0,$B122*INDEX($B$17:$B$52,F$99-$A122+1))</f>
        <v/>
      </c>
      <c r="G122" s="13">
        <f>IF(OR(G$99-$A122&lt;0,G$99-$A122&gt;35),0,$B122*INDEX($B$17:$B$52,G$99-$A122+1))</f>
        <v/>
      </c>
      <c r="H122" s="13">
        <f>IF(OR(H$99-$A122&lt;0,H$99-$A122&gt;35),0,$B122*INDEX($B$17:$B$52,H$99-$A122+1))</f>
        <v/>
      </c>
      <c r="I122" s="13">
        <f>IF(OR(I$99-$A122&lt;0,I$99-$A122&gt;35),0,$B122*INDEX($B$17:$B$52,I$99-$A122+1))</f>
        <v/>
      </c>
      <c r="J122" s="13">
        <f>IF(OR(J$99-$A122&lt;0,J$99-$A122&gt;35),0,$B122*INDEX($B$17:$B$52,J$99-$A122+1))</f>
        <v/>
      </c>
      <c r="K122" s="13">
        <f>IF(OR(K$99-$A122&lt;0,K$99-$A122&gt;35),0,$B122*INDEX($B$17:$B$52,K$99-$A122+1))</f>
        <v/>
      </c>
      <c r="L122" s="13">
        <f>IF(OR(L$99-$A122&lt;0,L$99-$A122&gt;35),0,$B122*INDEX($B$17:$B$52,L$99-$A122+1))</f>
        <v/>
      </c>
      <c r="M122" s="13">
        <f>IF(OR(M$99-$A122&lt;0,M$99-$A122&gt;35),0,$B122*INDEX($B$17:$B$52,M$99-$A122+1))</f>
        <v/>
      </c>
      <c r="N122" s="13">
        <f>IF(OR(N$99-$A122&lt;0,N$99-$A122&gt;35),0,$B122*INDEX($B$17:$B$52,N$99-$A122+1))</f>
        <v/>
      </c>
      <c r="O122" s="13">
        <f>IF(OR(O$99-$A122&lt;0,O$99-$A122&gt;35),0,$B122*INDEX($B$17:$B$52,O$99-$A122+1))</f>
        <v/>
      </c>
      <c r="P122" s="13">
        <f>IF(OR(P$99-$A122&lt;0,P$99-$A122&gt;35),0,$B122*INDEX($B$17:$B$52,P$99-$A122+1))</f>
        <v/>
      </c>
      <c r="Q122" s="13">
        <f>IF(OR(Q$99-$A122&lt;0,Q$99-$A122&gt;35),0,$B122*INDEX($B$17:$B$52,Q$99-$A122+1))</f>
        <v/>
      </c>
      <c r="R122" s="13">
        <f>IF(OR(R$99-$A122&lt;0,R$99-$A122&gt;35),0,$B122*INDEX($B$17:$B$52,R$99-$A122+1))</f>
        <v/>
      </c>
    </row>
    <row r="123">
      <c r="A123" s="12">
        <f>A80</f>
        <v/>
      </c>
      <c r="B123" s="15">
        <f>B80</f>
        <v/>
      </c>
      <c r="D123" s="13">
        <f>IF(OR(D$99-$A123&lt;0,D$99-$A123&gt;35),0,$B123*INDEX($B$17:$B$52,D$99-$A123+1))</f>
        <v/>
      </c>
      <c r="E123" s="13">
        <f>IF(OR(E$99-$A123&lt;0,E$99-$A123&gt;35),0,$B123*INDEX($B$17:$B$52,E$99-$A123+1))</f>
        <v/>
      </c>
      <c r="F123" s="13">
        <f>IF(OR(F$99-$A123&lt;0,F$99-$A123&gt;35),0,$B123*INDEX($B$17:$B$52,F$99-$A123+1))</f>
        <v/>
      </c>
      <c r="G123" s="13">
        <f>IF(OR(G$99-$A123&lt;0,G$99-$A123&gt;35),0,$B123*INDEX($B$17:$B$52,G$99-$A123+1))</f>
        <v/>
      </c>
      <c r="H123" s="13">
        <f>IF(OR(H$99-$A123&lt;0,H$99-$A123&gt;35),0,$B123*INDEX($B$17:$B$52,H$99-$A123+1))</f>
        <v/>
      </c>
      <c r="I123" s="13">
        <f>IF(OR(I$99-$A123&lt;0,I$99-$A123&gt;35),0,$B123*INDEX($B$17:$B$52,I$99-$A123+1))</f>
        <v/>
      </c>
      <c r="J123" s="13">
        <f>IF(OR(J$99-$A123&lt;0,J$99-$A123&gt;35),0,$B123*INDEX($B$17:$B$52,J$99-$A123+1))</f>
        <v/>
      </c>
      <c r="K123" s="13">
        <f>IF(OR(K$99-$A123&lt;0,K$99-$A123&gt;35),0,$B123*INDEX($B$17:$B$52,K$99-$A123+1))</f>
        <v/>
      </c>
      <c r="L123" s="13">
        <f>IF(OR(L$99-$A123&lt;0,L$99-$A123&gt;35),0,$B123*INDEX($B$17:$B$52,L$99-$A123+1))</f>
        <v/>
      </c>
      <c r="M123" s="13">
        <f>IF(OR(M$99-$A123&lt;0,M$99-$A123&gt;35),0,$B123*INDEX($B$17:$B$52,M$99-$A123+1))</f>
        <v/>
      </c>
      <c r="N123" s="13">
        <f>IF(OR(N$99-$A123&lt;0,N$99-$A123&gt;35),0,$B123*INDEX($B$17:$B$52,N$99-$A123+1))</f>
        <v/>
      </c>
      <c r="O123" s="13">
        <f>IF(OR(O$99-$A123&lt;0,O$99-$A123&gt;35),0,$B123*INDEX($B$17:$B$52,O$99-$A123+1))</f>
        <v/>
      </c>
      <c r="P123" s="13">
        <f>IF(OR(P$99-$A123&lt;0,P$99-$A123&gt;35),0,$B123*INDEX($B$17:$B$52,P$99-$A123+1))</f>
        <v/>
      </c>
      <c r="Q123" s="13">
        <f>IF(OR(Q$99-$A123&lt;0,Q$99-$A123&gt;35),0,$B123*INDEX($B$17:$B$52,Q$99-$A123+1))</f>
        <v/>
      </c>
      <c r="R123" s="13">
        <f>IF(OR(R$99-$A123&lt;0,R$99-$A123&gt;35),0,$B123*INDEX($B$17:$B$52,R$99-$A123+1))</f>
        <v/>
      </c>
    </row>
    <row r="124">
      <c r="A124" s="12">
        <f>A81</f>
        <v/>
      </c>
      <c r="B124" s="15">
        <f>B81</f>
        <v/>
      </c>
      <c r="D124" s="13">
        <f>IF(OR(D$99-$A124&lt;0,D$99-$A124&gt;35),0,$B124*INDEX($B$17:$B$52,D$99-$A124+1))</f>
        <v/>
      </c>
      <c r="E124" s="13">
        <f>IF(OR(E$99-$A124&lt;0,E$99-$A124&gt;35),0,$B124*INDEX($B$17:$B$52,E$99-$A124+1))</f>
        <v/>
      </c>
      <c r="F124" s="13">
        <f>IF(OR(F$99-$A124&lt;0,F$99-$A124&gt;35),0,$B124*INDEX($B$17:$B$52,F$99-$A124+1))</f>
        <v/>
      </c>
      <c r="G124" s="13">
        <f>IF(OR(G$99-$A124&lt;0,G$99-$A124&gt;35),0,$B124*INDEX($B$17:$B$52,G$99-$A124+1))</f>
        <v/>
      </c>
      <c r="H124" s="13">
        <f>IF(OR(H$99-$A124&lt;0,H$99-$A124&gt;35),0,$B124*INDEX($B$17:$B$52,H$99-$A124+1))</f>
        <v/>
      </c>
      <c r="I124" s="13">
        <f>IF(OR(I$99-$A124&lt;0,I$99-$A124&gt;35),0,$B124*INDEX($B$17:$B$52,I$99-$A124+1))</f>
        <v/>
      </c>
      <c r="J124" s="13">
        <f>IF(OR(J$99-$A124&lt;0,J$99-$A124&gt;35),0,$B124*INDEX($B$17:$B$52,J$99-$A124+1))</f>
        <v/>
      </c>
      <c r="K124" s="13">
        <f>IF(OR(K$99-$A124&lt;0,K$99-$A124&gt;35),0,$B124*INDEX($B$17:$B$52,K$99-$A124+1))</f>
        <v/>
      </c>
      <c r="L124" s="13">
        <f>IF(OR(L$99-$A124&lt;0,L$99-$A124&gt;35),0,$B124*INDEX($B$17:$B$52,L$99-$A124+1))</f>
        <v/>
      </c>
      <c r="M124" s="13">
        <f>IF(OR(M$99-$A124&lt;0,M$99-$A124&gt;35),0,$B124*INDEX($B$17:$B$52,M$99-$A124+1))</f>
        <v/>
      </c>
      <c r="N124" s="13">
        <f>IF(OR(N$99-$A124&lt;0,N$99-$A124&gt;35),0,$B124*INDEX($B$17:$B$52,N$99-$A124+1))</f>
        <v/>
      </c>
      <c r="O124" s="13">
        <f>IF(OR(O$99-$A124&lt;0,O$99-$A124&gt;35),0,$B124*INDEX($B$17:$B$52,O$99-$A124+1))</f>
        <v/>
      </c>
      <c r="P124" s="13">
        <f>IF(OR(P$99-$A124&lt;0,P$99-$A124&gt;35),0,$B124*INDEX($B$17:$B$52,P$99-$A124+1))</f>
        <v/>
      </c>
      <c r="Q124" s="13">
        <f>IF(OR(Q$99-$A124&lt;0,Q$99-$A124&gt;35),0,$B124*INDEX($B$17:$B$52,Q$99-$A124+1))</f>
        <v/>
      </c>
      <c r="R124" s="13">
        <f>IF(OR(R$99-$A124&lt;0,R$99-$A124&gt;35),0,$B124*INDEX($B$17:$B$52,R$99-$A124+1))</f>
        <v/>
      </c>
    </row>
    <row r="125">
      <c r="A125" s="12">
        <f>A82</f>
        <v/>
      </c>
      <c r="B125" s="15">
        <f>B82</f>
        <v/>
      </c>
      <c r="D125" s="13">
        <f>IF(OR(D$99-$A125&lt;0,D$99-$A125&gt;35),0,$B125*INDEX($B$17:$B$52,D$99-$A125+1))</f>
        <v/>
      </c>
      <c r="E125" s="13">
        <f>IF(OR(E$99-$A125&lt;0,E$99-$A125&gt;35),0,$B125*INDEX($B$17:$B$52,E$99-$A125+1))</f>
        <v/>
      </c>
      <c r="F125" s="13">
        <f>IF(OR(F$99-$A125&lt;0,F$99-$A125&gt;35),0,$B125*INDEX($B$17:$B$52,F$99-$A125+1))</f>
        <v/>
      </c>
      <c r="G125" s="13">
        <f>IF(OR(G$99-$A125&lt;0,G$99-$A125&gt;35),0,$B125*INDEX($B$17:$B$52,G$99-$A125+1))</f>
        <v/>
      </c>
      <c r="H125" s="13">
        <f>IF(OR(H$99-$A125&lt;0,H$99-$A125&gt;35),0,$B125*INDEX($B$17:$B$52,H$99-$A125+1))</f>
        <v/>
      </c>
      <c r="I125" s="13">
        <f>IF(OR(I$99-$A125&lt;0,I$99-$A125&gt;35),0,$B125*INDEX($B$17:$B$52,I$99-$A125+1))</f>
        <v/>
      </c>
      <c r="J125" s="13">
        <f>IF(OR(J$99-$A125&lt;0,J$99-$A125&gt;35),0,$B125*INDEX($B$17:$B$52,J$99-$A125+1))</f>
        <v/>
      </c>
      <c r="K125" s="13">
        <f>IF(OR(K$99-$A125&lt;0,K$99-$A125&gt;35),0,$B125*INDEX($B$17:$B$52,K$99-$A125+1))</f>
        <v/>
      </c>
      <c r="L125" s="13">
        <f>IF(OR(L$99-$A125&lt;0,L$99-$A125&gt;35),0,$B125*INDEX($B$17:$B$52,L$99-$A125+1))</f>
        <v/>
      </c>
      <c r="M125" s="13">
        <f>IF(OR(M$99-$A125&lt;0,M$99-$A125&gt;35),0,$B125*INDEX($B$17:$B$52,M$99-$A125+1))</f>
        <v/>
      </c>
      <c r="N125" s="13">
        <f>IF(OR(N$99-$A125&lt;0,N$99-$A125&gt;35),0,$B125*INDEX($B$17:$B$52,N$99-$A125+1))</f>
        <v/>
      </c>
      <c r="O125" s="13">
        <f>IF(OR(O$99-$A125&lt;0,O$99-$A125&gt;35),0,$B125*INDEX($B$17:$B$52,O$99-$A125+1))</f>
        <v/>
      </c>
      <c r="P125" s="13">
        <f>IF(OR(P$99-$A125&lt;0,P$99-$A125&gt;35),0,$B125*INDEX($B$17:$B$52,P$99-$A125+1))</f>
        <v/>
      </c>
      <c r="Q125" s="13">
        <f>IF(OR(Q$99-$A125&lt;0,Q$99-$A125&gt;35),0,$B125*INDEX($B$17:$B$52,Q$99-$A125+1))</f>
        <v/>
      </c>
      <c r="R125" s="13">
        <f>IF(OR(R$99-$A125&lt;0,R$99-$A125&gt;35),0,$B125*INDEX($B$17:$B$52,R$99-$A125+1))</f>
        <v/>
      </c>
    </row>
    <row r="126">
      <c r="A126" s="12">
        <f>A83</f>
        <v/>
      </c>
      <c r="B126" s="15">
        <f>B83</f>
        <v/>
      </c>
      <c r="D126" s="13">
        <f>IF(OR(D$99-$A126&lt;0,D$99-$A126&gt;35),0,$B126*INDEX($B$17:$B$52,D$99-$A126+1))</f>
        <v/>
      </c>
      <c r="E126" s="13">
        <f>IF(OR(E$99-$A126&lt;0,E$99-$A126&gt;35),0,$B126*INDEX($B$17:$B$52,E$99-$A126+1))</f>
        <v/>
      </c>
      <c r="F126" s="13">
        <f>IF(OR(F$99-$A126&lt;0,F$99-$A126&gt;35),0,$B126*INDEX($B$17:$B$52,F$99-$A126+1))</f>
        <v/>
      </c>
      <c r="G126" s="13">
        <f>IF(OR(G$99-$A126&lt;0,G$99-$A126&gt;35),0,$B126*INDEX($B$17:$B$52,G$99-$A126+1))</f>
        <v/>
      </c>
      <c r="H126" s="13">
        <f>IF(OR(H$99-$A126&lt;0,H$99-$A126&gt;35),0,$B126*INDEX($B$17:$B$52,H$99-$A126+1))</f>
        <v/>
      </c>
      <c r="I126" s="13">
        <f>IF(OR(I$99-$A126&lt;0,I$99-$A126&gt;35),0,$B126*INDEX($B$17:$B$52,I$99-$A126+1))</f>
        <v/>
      </c>
      <c r="J126" s="13">
        <f>IF(OR(J$99-$A126&lt;0,J$99-$A126&gt;35),0,$B126*INDEX($B$17:$B$52,J$99-$A126+1))</f>
        <v/>
      </c>
      <c r="K126" s="13">
        <f>IF(OR(K$99-$A126&lt;0,K$99-$A126&gt;35),0,$B126*INDEX($B$17:$B$52,K$99-$A126+1))</f>
        <v/>
      </c>
      <c r="L126" s="13">
        <f>IF(OR(L$99-$A126&lt;0,L$99-$A126&gt;35),0,$B126*INDEX($B$17:$B$52,L$99-$A126+1))</f>
        <v/>
      </c>
      <c r="M126" s="13">
        <f>IF(OR(M$99-$A126&lt;0,M$99-$A126&gt;35),0,$B126*INDEX($B$17:$B$52,M$99-$A126+1))</f>
        <v/>
      </c>
      <c r="N126" s="13">
        <f>IF(OR(N$99-$A126&lt;0,N$99-$A126&gt;35),0,$B126*INDEX($B$17:$B$52,N$99-$A126+1))</f>
        <v/>
      </c>
      <c r="O126" s="13">
        <f>IF(OR(O$99-$A126&lt;0,O$99-$A126&gt;35),0,$B126*INDEX($B$17:$B$52,O$99-$A126+1))</f>
        <v/>
      </c>
      <c r="P126" s="13">
        <f>IF(OR(P$99-$A126&lt;0,P$99-$A126&gt;35),0,$B126*INDEX($B$17:$B$52,P$99-$A126+1))</f>
        <v/>
      </c>
      <c r="Q126" s="13">
        <f>IF(OR(Q$99-$A126&lt;0,Q$99-$A126&gt;35),0,$B126*INDEX($B$17:$B$52,Q$99-$A126+1))</f>
        <v/>
      </c>
      <c r="R126" s="13">
        <f>IF(OR(R$99-$A126&lt;0,R$99-$A126&gt;35),0,$B126*INDEX($B$17:$B$52,R$99-$A126+1))</f>
        <v/>
      </c>
    </row>
    <row r="127">
      <c r="A127" s="12">
        <f>A84</f>
        <v/>
      </c>
      <c r="B127" s="15">
        <f>B84</f>
        <v/>
      </c>
      <c r="D127" s="13">
        <f>IF(OR(D$99-$A127&lt;0,D$99-$A127&gt;35),0,$B127*INDEX($B$17:$B$52,D$99-$A127+1))</f>
        <v/>
      </c>
      <c r="E127" s="13">
        <f>IF(OR(E$99-$A127&lt;0,E$99-$A127&gt;35),0,$B127*INDEX($B$17:$B$52,E$99-$A127+1))</f>
        <v/>
      </c>
      <c r="F127" s="13">
        <f>IF(OR(F$99-$A127&lt;0,F$99-$A127&gt;35),0,$B127*INDEX($B$17:$B$52,F$99-$A127+1))</f>
        <v/>
      </c>
      <c r="G127" s="13">
        <f>IF(OR(G$99-$A127&lt;0,G$99-$A127&gt;35),0,$B127*INDEX($B$17:$B$52,G$99-$A127+1))</f>
        <v/>
      </c>
      <c r="H127" s="13">
        <f>IF(OR(H$99-$A127&lt;0,H$99-$A127&gt;35),0,$B127*INDEX($B$17:$B$52,H$99-$A127+1))</f>
        <v/>
      </c>
      <c r="I127" s="13">
        <f>IF(OR(I$99-$A127&lt;0,I$99-$A127&gt;35),0,$B127*INDEX($B$17:$B$52,I$99-$A127+1))</f>
        <v/>
      </c>
      <c r="J127" s="13">
        <f>IF(OR(J$99-$A127&lt;0,J$99-$A127&gt;35),0,$B127*INDEX($B$17:$B$52,J$99-$A127+1))</f>
        <v/>
      </c>
      <c r="K127" s="13">
        <f>IF(OR(K$99-$A127&lt;0,K$99-$A127&gt;35),0,$B127*INDEX($B$17:$B$52,K$99-$A127+1))</f>
        <v/>
      </c>
      <c r="L127" s="13">
        <f>IF(OR(L$99-$A127&lt;0,L$99-$A127&gt;35),0,$B127*INDEX($B$17:$B$52,L$99-$A127+1))</f>
        <v/>
      </c>
      <c r="M127" s="13">
        <f>IF(OR(M$99-$A127&lt;0,M$99-$A127&gt;35),0,$B127*INDEX($B$17:$B$52,M$99-$A127+1))</f>
        <v/>
      </c>
      <c r="N127" s="13">
        <f>IF(OR(N$99-$A127&lt;0,N$99-$A127&gt;35),0,$B127*INDEX($B$17:$B$52,N$99-$A127+1))</f>
        <v/>
      </c>
      <c r="O127" s="13">
        <f>IF(OR(O$99-$A127&lt;0,O$99-$A127&gt;35),0,$B127*INDEX($B$17:$B$52,O$99-$A127+1))</f>
        <v/>
      </c>
      <c r="P127" s="13">
        <f>IF(OR(P$99-$A127&lt;0,P$99-$A127&gt;35),0,$B127*INDEX($B$17:$B$52,P$99-$A127+1))</f>
        <v/>
      </c>
      <c r="Q127" s="13">
        <f>IF(OR(Q$99-$A127&lt;0,Q$99-$A127&gt;35),0,$B127*INDEX($B$17:$B$52,Q$99-$A127+1))</f>
        <v/>
      </c>
      <c r="R127" s="13">
        <f>IF(OR(R$99-$A127&lt;0,R$99-$A127&gt;35),0,$B127*INDEX($B$17:$B$52,R$99-$A127+1))</f>
        <v/>
      </c>
    </row>
    <row r="128">
      <c r="A128" s="12">
        <f>A85</f>
        <v/>
      </c>
      <c r="B128" s="15">
        <f>B85</f>
        <v/>
      </c>
      <c r="D128" s="13">
        <f>IF(OR(D$99-$A128&lt;0,D$99-$A128&gt;35),0,$B128*INDEX($B$17:$B$52,D$99-$A128+1))</f>
        <v/>
      </c>
      <c r="E128" s="13">
        <f>IF(OR(E$99-$A128&lt;0,E$99-$A128&gt;35),0,$B128*INDEX($B$17:$B$52,E$99-$A128+1))</f>
        <v/>
      </c>
      <c r="F128" s="13">
        <f>IF(OR(F$99-$A128&lt;0,F$99-$A128&gt;35),0,$B128*INDEX($B$17:$B$52,F$99-$A128+1))</f>
        <v/>
      </c>
      <c r="G128" s="13">
        <f>IF(OR(G$99-$A128&lt;0,G$99-$A128&gt;35),0,$B128*INDEX($B$17:$B$52,G$99-$A128+1))</f>
        <v/>
      </c>
      <c r="H128" s="13">
        <f>IF(OR(H$99-$A128&lt;0,H$99-$A128&gt;35),0,$B128*INDEX($B$17:$B$52,H$99-$A128+1))</f>
        <v/>
      </c>
      <c r="I128" s="13">
        <f>IF(OR(I$99-$A128&lt;0,I$99-$A128&gt;35),0,$B128*INDEX($B$17:$B$52,I$99-$A128+1))</f>
        <v/>
      </c>
      <c r="J128" s="13">
        <f>IF(OR(J$99-$A128&lt;0,J$99-$A128&gt;35),0,$B128*INDEX($B$17:$B$52,J$99-$A128+1))</f>
        <v/>
      </c>
      <c r="K128" s="13">
        <f>IF(OR(K$99-$A128&lt;0,K$99-$A128&gt;35),0,$B128*INDEX($B$17:$B$52,K$99-$A128+1))</f>
        <v/>
      </c>
      <c r="L128" s="13">
        <f>IF(OR(L$99-$A128&lt;0,L$99-$A128&gt;35),0,$B128*INDEX($B$17:$B$52,L$99-$A128+1))</f>
        <v/>
      </c>
      <c r="M128" s="13">
        <f>IF(OR(M$99-$A128&lt;0,M$99-$A128&gt;35),0,$B128*INDEX($B$17:$B$52,M$99-$A128+1))</f>
        <v/>
      </c>
      <c r="N128" s="13">
        <f>IF(OR(N$99-$A128&lt;0,N$99-$A128&gt;35),0,$B128*INDEX($B$17:$B$52,N$99-$A128+1))</f>
        <v/>
      </c>
      <c r="O128" s="13">
        <f>IF(OR(O$99-$A128&lt;0,O$99-$A128&gt;35),0,$B128*INDEX($B$17:$B$52,O$99-$A128+1))</f>
        <v/>
      </c>
      <c r="P128" s="13">
        <f>IF(OR(P$99-$A128&lt;0,P$99-$A128&gt;35),0,$B128*INDEX($B$17:$B$52,P$99-$A128+1))</f>
        <v/>
      </c>
      <c r="Q128" s="13">
        <f>IF(OR(Q$99-$A128&lt;0,Q$99-$A128&gt;35),0,$B128*INDEX($B$17:$B$52,Q$99-$A128+1))</f>
        <v/>
      </c>
      <c r="R128" s="13">
        <f>IF(OR(R$99-$A128&lt;0,R$99-$A128&gt;35),0,$B128*INDEX($B$17:$B$52,R$99-$A128+1))</f>
        <v/>
      </c>
    </row>
    <row r="129">
      <c r="A129" s="12">
        <f>A86</f>
        <v/>
      </c>
      <c r="B129" s="15">
        <f>B86</f>
        <v/>
      </c>
      <c r="D129" s="13">
        <f>IF(OR(D$99-$A129&lt;0,D$99-$A129&gt;35),0,$B129*INDEX($B$17:$B$52,D$99-$A129+1))</f>
        <v/>
      </c>
      <c r="E129" s="13">
        <f>IF(OR(E$99-$A129&lt;0,E$99-$A129&gt;35),0,$B129*INDEX($B$17:$B$52,E$99-$A129+1))</f>
        <v/>
      </c>
      <c r="F129" s="13">
        <f>IF(OR(F$99-$A129&lt;0,F$99-$A129&gt;35),0,$B129*INDEX($B$17:$B$52,F$99-$A129+1))</f>
        <v/>
      </c>
      <c r="G129" s="13">
        <f>IF(OR(G$99-$A129&lt;0,G$99-$A129&gt;35),0,$B129*INDEX($B$17:$B$52,G$99-$A129+1))</f>
        <v/>
      </c>
      <c r="H129" s="13">
        <f>IF(OR(H$99-$A129&lt;0,H$99-$A129&gt;35),0,$B129*INDEX($B$17:$B$52,H$99-$A129+1))</f>
        <v/>
      </c>
      <c r="I129" s="13">
        <f>IF(OR(I$99-$A129&lt;0,I$99-$A129&gt;35),0,$B129*INDEX($B$17:$B$52,I$99-$A129+1))</f>
        <v/>
      </c>
      <c r="J129" s="13">
        <f>IF(OR(J$99-$A129&lt;0,J$99-$A129&gt;35),0,$B129*INDEX($B$17:$B$52,J$99-$A129+1))</f>
        <v/>
      </c>
      <c r="K129" s="13">
        <f>IF(OR(K$99-$A129&lt;0,K$99-$A129&gt;35),0,$B129*INDEX($B$17:$B$52,K$99-$A129+1))</f>
        <v/>
      </c>
      <c r="L129" s="13">
        <f>IF(OR(L$99-$A129&lt;0,L$99-$A129&gt;35),0,$B129*INDEX($B$17:$B$52,L$99-$A129+1))</f>
        <v/>
      </c>
      <c r="M129" s="13">
        <f>IF(OR(M$99-$A129&lt;0,M$99-$A129&gt;35),0,$B129*INDEX($B$17:$B$52,M$99-$A129+1))</f>
        <v/>
      </c>
      <c r="N129" s="13">
        <f>IF(OR(N$99-$A129&lt;0,N$99-$A129&gt;35),0,$B129*INDEX($B$17:$B$52,N$99-$A129+1))</f>
        <v/>
      </c>
      <c r="O129" s="13">
        <f>IF(OR(O$99-$A129&lt;0,O$99-$A129&gt;35),0,$B129*INDEX($B$17:$B$52,O$99-$A129+1))</f>
        <v/>
      </c>
      <c r="P129" s="13">
        <f>IF(OR(P$99-$A129&lt;0,P$99-$A129&gt;35),0,$B129*INDEX($B$17:$B$52,P$99-$A129+1))</f>
        <v/>
      </c>
      <c r="Q129" s="13">
        <f>IF(OR(Q$99-$A129&lt;0,Q$99-$A129&gt;35),0,$B129*INDEX($B$17:$B$52,Q$99-$A129+1))</f>
        <v/>
      </c>
      <c r="R129" s="13">
        <f>IF(OR(R$99-$A129&lt;0,R$99-$A129&gt;35),0,$B129*INDEX($B$17:$B$52,R$99-$A129+1))</f>
        <v/>
      </c>
    </row>
    <row r="130">
      <c r="A130" s="12">
        <f>A87</f>
        <v/>
      </c>
      <c r="B130" s="15">
        <f>B87</f>
        <v/>
      </c>
      <c r="D130" s="13">
        <f>IF(OR(D$99-$A130&lt;0,D$99-$A130&gt;35),0,$B130*INDEX($B$17:$B$52,D$99-$A130+1))</f>
        <v/>
      </c>
      <c r="E130" s="13">
        <f>IF(OR(E$99-$A130&lt;0,E$99-$A130&gt;35),0,$B130*INDEX($B$17:$B$52,E$99-$A130+1))</f>
        <v/>
      </c>
      <c r="F130" s="13">
        <f>IF(OR(F$99-$A130&lt;0,F$99-$A130&gt;35),0,$B130*INDEX($B$17:$B$52,F$99-$A130+1))</f>
        <v/>
      </c>
      <c r="G130" s="13">
        <f>IF(OR(G$99-$A130&lt;0,G$99-$A130&gt;35),0,$B130*INDEX($B$17:$B$52,G$99-$A130+1))</f>
        <v/>
      </c>
      <c r="H130" s="13">
        <f>IF(OR(H$99-$A130&lt;0,H$99-$A130&gt;35),0,$B130*INDEX($B$17:$B$52,H$99-$A130+1))</f>
        <v/>
      </c>
      <c r="I130" s="13">
        <f>IF(OR(I$99-$A130&lt;0,I$99-$A130&gt;35),0,$B130*INDEX($B$17:$B$52,I$99-$A130+1))</f>
        <v/>
      </c>
      <c r="J130" s="13">
        <f>IF(OR(J$99-$A130&lt;0,J$99-$A130&gt;35),0,$B130*INDEX($B$17:$B$52,J$99-$A130+1))</f>
        <v/>
      </c>
      <c r="K130" s="13">
        <f>IF(OR(K$99-$A130&lt;0,K$99-$A130&gt;35),0,$B130*INDEX($B$17:$B$52,K$99-$A130+1))</f>
        <v/>
      </c>
      <c r="L130" s="13">
        <f>IF(OR(L$99-$A130&lt;0,L$99-$A130&gt;35),0,$B130*INDEX($B$17:$B$52,L$99-$A130+1))</f>
        <v/>
      </c>
      <c r="M130" s="13">
        <f>IF(OR(M$99-$A130&lt;0,M$99-$A130&gt;35),0,$B130*INDEX($B$17:$B$52,M$99-$A130+1))</f>
        <v/>
      </c>
      <c r="N130" s="13">
        <f>IF(OR(N$99-$A130&lt;0,N$99-$A130&gt;35),0,$B130*INDEX($B$17:$B$52,N$99-$A130+1))</f>
        <v/>
      </c>
      <c r="O130" s="13">
        <f>IF(OR(O$99-$A130&lt;0,O$99-$A130&gt;35),0,$B130*INDEX($B$17:$B$52,O$99-$A130+1))</f>
        <v/>
      </c>
      <c r="P130" s="13">
        <f>IF(OR(P$99-$A130&lt;0,P$99-$A130&gt;35),0,$B130*INDEX($B$17:$B$52,P$99-$A130+1))</f>
        <v/>
      </c>
      <c r="Q130" s="13">
        <f>IF(OR(Q$99-$A130&lt;0,Q$99-$A130&gt;35),0,$B130*INDEX($B$17:$B$52,Q$99-$A130+1))</f>
        <v/>
      </c>
      <c r="R130" s="13">
        <f>IF(OR(R$99-$A130&lt;0,R$99-$A130&gt;35),0,$B130*INDEX($B$17:$B$52,R$99-$A130+1))</f>
        <v/>
      </c>
    </row>
    <row r="131">
      <c r="A131" s="12">
        <f>A88</f>
        <v/>
      </c>
      <c r="B131" s="15">
        <f>B88</f>
        <v/>
      </c>
      <c r="D131" s="13">
        <f>IF(OR(D$99-$A131&lt;0,D$99-$A131&gt;35),0,$B131*INDEX($B$17:$B$52,D$99-$A131+1))</f>
        <v/>
      </c>
      <c r="E131" s="13">
        <f>IF(OR(E$99-$A131&lt;0,E$99-$A131&gt;35),0,$B131*INDEX($B$17:$B$52,E$99-$A131+1))</f>
        <v/>
      </c>
      <c r="F131" s="13">
        <f>IF(OR(F$99-$A131&lt;0,F$99-$A131&gt;35),0,$B131*INDEX($B$17:$B$52,F$99-$A131+1))</f>
        <v/>
      </c>
      <c r="G131" s="13">
        <f>IF(OR(G$99-$A131&lt;0,G$99-$A131&gt;35),0,$B131*INDEX($B$17:$B$52,G$99-$A131+1))</f>
        <v/>
      </c>
      <c r="H131" s="13">
        <f>IF(OR(H$99-$A131&lt;0,H$99-$A131&gt;35),0,$B131*INDEX($B$17:$B$52,H$99-$A131+1))</f>
        <v/>
      </c>
      <c r="I131" s="13">
        <f>IF(OR(I$99-$A131&lt;0,I$99-$A131&gt;35),0,$B131*INDEX($B$17:$B$52,I$99-$A131+1))</f>
        <v/>
      </c>
      <c r="J131" s="13">
        <f>IF(OR(J$99-$A131&lt;0,J$99-$A131&gt;35),0,$B131*INDEX($B$17:$B$52,J$99-$A131+1))</f>
        <v/>
      </c>
      <c r="K131" s="13">
        <f>IF(OR(K$99-$A131&lt;0,K$99-$A131&gt;35),0,$B131*INDEX($B$17:$B$52,K$99-$A131+1))</f>
        <v/>
      </c>
      <c r="L131" s="13">
        <f>IF(OR(L$99-$A131&lt;0,L$99-$A131&gt;35),0,$B131*INDEX($B$17:$B$52,L$99-$A131+1))</f>
        <v/>
      </c>
      <c r="M131" s="13">
        <f>IF(OR(M$99-$A131&lt;0,M$99-$A131&gt;35),0,$B131*INDEX($B$17:$B$52,M$99-$A131+1))</f>
        <v/>
      </c>
      <c r="N131" s="13">
        <f>IF(OR(N$99-$A131&lt;0,N$99-$A131&gt;35),0,$B131*INDEX($B$17:$B$52,N$99-$A131+1))</f>
        <v/>
      </c>
      <c r="O131" s="13">
        <f>IF(OR(O$99-$A131&lt;0,O$99-$A131&gt;35),0,$B131*INDEX($B$17:$B$52,O$99-$A131+1))</f>
        <v/>
      </c>
      <c r="P131" s="13">
        <f>IF(OR(P$99-$A131&lt;0,P$99-$A131&gt;35),0,$B131*INDEX($B$17:$B$52,P$99-$A131+1))</f>
        <v/>
      </c>
      <c r="Q131" s="13">
        <f>IF(OR(Q$99-$A131&lt;0,Q$99-$A131&gt;35),0,$B131*INDEX($B$17:$B$52,Q$99-$A131+1))</f>
        <v/>
      </c>
      <c r="R131" s="13">
        <f>IF(OR(R$99-$A131&lt;0,R$99-$A131&gt;35),0,$B131*INDEX($B$17:$B$52,R$99-$A131+1))</f>
        <v/>
      </c>
    </row>
    <row r="132">
      <c r="A132" s="12">
        <f>A89</f>
        <v/>
      </c>
      <c r="B132" s="15">
        <f>B89</f>
        <v/>
      </c>
      <c r="D132" s="13">
        <f>IF(OR(D$99-$A132&lt;0,D$99-$A132&gt;35),0,$B132*INDEX($B$17:$B$52,D$99-$A132+1))</f>
        <v/>
      </c>
      <c r="E132" s="13">
        <f>IF(OR(E$99-$A132&lt;0,E$99-$A132&gt;35),0,$B132*INDEX($B$17:$B$52,E$99-$A132+1))</f>
        <v/>
      </c>
      <c r="F132" s="13">
        <f>IF(OR(F$99-$A132&lt;0,F$99-$A132&gt;35),0,$B132*INDEX($B$17:$B$52,F$99-$A132+1))</f>
        <v/>
      </c>
      <c r="G132" s="13">
        <f>IF(OR(G$99-$A132&lt;0,G$99-$A132&gt;35),0,$B132*INDEX($B$17:$B$52,G$99-$A132+1))</f>
        <v/>
      </c>
      <c r="H132" s="13">
        <f>IF(OR(H$99-$A132&lt;0,H$99-$A132&gt;35),0,$B132*INDEX($B$17:$B$52,H$99-$A132+1))</f>
        <v/>
      </c>
      <c r="I132" s="13">
        <f>IF(OR(I$99-$A132&lt;0,I$99-$A132&gt;35),0,$B132*INDEX($B$17:$B$52,I$99-$A132+1))</f>
        <v/>
      </c>
      <c r="J132" s="13">
        <f>IF(OR(J$99-$A132&lt;0,J$99-$A132&gt;35),0,$B132*INDEX($B$17:$B$52,J$99-$A132+1))</f>
        <v/>
      </c>
      <c r="K132" s="13">
        <f>IF(OR(K$99-$A132&lt;0,K$99-$A132&gt;35),0,$B132*INDEX($B$17:$B$52,K$99-$A132+1))</f>
        <v/>
      </c>
      <c r="L132" s="13">
        <f>IF(OR(L$99-$A132&lt;0,L$99-$A132&gt;35),0,$B132*INDEX($B$17:$B$52,L$99-$A132+1))</f>
        <v/>
      </c>
      <c r="M132" s="13">
        <f>IF(OR(M$99-$A132&lt;0,M$99-$A132&gt;35),0,$B132*INDEX($B$17:$B$52,M$99-$A132+1))</f>
        <v/>
      </c>
      <c r="N132" s="13">
        <f>IF(OR(N$99-$A132&lt;0,N$99-$A132&gt;35),0,$B132*INDEX($B$17:$B$52,N$99-$A132+1))</f>
        <v/>
      </c>
      <c r="O132" s="13">
        <f>IF(OR(O$99-$A132&lt;0,O$99-$A132&gt;35),0,$B132*INDEX($B$17:$B$52,O$99-$A132+1))</f>
        <v/>
      </c>
      <c r="P132" s="13">
        <f>IF(OR(P$99-$A132&lt;0,P$99-$A132&gt;35),0,$B132*INDEX($B$17:$B$52,P$99-$A132+1))</f>
        <v/>
      </c>
      <c r="Q132" s="13">
        <f>IF(OR(Q$99-$A132&lt;0,Q$99-$A132&gt;35),0,$B132*INDEX($B$17:$B$52,Q$99-$A132+1))</f>
        <v/>
      </c>
      <c r="R132" s="13">
        <f>IF(OR(R$99-$A132&lt;0,R$99-$A132&gt;35),0,$B132*INDEX($B$17:$B$52,R$99-$A132+1))</f>
        <v/>
      </c>
    </row>
    <row r="133">
      <c r="A133" s="12">
        <f>A90</f>
        <v/>
      </c>
      <c r="B133" s="15">
        <f>B90</f>
        <v/>
      </c>
      <c r="D133" s="13">
        <f>IF(OR(D$99-$A133&lt;0,D$99-$A133&gt;35),0,$B133*INDEX($B$17:$B$52,D$99-$A133+1))</f>
        <v/>
      </c>
      <c r="E133" s="13">
        <f>IF(OR(E$99-$A133&lt;0,E$99-$A133&gt;35),0,$B133*INDEX($B$17:$B$52,E$99-$A133+1))</f>
        <v/>
      </c>
      <c r="F133" s="13">
        <f>IF(OR(F$99-$A133&lt;0,F$99-$A133&gt;35),0,$B133*INDEX($B$17:$B$52,F$99-$A133+1))</f>
        <v/>
      </c>
      <c r="G133" s="13">
        <f>IF(OR(G$99-$A133&lt;0,G$99-$A133&gt;35),0,$B133*INDEX($B$17:$B$52,G$99-$A133+1))</f>
        <v/>
      </c>
      <c r="H133" s="13">
        <f>IF(OR(H$99-$A133&lt;0,H$99-$A133&gt;35),0,$B133*INDEX($B$17:$B$52,H$99-$A133+1))</f>
        <v/>
      </c>
      <c r="I133" s="13">
        <f>IF(OR(I$99-$A133&lt;0,I$99-$A133&gt;35),0,$B133*INDEX($B$17:$B$52,I$99-$A133+1))</f>
        <v/>
      </c>
      <c r="J133" s="13">
        <f>IF(OR(J$99-$A133&lt;0,J$99-$A133&gt;35),0,$B133*INDEX($B$17:$B$52,J$99-$A133+1))</f>
        <v/>
      </c>
      <c r="K133" s="13">
        <f>IF(OR(K$99-$A133&lt;0,K$99-$A133&gt;35),0,$B133*INDEX($B$17:$B$52,K$99-$A133+1))</f>
        <v/>
      </c>
      <c r="L133" s="13">
        <f>IF(OR(L$99-$A133&lt;0,L$99-$A133&gt;35),0,$B133*INDEX($B$17:$B$52,L$99-$A133+1))</f>
        <v/>
      </c>
      <c r="M133" s="13">
        <f>IF(OR(M$99-$A133&lt;0,M$99-$A133&gt;35),0,$B133*INDEX($B$17:$B$52,M$99-$A133+1))</f>
        <v/>
      </c>
      <c r="N133" s="13">
        <f>IF(OR(N$99-$A133&lt;0,N$99-$A133&gt;35),0,$B133*INDEX($B$17:$B$52,N$99-$A133+1))</f>
        <v/>
      </c>
      <c r="O133" s="13">
        <f>IF(OR(O$99-$A133&lt;0,O$99-$A133&gt;35),0,$B133*INDEX($B$17:$B$52,O$99-$A133+1))</f>
        <v/>
      </c>
      <c r="P133" s="13">
        <f>IF(OR(P$99-$A133&lt;0,P$99-$A133&gt;35),0,$B133*INDEX($B$17:$B$52,P$99-$A133+1))</f>
        <v/>
      </c>
      <c r="Q133" s="13">
        <f>IF(OR(Q$99-$A133&lt;0,Q$99-$A133&gt;35),0,$B133*INDEX($B$17:$B$52,Q$99-$A133+1))</f>
        <v/>
      </c>
      <c r="R133" s="13">
        <f>IF(OR(R$99-$A133&lt;0,R$99-$A133&gt;35),0,$B133*INDEX($B$17:$B$52,R$99-$A133+1))</f>
        <v/>
      </c>
    </row>
    <row r="134">
      <c r="A134" s="12">
        <f>A91</f>
        <v/>
      </c>
      <c r="B134" s="15">
        <f>B91</f>
        <v/>
      </c>
      <c r="D134" s="13">
        <f>IF(OR(D$99-$A134&lt;0,D$99-$A134&gt;35),0,$B134*INDEX($B$17:$B$52,D$99-$A134+1))</f>
        <v/>
      </c>
      <c r="E134" s="13">
        <f>IF(OR(E$99-$A134&lt;0,E$99-$A134&gt;35),0,$B134*INDEX($B$17:$B$52,E$99-$A134+1))</f>
        <v/>
      </c>
      <c r="F134" s="13">
        <f>IF(OR(F$99-$A134&lt;0,F$99-$A134&gt;35),0,$B134*INDEX($B$17:$B$52,F$99-$A134+1))</f>
        <v/>
      </c>
      <c r="G134" s="13">
        <f>IF(OR(G$99-$A134&lt;0,G$99-$A134&gt;35),0,$B134*INDEX($B$17:$B$52,G$99-$A134+1))</f>
        <v/>
      </c>
      <c r="H134" s="13">
        <f>IF(OR(H$99-$A134&lt;0,H$99-$A134&gt;35),0,$B134*INDEX($B$17:$B$52,H$99-$A134+1))</f>
        <v/>
      </c>
      <c r="I134" s="13">
        <f>IF(OR(I$99-$A134&lt;0,I$99-$A134&gt;35),0,$B134*INDEX($B$17:$B$52,I$99-$A134+1))</f>
        <v/>
      </c>
      <c r="J134" s="13">
        <f>IF(OR(J$99-$A134&lt;0,J$99-$A134&gt;35),0,$B134*INDEX($B$17:$B$52,J$99-$A134+1))</f>
        <v/>
      </c>
      <c r="K134" s="13">
        <f>IF(OR(K$99-$A134&lt;0,K$99-$A134&gt;35),0,$B134*INDEX($B$17:$B$52,K$99-$A134+1))</f>
        <v/>
      </c>
      <c r="L134" s="13">
        <f>IF(OR(L$99-$A134&lt;0,L$99-$A134&gt;35),0,$B134*INDEX($B$17:$B$52,L$99-$A134+1))</f>
        <v/>
      </c>
      <c r="M134" s="13">
        <f>IF(OR(M$99-$A134&lt;0,M$99-$A134&gt;35),0,$B134*INDEX($B$17:$B$52,M$99-$A134+1))</f>
        <v/>
      </c>
      <c r="N134" s="13">
        <f>IF(OR(N$99-$A134&lt;0,N$99-$A134&gt;35),0,$B134*INDEX($B$17:$B$52,N$99-$A134+1))</f>
        <v/>
      </c>
      <c r="O134" s="13">
        <f>IF(OR(O$99-$A134&lt;0,O$99-$A134&gt;35),0,$B134*INDEX($B$17:$B$52,O$99-$A134+1))</f>
        <v/>
      </c>
      <c r="P134" s="13">
        <f>IF(OR(P$99-$A134&lt;0,P$99-$A134&gt;35),0,$B134*INDEX($B$17:$B$52,P$99-$A134+1))</f>
        <v/>
      </c>
      <c r="Q134" s="13">
        <f>IF(OR(Q$99-$A134&lt;0,Q$99-$A134&gt;35),0,$B134*INDEX($B$17:$B$52,Q$99-$A134+1))</f>
        <v/>
      </c>
      <c r="R134" s="13">
        <f>IF(OR(R$99-$A134&lt;0,R$99-$A134&gt;35),0,$B134*INDEX($B$17:$B$52,R$99-$A134+1))</f>
        <v/>
      </c>
    </row>
    <row r="135">
      <c r="A135" s="12">
        <f>A92</f>
        <v/>
      </c>
      <c r="B135" s="15">
        <f>B92</f>
        <v/>
      </c>
      <c r="D135" s="13">
        <f>IF(OR(D$99-$A135&lt;0,D$99-$A135&gt;35),0,$B135*INDEX($B$17:$B$52,D$99-$A135+1))</f>
        <v/>
      </c>
      <c r="E135" s="13">
        <f>IF(OR(E$99-$A135&lt;0,E$99-$A135&gt;35),0,$B135*INDEX($B$17:$B$52,E$99-$A135+1))</f>
        <v/>
      </c>
      <c r="F135" s="13">
        <f>IF(OR(F$99-$A135&lt;0,F$99-$A135&gt;35),0,$B135*INDEX($B$17:$B$52,F$99-$A135+1))</f>
        <v/>
      </c>
      <c r="G135" s="13">
        <f>IF(OR(G$99-$A135&lt;0,G$99-$A135&gt;35),0,$B135*INDEX($B$17:$B$52,G$99-$A135+1))</f>
        <v/>
      </c>
      <c r="H135" s="13">
        <f>IF(OR(H$99-$A135&lt;0,H$99-$A135&gt;35),0,$B135*INDEX($B$17:$B$52,H$99-$A135+1))</f>
        <v/>
      </c>
      <c r="I135" s="13">
        <f>IF(OR(I$99-$A135&lt;0,I$99-$A135&gt;35),0,$B135*INDEX($B$17:$B$52,I$99-$A135+1))</f>
        <v/>
      </c>
      <c r="J135" s="13">
        <f>IF(OR(J$99-$A135&lt;0,J$99-$A135&gt;35),0,$B135*INDEX($B$17:$B$52,J$99-$A135+1))</f>
        <v/>
      </c>
      <c r="K135" s="13">
        <f>IF(OR(K$99-$A135&lt;0,K$99-$A135&gt;35),0,$B135*INDEX($B$17:$B$52,K$99-$A135+1))</f>
        <v/>
      </c>
      <c r="L135" s="13">
        <f>IF(OR(L$99-$A135&lt;0,L$99-$A135&gt;35),0,$B135*INDEX($B$17:$B$52,L$99-$A135+1))</f>
        <v/>
      </c>
      <c r="M135" s="13">
        <f>IF(OR(M$99-$A135&lt;0,M$99-$A135&gt;35),0,$B135*INDEX($B$17:$B$52,M$99-$A135+1))</f>
        <v/>
      </c>
      <c r="N135" s="13">
        <f>IF(OR(N$99-$A135&lt;0,N$99-$A135&gt;35),0,$B135*INDEX($B$17:$B$52,N$99-$A135+1))</f>
        <v/>
      </c>
      <c r="O135" s="13">
        <f>IF(OR(O$99-$A135&lt;0,O$99-$A135&gt;35),0,$B135*INDEX($B$17:$B$52,O$99-$A135+1))</f>
        <v/>
      </c>
      <c r="P135" s="13">
        <f>IF(OR(P$99-$A135&lt;0,P$99-$A135&gt;35),0,$B135*INDEX($B$17:$B$52,P$99-$A135+1))</f>
        <v/>
      </c>
      <c r="Q135" s="13">
        <f>IF(OR(Q$99-$A135&lt;0,Q$99-$A135&gt;35),0,$B135*INDEX($B$17:$B$52,Q$99-$A135+1))</f>
        <v/>
      </c>
      <c r="R135" s="13">
        <f>IF(OR(R$99-$A135&lt;0,R$99-$A135&gt;35),0,$B135*INDEX($B$17:$B$52,R$99-$A135+1))</f>
        <v/>
      </c>
    </row>
    <row r="136">
      <c r="A136" s="12">
        <f>A93</f>
        <v/>
      </c>
      <c r="B136" s="15">
        <f>B93</f>
        <v/>
      </c>
      <c r="D136" s="13">
        <f>IF(OR(D$99-$A136&lt;0,D$99-$A136&gt;35),0,$B136*INDEX($B$17:$B$52,D$99-$A136+1))</f>
        <v/>
      </c>
      <c r="E136" s="13">
        <f>IF(OR(E$99-$A136&lt;0,E$99-$A136&gt;35),0,$B136*INDEX($B$17:$B$52,E$99-$A136+1))</f>
        <v/>
      </c>
      <c r="F136" s="13">
        <f>IF(OR(F$99-$A136&lt;0,F$99-$A136&gt;35),0,$B136*INDEX($B$17:$B$52,F$99-$A136+1))</f>
        <v/>
      </c>
      <c r="G136" s="13">
        <f>IF(OR(G$99-$A136&lt;0,G$99-$A136&gt;35),0,$B136*INDEX($B$17:$B$52,G$99-$A136+1))</f>
        <v/>
      </c>
      <c r="H136" s="13">
        <f>IF(OR(H$99-$A136&lt;0,H$99-$A136&gt;35),0,$B136*INDEX($B$17:$B$52,H$99-$A136+1))</f>
        <v/>
      </c>
      <c r="I136" s="13">
        <f>IF(OR(I$99-$A136&lt;0,I$99-$A136&gt;35),0,$B136*INDEX($B$17:$B$52,I$99-$A136+1))</f>
        <v/>
      </c>
      <c r="J136" s="13">
        <f>IF(OR(J$99-$A136&lt;0,J$99-$A136&gt;35),0,$B136*INDEX($B$17:$B$52,J$99-$A136+1))</f>
        <v/>
      </c>
      <c r="K136" s="13">
        <f>IF(OR(K$99-$A136&lt;0,K$99-$A136&gt;35),0,$B136*INDEX($B$17:$B$52,K$99-$A136+1))</f>
        <v/>
      </c>
      <c r="L136" s="13">
        <f>IF(OR(L$99-$A136&lt;0,L$99-$A136&gt;35),0,$B136*INDEX($B$17:$B$52,L$99-$A136+1))</f>
        <v/>
      </c>
      <c r="M136" s="13">
        <f>IF(OR(M$99-$A136&lt;0,M$99-$A136&gt;35),0,$B136*INDEX($B$17:$B$52,M$99-$A136+1))</f>
        <v/>
      </c>
      <c r="N136" s="13">
        <f>IF(OR(N$99-$A136&lt;0,N$99-$A136&gt;35),0,$B136*INDEX($B$17:$B$52,N$99-$A136+1))</f>
        <v/>
      </c>
      <c r="O136" s="13">
        <f>IF(OR(O$99-$A136&lt;0,O$99-$A136&gt;35),0,$B136*INDEX($B$17:$B$52,O$99-$A136+1))</f>
        <v/>
      </c>
      <c r="P136" s="13">
        <f>IF(OR(P$99-$A136&lt;0,P$99-$A136&gt;35),0,$B136*INDEX($B$17:$B$52,P$99-$A136+1))</f>
        <v/>
      </c>
      <c r="Q136" s="13">
        <f>IF(OR(Q$99-$A136&lt;0,Q$99-$A136&gt;35),0,$B136*INDEX($B$17:$B$52,Q$99-$A136+1))</f>
        <v/>
      </c>
      <c r="R136" s="13">
        <f>IF(OR(R$99-$A136&lt;0,R$99-$A136&gt;35),0,$B136*INDEX($B$17:$B$52,R$99-$A136+1))</f>
        <v/>
      </c>
    </row>
    <row r="137">
      <c r="A137" s="12">
        <f>A94</f>
        <v/>
      </c>
      <c r="B137" s="15">
        <f>B94</f>
        <v/>
      </c>
      <c r="D137" s="13">
        <f>IF(OR(D$99-$A137&lt;0,D$99-$A137&gt;35),0,$B137*INDEX($B$17:$B$52,D$99-$A137+1))</f>
        <v/>
      </c>
      <c r="E137" s="13">
        <f>IF(OR(E$99-$A137&lt;0,E$99-$A137&gt;35),0,$B137*INDEX($B$17:$B$52,E$99-$A137+1))</f>
        <v/>
      </c>
      <c r="F137" s="13">
        <f>IF(OR(F$99-$A137&lt;0,F$99-$A137&gt;35),0,$B137*INDEX($B$17:$B$52,F$99-$A137+1))</f>
        <v/>
      </c>
      <c r="G137" s="13">
        <f>IF(OR(G$99-$A137&lt;0,G$99-$A137&gt;35),0,$B137*INDEX($B$17:$B$52,G$99-$A137+1))</f>
        <v/>
      </c>
      <c r="H137" s="13">
        <f>IF(OR(H$99-$A137&lt;0,H$99-$A137&gt;35),0,$B137*INDEX($B$17:$B$52,H$99-$A137+1))</f>
        <v/>
      </c>
      <c r="I137" s="13">
        <f>IF(OR(I$99-$A137&lt;0,I$99-$A137&gt;35),0,$B137*INDEX($B$17:$B$52,I$99-$A137+1))</f>
        <v/>
      </c>
      <c r="J137" s="13">
        <f>IF(OR(J$99-$A137&lt;0,J$99-$A137&gt;35),0,$B137*INDEX($B$17:$B$52,J$99-$A137+1))</f>
        <v/>
      </c>
      <c r="K137" s="13">
        <f>IF(OR(K$99-$A137&lt;0,K$99-$A137&gt;35),0,$B137*INDEX($B$17:$B$52,K$99-$A137+1))</f>
        <v/>
      </c>
      <c r="L137" s="13">
        <f>IF(OR(L$99-$A137&lt;0,L$99-$A137&gt;35),0,$B137*INDEX($B$17:$B$52,L$99-$A137+1))</f>
        <v/>
      </c>
      <c r="M137" s="13">
        <f>IF(OR(M$99-$A137&lt;0,M$99-$A137&gt;35),0,$B137*INDEX($B$17:$B$52,M$99-$A137+1))</f>
        <v/>
      </c>
      <c r="N137" s="13">
        <f>IF(OR(N$99-$A137&lt;0,N$99-$A137&gt;35),0,$B137*INDEX($B$17:$B$52,N$99-$A137+1))</f>
        <v/>
      </c>
      <c r="O137" s="13">
        <f>IF(OR(O$99-$A137&lt;0,O$99-$A137&gt;35),0,$B137*INDEX($B$17:$B$52,O$99-$A137+1))</f>
        <v/>
      </c>
      <c r="P137" s="13">
        <f>IF(OR(P$99-$A137&lt;0,P$99-$A137&gt;35),0,$B137*INDEX($B$17:$B$52,P$99-$A137+1))</f>
        <v/>
      </c>
      <c r="Q137" s="13">
        <f>IF(OR(Q$99-$A137&lt;0,Q$99-$A137&gt;35),0,$B137*INDEX($B$17:$B$52,Q$99-$A137+1))</f>
        <v/>
      </c>
      <c r="R137" s="13">
        <f>IF(OR(R$99-$A137&lt;0,R$99-$A137&gt;35),0,$B137*INDEX($B$17:$B$52,R$99-$A137+1))</f>
        <v/>
      </c>
    </row>
    <row r="140">
      <c r="A140" s="3" t="inlineStr">
        <is>
          <t>MATRIX 2 — Insured-claim weight = fleet weight × R(age)</t>
        </is>
      </c>
    </row>
    <row r="141">
      <c r="A141" s="11" t="inlineStr">
        <is>
          <t>Model year</t>
        </is>
      </c>
      <c r="B141" s="11" t="inlineStr">
        <is>
          <t>Sales (M)</t>
        </is>
      </c>
      <c r="D141" s="17" t="n">
        <v>2018</v>
      </c>
      <c r="E141" s="17" t="n">
        <v>2019</v>
      </c>
      <c r="F141" s="17" t="n">
        <v>2020</v>
      </c>
      <c r="G141" s="17" t="n">
        <v>2021</v>
      </c>
      <c r="H141" s="17" t="n">
        <v>2022</v>
      </c>
      <c r="I141" s="17" t="n">
        <v>2023</v>
      </c>
      <c r="J141" s="17" t="n">
        <v>2024</v>
      </c>
      <c r="K141" s="17" t="n">
        <v>2025</v>
      </c>
      <c r="L141" s="17" t="n">
        <v>2026</v>
      </c>
      <c r="M141" s="17" t="n">
        <v>2027</v>
      </c>
      <c r="N141" s="17" t="n">
        <v>2028</v>
      </c>
      <c r="O141" s="17" t="n">
        <v>2029</v>
      </c>
      <c r="P141" s="17" t="n">
        <v>2030</v>
      </c>
      <c r="Q141" s="17" t="n">
        <v>2031</v>
      </c>
      <c r="R141" s="17" t="n">
        <v>2032</v>
      </c>
    </row>
    <row r="142">
      <c r="A142" s="12">
        <f>A57</f>
        <v/>
      </c>
      <c r="B142" s="15">
        <f>B57</f>
        <v/>
      </c>
      <c r="D142" s="13">
        <f>IF(OR(D$141-$A142&lt;0,D$141-$A142&gt;35),0,D100*INDEX($C$17:$C$52,D$141-$A142+1))</f>
        <v/>
      </c>
      <c r="E142" s="13">
        <f>IF(OR(E$141-$A142&lt;0,E$141-$A142&gt;35),0,E100*INDEX($C$17:$C$52,E$141-$A142+1))</f>
        <v/>
      </c>
      <c r="F142" s="13">
        <f>IF(OR(F$141-$A142&lt;0,F$141-$A142&gt;35),0,F100*INDEX($C$17:$C$52,F$141-$A142+1))</f>
        <v/>
      </c>
      <c r="G142" s="13">
        <f>IF(OR(G$141-$A142&lt;0,G$141-$A142&gt;35),0,G100*INDEX($C$17:$C$52,G$141-$A142+1))</f>
        <v/>
      </c>
      <c r="H142" s="13">
        <f>IF(OR(H$141-$A142&lt;0,H$141-$A142&gt;35),0,H100*INDEX($C$17:$C$52,H$141-$A142+1))</f>
        <v/>
      </c>
      <c r="I142" s="13">
        <f>IF(OR(I$141-$A142&lt;0,I$141-$A142&gt;35),0,I100*INDEX($C$17:$C$52,I$141-$A142+1))</f>
        <v/>
      </c>
      <c r="J142" s="13">
        <f>IF(OR(J$141-$A142&lt;0,J$141-$A142&gt;35),0,J100*INDEX($C$17:$C$52,J$141-$A142+1))</f>
        <v/>
      </c>
      <c r="K142" s="13">
        <f>IF(OR(K$141-$A142&lt;0,K$141-$A142&gt;35),0,K100*INDEX($C$17:$C$52,K$141-$A142+1))</f>
        <v/>
      </c>
      <c r="L142" s="13">
        <f>IF(OR(L$141-$A142&lt;0,L$141-$A142&gt;35),0,L100*INDEX($C$17:$C$52,L$141-$A142+1))</f>
        <v/>
      </c>
      <c r="M142" s="13">
        <f>IF(OR(M$141-$A142&lt;0,M$141-$A142&gt;35),0,M100*INDEX($C$17:$C$52,M$141-$A142+1))</f>
        <v/>
      </c>
      <c r="N142" s="13">
        <f>IF(OR(N$141-$A142&lt;0,N$141-$A142&gt;35),0,N100*INDEX($C$17:$C$52,N$141-$A142+1))</f>
        <v/>
      </c>
      <c r="O142" s="13">
        <f>IF(OR(O$141-$A142&lt;0,O$141-$A142&gt;35),0,O100*INDEX($C$17:$C$52,O$141-$A142+1))</f>
        <v/>
      </c>
      <c r="P142" s="13">
        <f>IF(OR(P$141-$A142&lt;0,P$141-$A142&gt;35),0,P100*INDEX($C$17:$C$52,P$141-$A142+1))</f>
        <v/>
      </c>
      <c r="Q142" s="13">
        <f>IF(OR(Q$141-$A142&lt;0,Q$141-$A142&gt;35),0,Q100*INDEX($C$17:$C$52,Q$141-$A142+1))</f>
        <v/>
      </c>
      <c r="R142" s="13">
        <f>IF(OR(R$141-$A142&lt;0,R$141-$A142&gt;35),0,R100*INDEX($C$17:$C$52,R$141-$A142+1))</f>
        <v/>
      </c>
    </row>
    <row r="143">
      <c r="A143" s="12">
        <f>A58</f>
        <v/>
      </c>
      <c r="B143" s="15">
        <f>B58</f>
        <v/>
      </c>
      <c r="D143" s="13">
        <f>IF(OR(D$141-$A143&lt;0,D$141-$A143&gt;35),0,D101*INDEX($C$17:$C$52,D$141-$A143+1))</f>
        <v/>
      </c>
      <c r="E143" s="13">
        <f>IF(OR(E$141-$A143&lt;0,E$141-$A143&gt;35),0,E101*INDEX($C$17:$C$52,E$141-$A143+1))</f>
        <v/>
      </c>
      <c r="F143" s="13">
        <f>IF(OR(F$141-$A143&lt;0,F$141-$A143&gt;35),0,F101*INDEX($C$17:$C$52,F$141-$A143+1))</f>
        <v/>
      </c>
      <c r="G143" s="13">
        <f>IF(OR(G$141-$A143&lt;0,G$141-$A143&gt;35),0,G101*INDEX($C$17:$C$52,G$141-$A143+1))</f>
        <v/>
      </c>
      <c r="H143" s="13">
        <f>IF(OR(H$141-$A143&lt;0,H$141-$A143&gt;35),0,H101*INDEX($C$17:$C$52,H$141-$A143+1))</f>
        <v/>
      </c>
      <c r="I143" s="13">
        <f>IF(OR(I$141-$A143&lt;0,I$141-$A143&gt;35),0,I101*INDEX($C$17:$C$52,I$141-$A143+1))</f>
        <v/>
      </c>
      <c r="J143" s="13">
        <f>IF(OR(J$141-$A143&lt;0,J$141-$A143&gt;35),0,J101*INDEX($C$17:$C$52,J$141-$A143+1))</f>
        <v/>
      </c>
      <c r="K143" s="13">
        <f>IF(OR(K$141-$A143&lt;0,K$141-$A143&gt;35),0,K101*INDEX($C$17:$C$52,K$141-$A143+1))</f>
        <v/>
      </c>
      <c r="L143" s="13">
        <f>IF(OR(L$141-$A143&lt;0,L$141-$A143&gt;35),0,L101*INDEX($C$17:$C$52,L$141-$A143+1))</f>
        <v/>
      </c>
      <c r="M143" s="13">
        <f>IF(OR(M$141-$A143&lt;0,M$141-$A143&gt;35),0,M101*INDEX($C$17:$C$52,M$141-$A143+1))</f>
        <v/>
      </c>
      <c r="N143" s="13">
        <f>IF(OR(N$141-$A143&lt;0,N$141-$A143&gt;35),0,N101*INDEX($C$17:$C$52,N$141-$A143+1))</f>
        <v/>
      </c>
      <c r="O143" s="13">
        <f>IF(OR(O$141-$A143&lt;0,O$141-$A143&gt;35),0,O101*INDEX($C$17:$C$52,O$141-$A143+1))</f>
        <v/>
      </c>
      <c r="P143" s="13">
        <f>IF(OR(P$141-$A143&lt;0,P$141-$A143&gt;35),0,P101*INDEX($C$17:$C$52,P$141-$A143+1))</f>
        <v/>
      </c>
      <c r="Q143" s="13">
        <f>IF(OR(Q$141-$A143&lt;0,Q$141-$A143&gt;35),0,Q101*INDEX($C$17:$C$52,Q$141-$A143+1))</f>
        <v/>
      </c>
      <c r="R143" s="13">
        <f>IF(OR(R$141-$A143&lt;0,R$141-$A143&gt;35),0,R101*INDEX($C$17:$C$52,R$141-$A143+1))</f>
        <v/>
      </c>
    </row>
    <row r="144">
      <c r="A144" s="12">
        <f>A59</f>
        <v/>
      </c>
      <c r="B144" s="15">
        <f>B59</f>
        <v/>
      </c>
      <c r="D144" s="13">
        <f>IF(OR(D$141-$A144&lt;0,D$141-$A144&gt;35),0,D102*INDEX($C$17:$C$52,D$141-$A144+1))</f>
        <v/>
      </c>
      <c r="E144" s="13">
        <f>IF(OR(E$141-$A144&lt;0,E$141-$A144&gt;35),0,E102*INDEX($C$17:$C$52,E$141-$A144+1))</f>
        <v/>
      </c>
      <c r="F144" s="13">
        <f>IF(OR(F$141-$A144&lt;0,F$141-$A144&gt;35),0,F102*INDEX($C$17:$C$52,F$141-$A144+1))</f>
        <v/>
      </c>
      <c r="G144" s="13">
        <f>IF(OR(G$141-$A144&lt;0,G$141-$A144&gt;35),0,G102*INDEX($C$17:$C$52,G$141-$A144+1))</f>
        <v/>
      </c>
      <c r="H144" s="13">
        <f>IF(OR(H$141-$A144&lt;0,H$141-$A144&gt;35),0,H102*INDEX($C$17:$C$52,H$141-$A144+1))</f>
        <v/>
      </c>
      <c r="I144" s="13">
        <f>IF(OR(I$141-$A144&lt;0,I$141-$A144&gt;35),0,I102*INDEX($C$17:$C$52,I$141-$A144+1))</f>
        <v/>
      </c>
      <c r="J144" s="13">
        <f>IF(OR(J$141-$A144&lt;0,J$141-$A144&gt;35),0,J102*INDEX($C$17:$C$52,J$141-$A144+1))</f>
        <v/>
      </c>
      <c r="K144" s="13">
        <f>IF(OR(K$141-$A144&lt;0,K$141-$A144&gt;35),0,K102*INDEX($C$17:$C$52,K$141-$A144+1))</f>
        <v/>
      </c>
      <c r="L144" s="13">
        <f>IF(OR(L$141-$A144&lt;0,L$141-$A144&gt;35),0,L102*INDEX($C$17:$C$52,L$141-$A144+1))</f>
        <v/>
      </c>
      <c r="M144" s="13">
        <f>IF(OR(M$141-$A144&lt;0,M$141-$A144&gt;35),0,M102*INDEX($C$17:$C$52,M$141-$A144+1))</f>
        <v/>
      </c>
      <c r="N144" s="13">
        <f>IF(OR(N$141-$A144&lt;0,N$141-$A144&gt;35),0,N102*INDEX($C$17:$C$52,N$141-$A144+1))</f>
        <v/>
      </c>
      <c r="O144" s="13">
        <f>IF(OR(O$141-$A144&lt;0,O$141-$A144&gt;35),0,O102*INDEX($C$17:$C$52,O$141-$A144+1))</f>
        <v/>
      </c>
      <c r="P144" s="13">
        <f>IF(OR(P$141-$A144&lt;0,P$141-$A144&gt;35),0,P102*INDEX($C$17:$C$52,P$141-$A144+1))</f>
        <v/>
      </c>
      <c r="Q144" s="13">
        <f>IF(OR(Q$141-$A144&lt;0,Q$141-$A144&gt;35),0,Q102*INDEX($C$17:$C$52,Q$141-$A144+1))</f>
        <v/>
      </c>
      <c r="R144" s="13">
        <f>IF(OR(R$141-$A144&lt;0,R$141-$A144&gt;35),0,R102*INDEX($C$17:$C$52,R$141-$A144+1))</f>
        <v/>
      </c>
    </row>
    <row r="145">
      <c r="A145" s="12">
        <f>A60</f>
        <v/>
      </c>
      <c r="B145" s="15">
        <f>B60</f>
        <v/>
      </c>
      <c r="D145" s="13">
        <f>IF(OR(D$141-$A145&lt;0,D$141-$A145&gt;35),0,D103*INDEX($C$17:$C$52,D$141-$A145+1))</f>
        <v/>
      </c>
      <c r="E145" s="13">
        <f>IF(OR(E$141-$A145&lt;0,E$141-$A145&gt;35),0,E103*INDEX($C$17:$C$52,E$141-$A145+1))</f>
        <v/>
      </c>
      <c r="F145" s="13">
        <f>IF(OR(F$141-$A145&lt;0,F$141-$A145&gt;35),0,F103*INDEX($C$17:$C$52,F$141-$A145+1))</f>
        <v/>
      </c>
      <c r="G145" s="13">
        <f>IF(OR(G$141-$A145&lt;0,G$141-$A145&gt;35),0,G103*INDEX($C$17:$C$52,G$141-$A145+1))</f>
        <v/>
      </c>
      <c r="H145" s="13">
        <f>IF(OR(H$141-$A145&lt;0,H$141-$A145&gt;35),0,H103*INDEX($C$17:$C$52,H$141-$A145+1))</f>
        <v/>
      </c>
      <c r="I145" s="13">
        <f>IF(OR(I$141-$A145&lt;0,I$141-$A145&gt;35),0,I103*INDEX($C$17:$C$52,I$141-$A145+1))</f>
        <v/>
      </c>
      <c r="J145" s="13">
        <f>IF(OR(J$141-$A145&lt;0,J$141-$A145&gt;35),0,J103*INDEX($C$17:$C$52,J$141-$A145+1))</f>
        <v/>
      </c>
      <c r="K145" s="13">
        <f>IF(OR(K$141-$A145&lt;0,K$141-$A145&gt;35),0,K103*INDEX($C$17:$C$52,K$141-$A145+1))</f>
        <v/>
      </c>
      <c r="L145" s="13">
        <f>IF(OR(L$141-$A145&lt;0,L$141-$A145&gt;35),0,L103*INDEX($C$17:$C$52,L$141-$A145+1))</f>
        <v/>
      </c>
      <c r="M145" s="13">
        <f>IF(OR(M$141-$A145&lt;0,M$141-$A145&gt;35),0,M103*INDEX($C$17:$C$52,M$141-$A145+1))</f>
        <v/>
      </c>
      <c r="N145" s="13">
        <f>IF(OR(N$141-$A145&lt;0,N$141-$A145&gt;35),0,N103*INDEX($C$17:$C$52,N$141-$A145+1))</f>
        <v/>
      </c>
      <c r="O145" s="13">
        <f>IF(OR(O$141-$A145&lt;0,O$141-$A145&gt;35),0,O103*INDEX($C$17:$C$52,O$141-$A145+1))</f>
        <v/>
      </c>
      <c r="P145" s="13">
        <f>IF(OR(P$141-$A145&lt;0,P$141-$A145&gt;35),0,P103*INDEX($C$17:$C$52,P$141-$A145+1))</f>
        <v/>
      </c>
      <c r="Q145" s="13">
        <f>IF(OR(Q$141-$A145&lt;0,Q$141-$A145&gt;35),0,Q103*INDEX($C$17:$C$52,Q$141-$A145+1))</f>
        <v/>
      </c>
      <c r="R145" s="13">
        <f>IF(OR(R$141-$A145&lt;0,R$141-$A145&gt;35),0,R103*INDEX($C$17:$C$52,R$141-$A145+1))</f>
        <v/>
      </c>
    </row>
    <row r="146">
      <c r="A146" s="12">
        <f>A61</f>
        <v/>
      </c>
      <c r="B146" s="15">
        <f>B61</f>
        <v/>
      </c>
      <c r="D146" s="13">
        <f>IF(OR(D$141-$A146&lt;0,D$141-$A146&gt;35),0,D104*INDEX($C$17:$C$52,D$141-$A146+1))</f>
        <v/>
      </c>
      <c r="E146" s="13">
        <f>IF(OR(E$141-$A146&lt;0,E$141-$A146&gt;35),0,E104*INDEX($C$17:$C$52,E$141-$A146+1))</f>
        <v/>
      </c>
      <c r="F146" s="13">
        <f>IF(OR(F$141-$A146&lt;0,F$141-$A146&gt;35),0,F104*INDEX($C$17:$C$52,F$141-$A146+1))</f>
        <v/>
      </c>
      <c r="G146" s="13">
        <f>IF(OR(G$141-$A146&lt;0,G$141-$A146&gt;35),0,G104*INDEX($C$17:$C$52,G$141-$A146+1))</f>
        <v/>
      </c>
      <c r="H146" s="13">
        <f>IF(OR(H$141-$A146&lt;0,H$141-$A146&gt;35),0,H104*INDEX($C$17:$C$52,H$141-$A146+1))</f>
        <v/>
      </c>
      <c r="I146" s="13">
        <f>IF(OR(I$141-$A146&lt;0,I$141-$A146&gt;35),0,I104*INDEX($C$17:$C$52,I$141-$A146+1))</f>
        <v/>
      </c>
      <c r="J146" s="13">
        <f>IF(OR(J$141-$A146&lt;0,J$141-$A146&gt;35),0,J104*INDEX($C$17:$C$52,J$141-$A146+1))</f>
        <v/>
      </c>
      <c r="K146" s="13">
        <f>IF(OR(K$141-$A146&lt;0,K$141-$A146&gt;35),0,K104*INDEX($C$17:$C$52,K$141-$A146+1))</f>
        <v/>
      </c>
      <c r="L146" s="13">
        <f>IF(OR(L$141-$A146&lt;0,L$141-$A146&gt;35),0,L104*INDEX($C$17:$C$52,L$141-$A146+1))</f>
        <v/>
      </c>
      <c r="M146" s="13">
        <f>IF(OR(M$141-$A146&lt;0,M$141-$A146&gt;35),0,M104*INDEX($C$17:$C$52,M$141-$A146+1))</f>
        <v/>
      </c>
      <c r="N146" s="13">
        <f>IF(OR(N$141-$A146&lt;0,N$141-$A146&gt;35),0,N104*INDEX($C$17:$C$52,N$141-$A146+1))</f>
        <v/>
      </c>
      <c r="O146" s="13">
        <f>IF(OR(O$141-$A146&lt;0,O$141-$A146&gt;35),0,O104*INDEX($C$17:$C$52,O$141-$A146+1))</f>
        <v/>
      </c>
      <c r="P146" s="13">
        <f>IF(OR(P$141-$A146&lt;0,P$141-$A146&gt;35),0,P104*INDEX($C$17:$C$52,P$141-$A146+1))</f>
        <v/>
      </c>
      <c r="Q146" s="13">
        <f>IF(OR(Q$141-$A146&lt;0,Q$141-$A146&gt;35),0,Q104*INDEX($C$17:$C$52,Q$141-$A146+1))</f>
        <v/>
      </c>
      <c r="R146" s="13">
        <f>IF(OR(R$141-$A146&lt;0,R$141-$A146&gt;35),0,R104*INDEX($C$17:$C$52,R$141-$A146+1))</f>
        <v/>
      </c>
    </row>
    <row r="147">
      <c r="A147" s="12">
        <f>A62</f>
        <v/>
      </c>
      <c r="B147" s="15">
        <f>B62</f>
        <v/>
      </c>
      <c r="D147" s="13">
        <f>IF(OR(D$141-$A147&lt;0,D$141-$A147&gt;35),0,D105*INDEX($C$17:$C$52,D$141-$A147+1))</f>
        <v/>
      </c>
      <c r="E147" s="13">
        <f>IF(OR(E$141-$A147&lt;0,E$141-$A147&gt;35),0,E105*INDEX($C$17:$C$52,E$141-$A147+1))</f>
        <v/>
      </c>
      <c r="F147" s="13">
        <f>IF(OR(F$141-$A147&lt;0,F$141-$A147&gt;35),0,F105*INDEX($C$17:$C$52,F$141-$A147+1))</f>
        <v/>
      </c>
      <c r="G147" s="13">
        <f>IF(OR(G$141-$A147&lt;0,G$141-$A147&gt;35),0,G105*INDEX($C$17:$C$52,G$141-$A147+1))</f>
        <v/>
      </c>
      <c r="H147" s="13">
        <f>IF(OR(H$141-$A147&lt;0,H$141-$A147&gt;35),0,H105*INDEX($C$17:$C$52,H$141-$A147+1))</f>
        <v/>
      </c>
      <c r="I147" s="13">
        <f>IF(OR(I$141-$A147&lt;0,I$141-$A147&gt;35),0,I105*INDEX($C$17:$C$52,I$141-$A147+1))</f>
        <v/>
      </c>
      <c r="J147" s="13">
        <f>IF(OR(J$141-$A147&lt;0,J$141-$A147&gt;35),0,J105*INDEX($C$17:$C$52,J$141-$A147+1))</f>
        <v/>
      </c>
      <c r="K147" s="13">
        <f>IF(OR(K$141-$A147&lt;0,K$141-$A147&gt;35),0,K105*INDEX($C$17:$C$52,K$141-$A147+1))</f>
        <v/>
      </c>
      <c r="L147" s="13">
        <f>IF(OR(L$141-$A147&lt;0,L$141-$A147&gt;35),0,L105*INDEX($C$17:$C$52,L$141-$A147+1))</f>
        <v/>
      </c>
      <c r="M147" s="13">
        <f>IF(OR(M$141-$A147&lt;0,M$141-$A147&gt;35),0,M105*INDEX($C$17:$C$52,M$141-$A147+1))</f>
        <v/>
      </c>
      <c r="N147" s="13">
        <f>IF(OR(N$141-$A147&lt;0,N$141-$A147&gt;35),0,N105*INDEX($C$17:$C$52,N$141-$A147+1))</f>
        <v/>
      </c>
      <c r="O147" s="13">
        <f>IF(OR(O$141-$A147&lt;0,O$141-$A147&gt;35),0,O105*INDEX($C$17:$C$52,O$141-$A147+1))</f>
        <v/>
      </c>
      <c r="P147" s="13">
        <f>IF(OR(P$141-$A147&lt;0,P$141-$A147&gt;35),0,P105*INDEX($C$17:$C$52,P$141-$A147+1))</f>
        <v/>
      </c>
      <c r="Q147" s="13">
        <f>IF(OR(Q$141-$A147&lt;0,Q$141-$A147&gt;35),0,Q105*INDEX($C$17:$C$52,Q$141-$A147+1))</f>
        <v/>
      </c>
      <c r="R147" s="13">
        <f>IF(OR(R$141-$A147&lt;0,R$141-$A147&gt;35),0,R105*INDEX($C$17:$C$52,R$141-$A147+1))</f>
        <v/>
      </c>
    </row>
    <row r="148">
      <c r="A148" s="12">
        <f>A63</f>
        <v/>
      </c>
      <c r="B148" s="15">
        <f>B63</f>
        <v/>
      </c>
      <c r="D148" s="13">
        <f>IF(OR(D$141-$A148&lt;0,D$141-$A148&gt;35),0,D106*INDEX($C$17:$C$52,D$141-$A148+1))</f>
        <v/>
      </c>
      <c r="E148" s="13">
        <f>IF(OR(E$141-$A148&lt;0,E$141-$A148&gt;35),0,E106*INDEX($C$17:$C$52,E$141-$A148+1))</f>
        <v/>
      </c>
      <c r="F148" s="13">
        <f>IF(OR(F$141-$A148&lt;0,F$141-$A148&gt;35),0,F106*INDEX($C$17:$C$52,F$141-$A148+1))</f>
        <v/>
      </c>
      <c r="G148" s="13">
        <f>IF(OR(G$141-$A148&lt;0,G$141-$A148&gt;35),0,G106*INDEX($C$17:$C$52,G$141-$A148+1))</f>
        <v/>
      </c>
      <c r="H148" s="13">
        <f>IF(OR(H$141-$A148&lt;0,H$141-$A148&gt;35),0,H106*INDEX($C$17:$C$52,H$141-$A148+1))</f>
        <v/>
      </c>
      <c r="I148" s="13">
        <f>IF(OR(I$141-$A148&lt;0,I$141-$A148&gt;35),0,I106*INDEX($C$17:$C$52,I$141-$A148+1))</f>
        <v/>
      </c>
      <c r="J148" s="13">
        <f>IF(OR(J$141-$A148&lt;0,J$141-$A148&gt;35),0,J106*INDEX($C$17:$C$52,J$141-$A148+1))</f>
        <v/>
      </c>
      <c r="K148" s="13">
        <f>IF(OR(K$141-$A148&lt;0,K$141-$A148&gt;35),0,K106*INDEX($C$17:$C$52,K$141-$A148+1))</f>
        <v/>
      </c>
      <c r="L148" s="13">
        <f>IF(OR(L$141-$A148&lt;0,L$141-$A148&gt;35),0,L106*INDEX($C$17:$C$52,L$141-$A148+1))</f>
        <v/>
      </c>
      <c r="M148" s="13">
        <f>IF(OR(M$141-$A148&lt;0,M$141-$A148&gt;35),0,M106*INDEX($C$17:$C$52,M$141-$A148+1))</f>
        <v/>
      </c>
      <c r="N148" s="13">
        <f>IF(OR(N$141-$A148&lt;0,N$141-$A148&gt;35),0,N106*INDEX($C$17:$C$52,N$141-$A148+1))</f>
        <v/>
      </c>
      <c r="O148" s="13">
        <f>IF(OR(O$141-$A148&lt;0,O$141-$A148&gt;35),0,O106*INDEX($C$17:$C$52,O$141-$A148+1))</f>
        <v/>
      </c>
      <c r="P148" s="13">
        <f>IF(OR(P$141-$A148&lt;0,P$141-$A148&gt;35),0,P106*INDEX($C$17:$C$52,P$141-$A148+1))</f>
        <v/>
      </c>
      <c r="Q148" s="13">
        <f>IF(OR(Q$141-$A148&lt;0,Q$141-$A148&gt;35),0,Q106*INDEX($C$17:$C$52,Q$141-$A148+1))</f>
        <v/>
      </c>
      <c r="R148" s="13">
        <f>IF(OR(R$141-$A148&lt;0,R$141-$A148&gt;35),0,R106*INDEX($C$17:$C$52,R$141-$A148+1))</f>
        <v/>
      </c>
    </row>
    <row r="149">
      <c r="A149" s="12">
        <f>A64</f>
        <v/>
      </c>
      <c r="B149" s="15">
        <f>B64</f>
        <v/>
      </c>
      <c r="D149" s="13">
        <f>IF(OR(D$141-$A149&lt;0,D$141-$A149&gt;35),0,D107*INDEX($C$17:$C$52,D$141-$A149+1))</f>
        <v/>
      </c>
      <c r="E149" s="13">
        <f>IF(OR(E$141-$A149&lt;0,E$141-$A149&gt;35),0,E107*INDEX($C$17:$C$52,E$141-$A149+1))</f>
        <v/>
      </c>
      <c r="F149" s="13">
        <f>IF(OR(F$141-$A149&lt;0,F$141-$A149&gt;35),0,F107*INDEX($C$17:$C$52,F$141-$A149+1))</f>
        <v/>
      </c>
      <c r="G149" s="13">
        <f>IF(OR(G$141-$A149&lt;0,G$141-$A149&gt;35),0,G107*INDEX($C$17:$C$52,G$141-$A149+1))</f>
        <v/>
      </c>
      <c r="H149" s="13">
        <f>IF(OR(H$141-$A149&lt;0,H$141-$A149&gt;35),0,H107*INDEX($C$17:$C$52,H$141-$A149+1))</f>
        <v/>
      </c>
      <c r="I149" s="13">
        <f>IF(OR(I$141-$A149&lt;0,I$141-$A149&gt;35),0,I107*INDEX($C$17:$C$52,I$141-$A149+1))</f>
        <v/>
      </c>
      <c r="J149" s="13">
        <f>IF(OR(J$141-$A149&lt;0,J$141-$A149&gt;35),0,J107*INDEX($C$17:$C$52,J$141-$A149+1))</f>
        <v/>
      </c>
      <c r="K149" s="13">
        <f>IF(OR(K$141-$A149&lt;0,K$141-$A149&gt;35),0,K107*INDEX($C$17:$C$52,K$141-$A149+1))</f>
        <v/>
      </c>
      <c r="L149" s="13">
        <f>IF(OR(L$141-$A149&lt;0,L$141-$A149&gt;35),0,L107*INDEX($C$17:$C$52,L$141-$A149+1))</f>
        <v/>
      </c>
      <c r="M149" s="13">
        <f>IF(OR(M$141-$A149&lt;0,M$141-$A149&gt;35),0,M107*INDEX($C$17:$C$52,M$141-$A149+1))</f>
        <v/>
      </c>
      <c r="N149" s="13">
        <f>IF(OR(N$141-$A149&lt;0,N$141-$A149&gt;35),0,N107*INDEX($C$17:$C$52,N$141-$A149+1))</f>
        <v/>
      </c>
      <c r="O149" s="13">
        <f>IF(OR(O$141-$A149&lt;0,O$141-$A149&gt;35),0,O107*INDEX($C$17:$C$52,O$141-$A149+1))</f>
        <v/>
      </c>
      <c r="P149" s="13">
        <f>IF(OR(P$141-$A149&lt;0,P$141-$A149&gt;35),0,P107*INDEX($C$17:$C$52,P$141-$A149+1))</f>
        <v/>
      </c>
      <c r="Q149" s="13">
        <f>IF(OR(Q$141-$A149&lt;0,Q$141-$A149&gt;35),0,Q107*INDEX($C$17:$C$52,Q$141-$A149+1))</f>
        <v/>
      </c>
      <c r="R149" s="13">
        <f>IF(OR(R$141-$A149&lt;0,R$141-$A149&gt;35),0,R107*INDEX($C$17:$C$52,R$141-$A149+1))</f>
        <v/>
      </c>
    </row>
    <row r="150">
      <c r="A150" s="12">
        <f>A65</f>
        <v/>
      </c>
      <c r="B150" s="15">
        <f>B65</f>
        <v/>
      </c>
      <c r="D150" s="13">
        <f>IF(OR(D$141-$A150&lt;0,D$141-$A150&gt;35),0,D108*INDEX($C$17:$C$52,D$141-$A150+1))</f>
        <v/>
      </c>
      <c r="E150" s="13">
        <f>IF(OR(E$141-$A150&lt;0,E$141-$A150&gt;35),0,E108*INDEX($C$17:$C$52,E$141-$A150+1))</f>
        <v/>
      </c>
      <c r="F150" s="13">
        <f>IF(OR(F$141-$A150&lt;0,F$141-$A150&gt;35),0,F108*INDEX($C$17:$C$52,F$141-$A150+1))</f>
        <v/>
      </c>
      <c r="G150" s="13">
        <f>IF(OR(G$141-$A150&lt;0,G$141-$A150&gt;35),0,G108*INDEX($C$17:$C$52,G$141-$A150+1))</f>
        <v/>
      </c>
      <c r="H150" s="13">
        <f>IF(OR(H$141-$A150&lt;0,H$141-$A150&gt;35),0,H108*INDEX($C$17:$C$52,H$141-$A150+1))</f>
        <v/>
      </c>
      <c r="I150" s="13">
        <f>IF(OR(I$141-$A150&lt;0,I$141-$A150&gt;35),0,I108*INDEX($C$17:$C$52,I$141-$A150+1))</f>
        <v/>
      </c>
      <c r="J150" s="13">
        <f>IF(OR(J$141-$A150&lt;0,J$141-$A150&gt;35),0,J108*INDEX($C$17:$C$52,J$141-$A150+1))</f>
        <v/>
      </c>
      <c r="K150" s="13">
        <f>IF(OR(K$141-$A150&lt;0,K$141-$A150&gt;35),0,K108*INDEX($C$17:$C$52,K$141-$A150+1))</f>
        <v/>
      </c>
      <c r="L150" s="13">
        <f>IF(OR(L$141-$A150&lt;0,L$141-$A150&gt;35),0,L108*INDEX($C$17:$C$52,L$141-$A150+1))</f>
        <v/>
      </c>
      <c r="M150" s="13">
        <f>IF(OR(M$141-$A150&lt;0,M$141-$A150&gt;35),0,M108*INDEX($C$17:$C$52,M$141-$A150+1))</f>
        <v/>
      </c>
      <c r="N150" s="13">
        <f>IF(OR(N$141-$A150&lt;0,N$141-$A150&gt;35),0,N108*INDEX($C$17:$C$52,N$141-$A150+1))</f>
        <v/>
      </c>
      <c r="O150" s="13">
        <f>IF(OR(O$141-$A150&lt;0,O$141-$A150&gt;35),0,O108*INDEX($C$17:$C$52,O$141-$A150+1))</f>
        <v/>
      </c>
      <c r="P150" s="13">
        <f>IF(OR(P$141-$A150&lt;0,P$141-$A150&gt;35),0,P108*INDEX($C$17:$C$52,P$141-$A150+1))</f>
        <v/>
      </c>
      <c r="Q150" s="13">
        <f>IF(OR(Q$141-$A150&lt;0,Q$141-$A150&gt;35),0,Q108*INDEX($C$17:$C$52,Q$141-$A150+1))</f>
        <v/>
      </c>
      <c r="R150" s="13">
        <f>IF(OR(R$141-$A150&lt;0,R$141-$A150&gt;35),0,R108*INDEX($C$17:$C$52,R$141-$A150+1))</f>
        <v/>
      </c>
    </row>
    <row r="151">
      <c r="A151" s="12">
        <f>A66</f>
        <v/>
      </c>
      <c r="B151" s="15">
        <f>B66</f>
        <v/>
      </c>
      <c r="D151" s="13">
        <f>IF(OR(D$141-$A151&lt;0,D$141-$A151&gt;35),0,D109*INDEX($C$17:$C$52,D$141-$A151+1))</f>
        <v/>
      </c>
      <c r="E151" s="13">
        <f>IF(OR(E$141-$A151&lt;0,E$141-$A151&gt;35),0,E109*INDEX($C$17:$C$52,E$141-$A151+1))</f>
        <v/>
      </c>
      <c r="F151" s="13">
        <f>IF(OR(F$141-$A151&lt;0,F$141-$A151&gt;35),0,F109*INDEX($C$17:$C$52,F$141-$A151+1))</f>
        <v/>
      </c>
      <c r="G151" s="13">
        <f>IF(OR(G$141-$A151&lt;0,G$141-$A151&gt;35),0,G109*INDEX($C$17:$C$52,G$141-$A151+1))</f>
        <v/>
      </c>
      <c r="H151" s="13">
        <f>IF(OR(H$141-$A151&lt;0,H$141-$A151&gt;35),0,H109*INDEX($C$17:$C$52,H$141-$A151+1))</f>
        <v/>
      </c>
      <c r="I151" s="13">
        <f>IF(OR(I$141-$A151&lt;0,I$141-$A151&gt;35),0,I109*INDEX($C$17:$C$52,I$141-$A151+1))</f>
        <v/>
      </c>
      <c r="J151" s="13">
        <f>IF(OR(J$141-$A151&lt;0,J$141-$A151&gt;35),0,J109*INDEX($C$17:$C$52,J$141-$A151+1))</f>
        <v/>
      </c>
      <c r="K151" s="13">
        <f>IF(OR(K$141-$A151&lt;0,K$141-$A151&gt;35),0,K109*INDEX($C$17:$C$52,K$141-$A151+1))</f>
        <v/>
      </c>
      <c r="L151" s="13">
        <f>IF(OR(L$141-$A151&lt;0,L$141-$A151&gt;35),0,L109*INDEX($C$17:$C$52,L$141-$A151+1))</f>
        <v/>
      </c>
      <c r="M151" s="13">
        <f>IF(OR(M$141-$A151&lt;0,M$141-$A151&gt;35),0,M109*INDEX($C$17:$C$52,M$141-$A151+1))</f>
        <v/>
      </c>
      <c r="N151" s="13">
        <f>IF(OR(N$141-$A151&lt;0,N$141-$A151&gt;35),0,N109*INDEX($C$17:$C$52,N$141-$A151+1))</f>
        <v/>
      </c>
      <c r="O151" s="13">
        <f>IF(OR(O$141-$A151&lt;0,O$141-$A151&gt;35),0,O109*INDEX($C$17:$C$52,O$141-$A151+1))</f>
        <v/>
      </c>
      <c r="P151" s="13">
        <f>IF(OR(P$141-$A151&lt;0,P$141-$A151&gt;35),0,P109*INDEX($C$17:$C$52,P$141-$A151+1))</f>
        <v/>
      </c>
      <c r="Q151" s="13">
        <f>IF(OR(Q$141-$A151&lt;0,Q$141-$A151&gt;35),0,Q109*INDEX($C$17:$C$52,Q$141-$A151+1))</f>
        <v/>
      </c>
      <c r="R151" s="13">
        <f>IF(OR(R$141-$A151&lt;0,R$141-$A151&gt;35),0,R109*INDEX($C$17:$C$52,R$141-$A151+1))</f>
        <v/>
      </c>
    </row>
    <row r="152">
      <c r="A152" s="12">
        <f>A67</f>
        <v/>
      </c>
      <c r="B152" s="15">
        <f>B67</f>
        <v/>
      </c>
      <c r="D152" s="13">
        <f>IF(OR(D$141-$A152&lt;0,D$141-$A152&gt;35),0,D110*INDEX($C$17:$C$52,D$141-$A152+1))</f>
        <v/>
      </c>
      <c r="E152" s="13">
        <f>IF(OR(E$141-$A152&lt;0,E$141-$A152&gt;35),0,E110*INDEX($C$17:$C$52,E$141-$A152+1))</f>
        <v/>
      </c>
      <c r="F152" s="13">
        <f>IF(OR(F$141-$A152&lt;0,F$141-$A152&gt;35),0,F110*INDEX($C$17:$C$52,F$141-$A152+1))</f>
        <v/>
      </c>
      <c r="G152" s="13">
        <f>IF(OR(G$141-$A152&lt;0,G$141-$A152&gt;35),0,G110*INDEX($C$17:$C$52,G$141-$A152+1))</f>
        <v/>
      </c>
      <c r="H152" s="13">
        <f>IF(OR(H$141-$A152&lt;0,H$141-$A152&gt;35),0,H110*INDEX($C$17:$C$52,H$141-$A152+1))</f>
        <v/>
      </c>
      <c r="I152" s="13">
        <f>IF(OR(I$141-$A152&lt;0,I$141-$A152&gt;35),0,I110*INDEX($C$17:$C$52,I$141-$A152+1))</f>
        <v/>
      </c>
      <c r="J152" s="13">
        <f>IF(OR(J$141-$A152&lt;0,J$141-$A152&gt;35),0,J110*INDEX($C$17:$C$52,J$141-$A152+1))</f>
        <v/>
      </c>
      <c r="K152" s="13">
        <f>IF(OR(K$141-$A152&lt;0,K$141-$A152&gt;35),0,K110*INDEX($C$17:$C$52,K$141-$A152+1))</f>
        <v/>
      </c>
      <c r="L152" s="13">
        <f>IF(OR(L$141-$A152&lt;0,L$141-$A152&gt;35),0,L110*INDEX($C$17:$C$52,L$141-$A152+1))</f>
        <v/>
      </c>
      <c r="M152" s="13">
        <f>IF(OR(M$141-$A152&lt;0,M$141-$A152&gt;35),0,M110*INDEX($C$17:$C$52,M$141-$A152+1))</f>
        <v/>
      </c>
      <c r="N152" s="13">
        <f>IF(OR(N$141-$A152&lt;0,N$141-$A152&gt;35),0,N110*INDEX($C$17:$C$52,N$141-$A152+1))</f>
        <v/>
      </c>
      <c r="O152" s="13">
        <f>IF(OR(O$141-$A152&lt;0,O$141-$A152&gt;35),0,O110*INDEX($C$17:$C$52,O$141-$A152+1))</f>
        <v/>
      </c>
      <c r="P152" s="13">
        <f>IF(OR(P$141-$A152&lt;0,P$141-$A152&gt;35),0,P110*INDEX($C$17:$C$52,P$141-$A152+1))</f>
        <v/>
      </c>
      <c r="Q152" s="13">
        <f>IF(OR(Q$141-$A152&lt;0,Q$141-$A152&gt;35),0,Q110*INDEX($C$17:$C$52,Q$141-$A152+1))</f>
        <v/>
      </c>
      <c r="R152" s="13">
        <f>IF(OR(R$141-$A152&lt;0,R$141-$A152&gt;35),0,R110*INDEX($C$17:$C$52,R$141-$A152+1))</f>
        <v/>
      </c>
    </row>
    <row r="153">
      <c r="A153" s="12">
        <f>A68</f>
        <v/>
      </c>
      <c r="B153" s="15">
        <f>B68</f>
        <v/>
      </c>
      <c r="D153" s="13">
        <f>IF(OR(D$141-$A153&lt;0,D$141-$A153&gt;35),0,D111*INDEX($C$17:$C$52,D$141-$A153+1))</f>
        <v/>
      </c>
      <c r="E153" s="13">
        <f>IF(OR(E$141-$A153&lt;0,E$141-$A153&gt;35),0,E111*INDEX($C$17:$C$52,E$141-$A153+1))</f>
        <v/>
      </c>
      <c r="F153" s="13">
        <f>IF(OR(F$141-$A153&lt;0,F$141-$A153&gt;35),0,F111*INDEX($C$17:$C$52,F$141-$A153+1))</f>
        <v/>
      </c>
      <c r="G153" s="13">
        <f>IF(OR(G$141-$A153&lt;0,G$141-$A153&gt;35),0,G111*INDEX($C$17:$C$52,G$141-$A153+1))</f>
        <v/>
      </c>
      <c r="H153" s="13">
        <f>IF(OR(H$141-$A153&lt;0,H$141-$A153&gt;35),0,H111*INDEX($C$17:$C$52,H$141-$A153+1))</f>
        <v/>
      </c>
      <c r="I153" s="13">
        <f>IF(OR(I$141-$A153&lt;0,I$141-$A153&gt;35),0,I111*INDEX($C$17:$C$52,I$141-$A153+1))</f>
        <v/>
      </c>
      <c r="J153" s="13">
        <f>IF(OR(J$141-$A153&lt;0,J$141-$A153&gt;35),0,J111*INDEX($C$17:$C$52,J$141-$A153+1))</f>
        <v/>
      </c>
      <c r="K153" s="13">
        <f>IF(OR(K$141-$A153&lt;0,K$141-$A153&gt;35),0,K111*INDEX($C$17:$C$52,K$141-$A153+1))</f>
        <v/>
      </c>
      <c r="L153" s="13">
        <f>IF(OR(L$141-$A153&lt;0,L$141-$A153&gt;35),0,L111*INDEX($C$17:$C$52,L$141-$A153+1))</f>
        <v/>
      </c>
      <c r="M153" s="13">
        <f>IF(OR(M$141-$A153&lt;0,M$141-$A153&gt;35),0,M111*INDEX($C$17:$C$52,M$141-$A153+1))</f>
        <v/>
      </c>
      <c r="N153" s="13">
        <f>IF(OR(N$141-$A153&lt;0,N$141-$A153&gt;35),0,N111*INDEX($C$17:$C$52,N$141-$A153+1))</f>
        <v/>
      </c>
      <c r="O153" s="13">
        <f>IF(OR(O$141-$A153&lt;0,O$141-$A153&gt;35),0,O111*INDEX($C$17:$C$52,O$141-$A153+1))</f>
        <v/>
      </c>
      <c r="P153" s="13">
        <f>IF(OR(P$141-$A153&lt;0,P$141-$A153&gt;35),0,P111*INDEX($C$17:$C$52,P$141-$A153+1))</f>
        <v/>
      </c>
      <c r="Q153" s="13">
        <f>IF(OR(Q$141-$A153&lt;0,Q$141-$A153&gt;35),0,Q111*INDEX($C$17:$C$52,Q$141-$A153+1))</f>
        <v/>
      </c>
      <c r="R153" s="13">
        <f>IF(OR(R$141-$A153&lt;0,R$141-$A153&gt;35),0,R111*INDEX($C$17:$C$52,R$141-$A153+1))</f>
        <v/>
      </c>
    </row>
    <row r="154">
      <c r="A154" s="12">
        <f>A69</f>
        <v/>
      </c>
      <c r="B154" s="15">
        <f>B69</f>
        <v/>
      </c>
      <c r="D154" s="13">
        <f>IF(OR(D$141-$A154&lt;0,D$141-$A154&gt;35),0,D112*INDEX($C$17:$C$52,D$141-$A154+1))</f>
        <v/>
      </c>
      <c r="E154" s="13">
        <f>IF(OR(E$141-$A154&lt;0,E$141-$A154&gt;35),0,E112*INDEX($C$17:$C$52,E$141-$A154+1))</f>
        <v/>
      </c>
      <c r="F154" s="13">
        <f>IF(OR(F$141-$A154&lt;0,F$141-$A154&gt;35),0,F112*INDEX($C$17:$C$52,F$141-$A154+1))</f>
        <v/>
      </c>
      <c r="G154" s="13">
        <f>IF(OR(G$141-$A154&lt;0,G$141-$A154&gt;35),0,G112*INDEX($C$17:$C$52,G$141-$A154+1))</f>
        <v/>
      </c>
      <c r="H154" s="13">
        <f>IF(OR(H$141-$A154&lt;0,H$141-$A154&gt;35),0,H112*INDEX($C$17:$C$52,H$141-$A154+1))</f>
        <v/>
      </c>
      <c r="I154" s="13">
        <f>IF(OR(I$141-$A154&lt;0,I$141-$A154&gt;35),0,I112*INDEX($C$17:$C$52,I$141-$A154+1))</f>
        <v/>
      </c>
      <c r="J154" s="13">
        <f>IF(OR(J$141-$A154&lt;0,J$141-$A154&gt;35),0,J112*INDEX($C$17:$C$52,J$141-$A154+1))</f>
        <v/>
      </c>
      <c r="K154" s="13">
        <f>IF(OR(K$141-$A154&lt;0,K$141-$A154&gt;35),0,K112*INDEX($C$17:$C$52,K$141-$A154+1))</f>
        <v/>
      </c>
      <c r="L154" s="13">
        <f>IF(OR(L$141-$A154&lt;0,L$141-$A154&gt;35),0,L112*INDEX($C$17:$C$52,L$141-$A154+1))</f>
        <v/>
      </c>
      <c r="M154" s="13">
        <f>IF(OR(M$141-$A154&lt;0,M$141-$A154&gt;35),0,M112*INDEX($C$17:$C$52,M$141-$A154+1))</f>
        <v/>
      </c>
      <c r="N154" s="13">
        <f>IF(OR(N$141-$A154&lt;0,N$141-$A154&gt;35),0,N112*INDEX($C$17:$C$52,N$141-$A154+1))</f>
        <v/>
      </c>
      <c r="O154" s="13">
        <f>IF(OR(O$141-$A154&lt;0,O$141-$A154&gt;35),0,O112*INDEX($C$17:$C$52,O$141-$A154+1))</f>
        <v/>
      </c>
      <c r="P154" s="13">
        <f>IF(OR(P$141-$A154&lt;0,P$141-$A154&gt;35),0,P112*INDEX($C$17:$C$52,P$141-$A154+1))</f>
        <v/>
      </c>
      <c r="Q154" s="13">
        <f>IF(OR(Q$141-$A154&lt;0,Q$141-$A154&gt;35),0,Q112*INDEX($C$17:$C$52,Q$141-$A154+1))</f>
        <v/>
      </c>
      <c r="R154" s="13">
        <f>IF(OR(R$141-$A154&lt;0,R$141-$A154&gt;35),0,R112*INDEX($C$17:$C$52,R$141-$A154+1))</f>
        <v/>
      </c>
    </row>
    <row r="155">
      <c r="A155" s="12">
        <f>A70</f>
        <v/>
      </c>
      <c r="B155" s="15">
        <f>B70</f>
        <v/>
      </c>
      <c r="D155" s="13">
        <f>IF(OR(D$141-$A155&lt;0,D$141-$A155&gt;35),0,D113*INDEX($C$17:$C$52,D$141-$A155+1))</f>
        <v/>
      </c>
      <c r="E155" s="13">
        <f>IF(OR(E$141-$A155&lt;0,E$141-$A155&gt;35),0,E113*INDEX($C$17:$C$52,E$141-$A155+1))</f>
        <v/>
      </c>
      <c r="F155" s="13">
        <f>IF(OR(F$141-$A155&lt;0,F$141-$A155&gt;35),0,F113*INDEX($C$17:$C$52,F$141-$A155+1))</f>
        <v/>
      </c>
      <c r="G155" s="13">
        <f>IF(OR(G$141-$A155&lt;0,G$141-$A155&gt;35),0,G113*INDEX($C$17:$C$52,G$141-$A155+1))</f>
        <v/>
      </c>
      <c r="H155" s="13">
        <f>IF(OR(H$141-$A155&lt;0,H$141-$A155&gt;35),0,H113*INDEX($C$17:$C$52,H$141-$A155+1))</f>
        <v/>
      </c>
      <c r="I155" s="13">
        <f>IF(OR(I$141-$A155&lt;0,I$141-$A155&gt;35),0,I113*INDEX($C$17:$C$52,I$141-$A155+1))</f>
        <v/>
      </c>
      <c r="J155" s="13">
        <f>IF(OR(J$141-$A155&lt;0,J$141-$A155&gt;35),0,J113*INDEX($C$17:$C$52,J$141-$A155+1))</f>
        <v/>
      </c>
      <c r="K155" s="13">
        <f>IF(OR(K$141-$A155&lt;0,K$141-$A155&gt;35),0,K113*INDEX($C$17:$C$52,K$141-$A155+1))</f>
        <v/>
      </c>
      <c r="L155" s="13">
        <f>IF(OR(L$141-$A155&lt;0,L$141-$A155&gt;35),0,L113*INDEX($C$17:$C$52,L$141-$A155+1))</f>
        <v/>
      </c>
      <c r="M155" s="13">
        <f>IF(OR(M$141-$A155&lt;0,M$141-$A155&gt;35),0,M113*INDEX($C$17:$C$52,M$141-$A155+1))</f>
        <v/>
      </c>
      <c r="N155" s="13">
        <f>IF(OR(N$141-$A155&lt;0,N$141-$A155&gt;35),0,N113*INDEX($C$17:$C$52,N$141-$A155+1))</f>
        <v/>
      </c>
      <c r="O155" s="13">
        <f>IF(OR(O$141-$A155&lt;0,O$141-$A155&gt;35),0,O113*INDEX($C$17:$C$52,O$141-$A155+1))</f>
        <v/>
      </c>
      <c r="P155" s="13">
        <f>IF(OR(P$141-$A155&lt;0,P$141-$A155&gt;35),0,P113*INDEX($C$17:$C$52,P$141-$A155+1))</f>
        <v/>
      </c>
      <c r="Q155" s="13">
        <f>IF(OR(Q$141-$A155&lt;0,Q$141-$A155&gt;35),0,Q113*INDEX($C$17:$C$52,Q$141-$A155+1))</f>
        <v/>
      </c>
      <c r="R155" s="13">
        <f>IF(OR(R$141-$A155&lt;0,R$141-$A155&gt;35),0,R113*INDEX($C$17:$C$52,R$141-$A155+1))</f>
        <v/>
      </c>
    </row>
    <row r="156">
      <c r="A156" s="12">
        <f>A71</f>
        <v/>
      </c>
      <c r="B156" s="15">
        <f>B71</f>
        <v/>
      </c>
      <c r="D156" s="13">
        <f>IF(OR(D$141-$A156&lt;0,D$141-$A156&gt;35),0,D114*INDEX($C$17:$C$52,D$141-$A156+1))</f>
        <v/>
      </c>
      <c r="E156" s="13">
        <f>IF(OR(E$141-$A156&lt;0,E$141-$A156&gt;35),0,E114*INDEX($C$17:$C$52,E$141-$A156+1))</f>
        <v/>
      </c>
      <c r="F156" s="13">
        <f>IF(OR(F$141-$A156&lt;0,F$141-$A156&gt;35),0,F114*INDEX($C$17:$C$52,F$141-$A156+1))</f>
        <v/>
      </c>
      <c r="G156" s="13">
        <f>IF(OR(G$141-$A156&lt;0,G$141-$A156&gt;35),0,G114*INDEX($C$17:$C$52,G$141-$A156+1))</f>
        <v/>
      </c>
      <c r="H156" s="13">
        <f>IF(OR(H$141-$A156&lt;0,H$141-$A156&gt;35),0,H114*INDEX($C$17:$C$52,H$141-$A156+1))</f>
        <v/>
      </c>
      <c r="I156" s="13">
        <f>IF(OR(I$141-$A156&lt;0,I$141-$A156&gt;35),0,I114*INDEX($C$17:$C$52,I$141-$A156+1))</f>
        <v/>
      </c>
      <c r="J156" s="13">
        <f>IF(OR(J$141-$A156&lt;0,J$141-$A156&gt;35),0,J114*INDEX($C$17:$C$52,J$141-$A156+1))</f>
        <v/>
      </c>
      <c r="K156" s="13">
        <f>IF(OR(K$141-$A156&lt;0,K$141-$A156&gt;35),0,K114*INDEX($C$17:$C$52,K$141-$A156+1))</f>
        <v/>
      </c>
      <c r="L156" s="13">
        <f>IF(OR(L$141-$A156&lt;0,L$141-$A156&gt;35),0,L114*INDEX($C$17:$C$52,L$141-$A156+1))</f>
        <v/>
      </c>
      <c r="M156" s="13">
        <f>IF(OR(M$141-$A156&lt;0,M$141-$A156&gt;35),0,M114*INDEX($C$17:$C$52,M$141-$A156+1))</f>
        <v/>
      </c>
      <c r="N156" s="13">
        <f>IF(OR(N$141-$A156&lt;0,N$141-$A156&gt;35),0,N114*INDEX($C$17:$C$52,N$141-$A156+1))</f>
        <v/>
      </c>
      <c r="O156" s="13">
        <f>IF(OR(O$141-$A156&lt;0,O$141-$A156&gt;35),0,O114*INDEX($C$17:$C$52,O$141-$A156+1))</f>
        <v/>
      </c>
      <c r="P156" s="13">
        <f>IF(OR(P$141-$A156&lt;0,P$141-$A156&gt;35),0,P114*INDEX($C$17:$C$52,P$141-$A156+1))</f>
        <v/>
      </c>
      <c r="Q156" s="13">
        <f>IF(OR(Q$141-$A156&lt;0,Q$141-$A156&gt;35),0,Q114*INDEX($C$17:$C$52,Q$141-$A156+1))</f>
        <v/>
      </c>
      <c r="R156" s="13">
        <f>IF(OR(R$141-$A156&lt;0,R$141-$A156&gt;35),0,R114*INDEX($C$17:$C$52,R$141-$A156+1))</f>
        <v/>
      </c>
    </row>
    <row r="157">
      <c r="A157" s="12">
        <f>A72</f>
        <v/>
      </c>
      <c r="B157" s="15">
        <f>B72</f>
        <v/>
      </c>
      <c r="D157" s="13">
        <f>IF(OR(D$141-$A157&lt;0,D$141-$A157&gt;35),0,D115*INDEX($C$17:$C$52,D$141-$A157+1))</f>
        <v/>
      </c>
      <c r="E157" s="13">
        <f>IF(OR(E$141-$A157&lt;0,E$141-$A157&gt;35),0,E115*INDEX($C$17:$C$52,E$141-$A157+1))</f>
        <v/>
      </c>
      <c r="F157" s="13">
        <f>IF(OR(F$141-$A157&lt;0,F$141-$A157&gt;35),0,F115*INDEX($C$17:$C$52,F$141-$A157+1))</f>
        <v/>
      </c>
      <c r="G157" s="13">
        <f>IF(OR(G$141-$A157&lt;0,G$141-$A157&gt;35),0,G115*INDEX($C$17:$C$52,G$141-$A157+1))</f>
        <v/>
      </c>
      <c r="H157" s="13">
        <f>IF(OR(H$141-$A157&lt;0,H$141-$A157&gt;35),0,H115*INDEX($C$17:$C$52,H$141-$A157+1))</f>
        <v/>
      </c>
      <c r="I157" s="13">
        <f>IF(OR(I$141-$A157&lt;0,I$141-$A157&gt;35),0,I115*INDEX($C$17:$C$52,I$141-$A157+1))</f>
        <v/>
      </c>
      <c r="J157" s="13">
        <f>IF(OR(J$141-$A157&lt;0,J$141-$A157&gt;35),0,J115*INDEX($C$17:$C$52,J$141-$A157+1))</f>
        <v/>
      </c>
      <c r="K157" s="13">
        <f>IF(OR(K$141-$A157&lt;0,K$141-$A157&gt;35),0,K115*INDEX($C$17:$C$52,K$141-$A157+1))</f>
        <v/>
      </c>
      <c r="L157" s="13">
        <f>IF(OR(L$141-$A157&lt;0,L$141-$A157&gt;35),0,L115*INDEX($C$17:$C$52,L$141-$A157+1))</f>
        <v/>
      </c>
      <c r="M157" s="13">
        <f>IF(OR(M$141-$A157&lt;0,M$141-$A157&gt;35),0,M115*INDEX($C$17:$C$52,M$141-$A157+1))</f>
        <v/>
      </c>
      <c r="N157" s="13">
        <f>IF(OR(N$141-$A157&lt;0,N$141-$A157&gt;35),0,N115*INDEX($C$17:$C$52,N$141-$A157+1))</f>
        <v/>
      </c>
      <c r="O157" s="13">
        <f>IF(OR(O$141-$A157&lt;0,O$141-$A157&gt;35),0,O115*INDEX($C$17:$C$52,O$141-$A157+1))</f>
        <v/>
      </c>
      <c r="P157" s="13">
        <f>IF(OR(P$141-$A157&lt;0,P$141-$A157&gt;35),0,P115*INDEX($C$17:$C$52,P$141-$A157+1))</f>
        <v/>
      </c>
      <c r="Q157" s="13">
        <f>IF(OR(Q$141-$A157&lt;0,Q$141-$A157&gt;35),0,Q115*INDEX($C$17:$C$52,Q$141-$A157+1))</f>
        <v/>
      </c>
      <c r="R157" s="13">
        <f>IF(OR(R$141-$A157&lt;0,R$141-$A157&gt;35),0,R115*INDEX($C$17:$C$52,R$141-$A157+1))</f>
        <v/>
      </c>
    </row>
    <row r="158">
      <c r="A158" s="12">
        <f>A73</f>
        <v/>
      </c>
      <c r="B158" s="15">
        <f>B73</f>
        <v/>
      </c>
      <c r="D158" s="13">
        <f>IF(OR(D$141-$A158&lt;0,D$141-$A158&gt;35),0,D116*INDEX($C$17:$C$52,D$141-$A158+1))</f>
        <v/>
      </c>
      <c r="E158" s="13">
        <f>IF(OR(E$141-$A158&lt;0,E$141-$A158&gt;35),0,E116*INDEX($C$17:$C$52,E$141-$A158+1))</f>
        <v/>
      </c>
      <c r="F158" s="13">
        <f>IF(OR(F$141-$A158&lt;0,F$141-$A158&gt;35),0,F116*INDEX($C$17:$C$52,F$141-$A158+1))</f>
        <v/>
      </c>
      <c r="G158" s="13">
        <f>IF(OR(G$141-$A158&lt;0,G$141-$A158&gt;35),0,G116*INDEX($C$17:$C$52,G$141-$A158+1))</f>
        <v/>
      </c>
      <c r="H158" s="13">
        <f>IF(OR(H$141-$A158&lt;0,H$141-$A158&gt;35),0,H116*INDEX($C$17:$C$52,H$141-$A158+1))</f>
        <v/>
      </c>
      <c r="I158" s="13">
        <f>IF(OR(I$141-$A158&lt;0,I$141-$A158&gt;35),0,I116*INDEX($C$17:$C$52,I$141-$A158+1))</f>
        <v/>
      </c>
      <c r="J158" s="13">
        <f>IF(OR(J$141-$A158&lt;0,J$141-$A158&gt;35),0,J116*INDEX($C$17:$C$52,J$141-$A158+1))</f>
        <v/>
      </c>
      <c r="K158" s="13">
        <f>IF(OR(K$141-$A158&lt;0,K$141-$A158&gt;35),0,K116*INDEX($C$17:$C$52,K$141-$A158+1))</f>
        <v/>
      </c>
      <c r="L158" s="13">
        <f>IF(OR(L$141-$A158&lt;0,L$141-$A158&gt;35),0,L116*INDEX($C$17:$C$52,L$141-$A158+1))</f>
        <v/>
      </c>
      <c r="M158" s="13">
        <f>IF(OR(M$141-$A158&lt;0,M$141-$A158&gt;35),0,M116*INDEX($C$17:$C$52,M$141-$A158+1))</f>
        <v/>
      </c>
      <c r="N158" s="13">
        <f>IF(OR(N$141-$A158&lt;0,N$141-$A158&gt;35),0,N116*INDEX($C$17:$C$52,N$141-$A158+1))</f>
        <v/>
      </c>
      <c r="O158" s="13">
        <f>IF(OR(O$141-$A158&lt;0,O$141-$A158&gt;35),0,O116*INDEX($C$17:$C$52,O$141-$A158+1))</f>
        <v/>
      </c>
      <c r="P158" s="13">
        <f>IF(OR(P$141-$A158&lt;0,P$141-$A158&gt;35),0,P116*INDEX($C$17:$C$52,P$141-$A158+1))</f>
        <v/>
      </c>
      <c r="Q158" s="13">
        <f>IF(OR(Q$141-$A158&lt;0,Q$141-$A158&gt;35),0,Q116*INDEX($C$17:$C$52,Q$141-$A158+1))</f>
        <v/>
      </c>
      <c r="R158" s="13">
        <f>IF(OR(R$141-$A158&lt;0,R$141-$A158&gt;35),0,R116*INDEX($C$17:$C$52,R$141-$A158+1))</f>
        <v/>
      </c>
    </row>
    <row r="159">
      <c r="A159" s="12">
        <f>A74</f>
        <v/>
      </c>
      <c r="B159" s="15">
        <f>B74</f>
        <v/>
      </c>
      <c r="D159" s="13">
        <f>IF(OR(D$141-$A159&lt;0,D$141-$A159&gt;35),0,D117*INDEX($C$17:$C$52,D$141-$A159+1))</f>
        <v/>
      </c>
      <c r="E159" s="13">
        <f>IF(OR(E$141-$A159&lt;0,E$141-$A159&gt;35),0,E117*INDEX($C$17:$C$52,E$141-$A159+1))</f>
        <v/>
      </c>
      <c r="F159" s="13">
        <f>IF(OR(F$141-$A159&lt;0,F$141-$A159&gt;35),0,F117*INDEX($C$17:$C$52,F$141-$A159+1))</f>
        <v/>
      </c>
      <c r="G159" s="13">
        <f>IF(OR(G$141-$A159&lt;0,G$141-$A159&gt;35),0,G117*INDEX($C$17:$C$52,G$141-$A159+1))</f>
        <v/>
      </c>
      <c r="H159" s="13">
        <f>IF(OR(H$141-$A159&lt;0,H$141-$A159&gt;35),0,H117*INDEX($C$17:$C$52,H$141-$A159+1))</f>
        <v/>
      </c>
      <c r="I159" s="13">
        <f>IF(OR(I$141-$A159&lt;0,I$141-$A159&gt;35),0,I117*INDEX($C$17:$C$52,I$141-$A159+1))</f>
        <v/>
      </c>
      <c r="J159" s="13">
        <f>IF(OR(J$141-$A159&lt;0,J$141-$A159&gt;35),0,J117*INDEX($C$17:$C$52,J$141-$A159+1))</f>
        <v/>
      </c>
      <c r="K159" s="13">
        <f>IF(OR(K$141-$A159&lt;0,K$141-$A159&gt;35),0,K117*INDEX($C$17:$C$52,K$141-$A159+1))</f>
        <v/>
      </c>
      <c r="L159" s="13">
        <f>IF(OR(L$141-$A159&lt;0,L$141-$A159&gt;35),0,L117*INDEX($C$17:$C$52,L$141-$A159+1))</f>
        <v/>
      </c>
      <c r="M159" s="13">
        <f>IF(OR(M$141-$A159&lt;0,M$141-$A159&gt;35),0,M117*INDEX($C$17:$C$52,M$141-$A159+1))</f>
        <v/>
      </c>
      <c r="N159" s="13">
        <f>IF(OR(N$141-$A159&lt;0,N$141-$A159&gt;35),0,N117*INDEX($C$17:$C$52,N$141-$A159+1))</f>
        <v/>
      </c>
      <c r="O159" s="13">
        <f>IF(OR(O$141-$A159&lt;0,O$141-$A159&gt;35),0,O117*INDEX($C$17:$C$52,O$141-$A159+1))</f>
        <v/>
      </c>
      <c r="P159" s="13">
        <f>IF(OR(P$141-$A159&lt;0,P$141-$A159&gt;35),0,P117*INDEX($C$17:$C$52,P$141-$A159+1))</f>
        <v/>
      </c>
      <c r="Q159" s="13">
        <f>IF(OR(Q$141-$A159&lt;0,Q$141-$A159&gt;35),0,Q117*INDEX($C$17:$C$52,Q$141-$A159+1))</f>
        <v/>
      </c>
      <c r="R159" s="13">
        <f>IF(OR(R$141-$A159&lt;0,R$141-$A159&gt;35),0,R117*INDEX($C$17:$C$52,R$141-$A159+1))</f>
        <v/>
      </c>
    </row>
    <row r="160">
      <c r="A160" s="12">
        <f>A75</f>
        <v/>
      </c>
      <c r="B160" s="15">
        <f>B75</f>
        <v/>
      </c>
      <c r="D160" s="13">
        <f>IF(OR(D$141-$A160&lt;0,D$141-$A160&gt;35),0,D118*INDEX($C$17:$C$52,D$141-$A160+1))</f>
        <v/>
      </c>
      <c r="E160" s="13">
        <f>IF(OR(E$141-$A160&lt;0,E$141-$A160&gt;35),0,E118*INDEX($C$17:$C$52,E$141-$A160+1))</f>
        <v/>
      </c>
      <c r="F160" s="13">
        <f>IF(OR(F$141-$A160&lt;0,F$141-$A160&gt;35),0,F118*INDEX($C$17:$C$52,F$141-$A160+1))</f>
        <v/>
      </c>
      <c r="G160" s="13">
        <f>IF(OR(G$141-$A160&lt;0,G$141-$A160&gt;35),0,G118*INDEX($C$17:$C$52,G$141-$A160+1))</f>
        <v/>
      </c>
      <c r="H160" s="13">
        <f>IF(OR(H$141-$A160&lt;0,H$141-$A160&gt;35),0,H118*INDEX($C$17:$C$52,H$141-$A160+1))</f>
        <v/>
      </c>
      <c r="I160" s="13">
        <f>IF(OR(I$141-$A160&lt;0,I$141-$A160&gt;35),0,I118*INDEX($C$17:$C$52,I$141-$A160+1))</f>
        <v/>
      </c>
      <c r="J160" s="13">
        <f>IF(OR(J$141-$A160&lt;0,J$141-$A160&gt;35),0,J118*INDEX($C$17:$C$52,J$141-$A160+1))</f>
        <v/>
      </c>
      <c r="K160" s="13">
        <f>IF(OR(K$141-$A160&lt;0,K$141-$A160&gt;35),0,K118*INDEX($C$17:$C$52,K$141-$A160+1))</f>
        <v/>
      </c>
      <c r="L160" s="13">
        <f>IF(OR(L$141-$A160&lt;0,L$141-$A160&gt;35),0,L118*INDEX($C$17:$C$52,L$141-$A160+1))</f>
        <v/>
      </c>
      <c r="M160" s="13">
        <f>IF(OR(M$141-$A160&lt;0,M$141-$A160&gt;35),0,M118*INDEX($C$17:$C$52,M$141-$A160+1))</f>
        <v/>
      </c>
      <c r="N160" s="13">
        <f>IF(OR(N$141-$A160&lt;0,N$141-$A160&gt;35),0,N118*INDEX($C$17:$C$52,N$141-$A160+1))</f>
        <v/>
      </c>
      <c r="O160" s="13">
        <f>IF(OR(O$141-$A160&lt;0,O$141-$A160&gt;35),0,O118*INDEX($C$17:$C$52,O$141-$A160+1))</f>
        <v/>
      </c>
      <c r="P160" s="13">
        <f>IF(OR(P$141-$A160&lt;0,P$141-$A160&gt;35),0,P118*INDEX($C$17:$C$52,P$141-$A160+1))</f>
        <v/>
      </c>
      <c r="Q160" s="13">
        <f>IF(OR(Q$141-$A160&lt;0,Q$141-$A160&gt;35),0,Q118*INDEX($C$17:$C$52,Q$141-$A160+1))</f>
        <v/>
      </c>
      <c r="R160" s="13">
        <f>IF(OR(R$141-$A160&lt;0,R$141-$A160&gt;35),0,R118*INDEX($C$17:$C$52,R$141-$A160+1))</f>
        <v/>
      </c>
    </row>
    <row r="161">
      <c r="A161" s="12">
        <f>A76</f>
        <v/>
      </c>
      <c r="B161" s="15">
        <f>B76</f>
        <v/>
      </c>
      <c r="D161" s="13">
        <f>IF(OR(D$141-$A161&lt;0,D$141-$A161&gt;35),0,D119*INDEX($C$17:$C$52,D$141-$A161+1))</f>
        <v/>
      </c>
      <c r="E161" s="13">
        <f>IF(OR(E$141-$A161&lt;0,E$141-$A161&gt;35),0,E119*INDEX($C$17:$C$52,E$141-$A161+1))</f>
        <v/>
      </c>
      <c r="F161" s="13">
        <f>IF(OR(F$141-$A161&lt;0,F$141-$A161&gt;35),0,F119*INDEX($C$17:$C$52,F$141-$A161+1))</f>
        <v/>
      </c>
      <c r="G161" s="13">
        <f>IF(OR(G$141-$A161&lt;0,G$141-$A161&gt;35),0,G119*INDEX($C$17:$C$52,G$141-$A161+1))</f>
        <v/>
      </c>
      <c r="H161" s="13">
        <f>IF(OR(H$141-$A161&lt;0,H$141-$A161&gt;35),0,H119*INDEX($C$17:$C$52,H$141-$A161+1))</f>
        <v/>
      </c>
      <c r="I161" s="13">
        <f>IF(OR(I$141-$A161&lt;0,I$141-$A161&gt;35),0,I119*INDEX($C$17:$C$52,I$141-$A161+1))</f>
        <v/>
      </c>
      <c r="J161" s="13">
        <f>IF(OR(J$141-$A161&lt;0,J$141-$A161&gt;35),0,J119*INDEX($C$17:$C$52,J$141-$A161+1))</f>
        <v/>
      </c>
      <c r="K161" s="13">
        <f>IF(OR(K$141-$A161&lt;0,K$141-$A161&gt;35),0,K119*INDEX($C$17:$C$52,K$141-$A161+1))</f>
        <v/>
      </c>
      <c r="L161" s="13">
        <f>IF(OR(L$141-$A161&lt;0,L$141-$A161&gt;35),0,L119*INDEX($C$17:$C$52,L$141-$A161+1))</f>
        <v/>
      </c>
      <c r="M161" s="13">
        <f>IF(OR(M$141-$A161&lt;0,M$141-$A161&gt;35),0,M119*INDEX($C$17:$C$52,M$141-$A161+1))</f>
        <v/>
      </c>
      <c r="N161" s="13">
        <f>IF(OR(N$141-$A161&lt;0,N$141-$A161&gt;35),0,N119*INDEX($C$17:$C$52,N$141-$A161+1))</f>
        <v/>
      </c>
      <c r="O161" s="13">
        <f>IF(OR(O$141-$A161&lt;0,O$141-$A161&gt;35),0,O119*INDEX($C$17:$C$52,O$141-$A161+1))</f>
        <v/>
      </c>
      <c r="P161" s="13">
        <f>IF(OR(P$141-$A161&lt;0,P$141-$A161&gt;35),0,P119*INDEX($C$17:$C$52,P$141-$A161+1))</f>
        <v/>
      </c>
      <c r="Q161" s="13">
        <f>IF(OR(Q$141-$A161&lt;0,Q$141-$A161&gt;35),0,Q119*INDEX($C$17:$C$52,Q$141-$A161+1))</f>
        <v/>
      </c>
      <c r="R161" s="13">
        <f>IF(OR(R$141-$A161&lt;0,R$141-$A161&gt;35),0,R119*INDEX($C$17:$C$52,R$141-$A161+1))</f>
        <v/>
      </c>
    </row>
    <row r="162">
      <c r="A162" s="12">
        <f>A77</f>
        <v/>
      </c>
      <c r="B162" s="15">
        <f>B77</f>
        <v/>
      </c>
      <c r="D162" s="13">
        <f>IF(OR(D$141-$A162&lt;0,D$141-$A162&gt;35),0,D120*INDEX($C$17:$C$52,D$141-$A162+1))</f>
        <v/>
      </c>
      <c r="E162" s="13">
        <f>IF(OR(E$141-$A162&lt;0,E$141-$A162&gt;35),0,E120*INDEX($C$17:$C$52,E$141-$A162+1))</f>
        <v/>
      </c>
      <c r="F162" s="13">
        <f>IF(OR(F$141-$A162&lt;0,F$141-$A162&gt;35),0,F120*INDEX($C$17:$C$52,F$141-$A162+1))</f>
        <v/>
      </c>
      <c r="G162" s="13">
        <f>IF(OR(G$141-$A162&lt;0,G$141-$A162&gt;35),0,G120*INDEX($C$17:$C$52,G$141-$A162+1))</f>
        <v/>
      </c>
      <c r="H162" s="13">
        <f>IF(OR(H$141-$A162&lt;0,H$141-$A162&gt;35),0,H120*INDEX($C$17:$C$52,H$141-$A162+1))</f>
        <v/>
      </c>
      <c r="I162" s="13">
        <f>IF(OR(I$141-$A162&lt;0,I$141-$A162&gt;35),0,I120*INDEX($C$17:$C$52,I$141-$A162+1))</f>
        <v/>
      </c>
      <c r="J162" s="13">
        <f>IF(OR(J$141-$A162&lt;0,J$141-$A162&gt;35),0,J120*INDEX($C$17:$C$52,J$141-$A162+1))</f>
        <v/>
      </c>
      <c r="K162" s="13">
        <f>IF(OR(K$141-$A162&lt;0,K$141-$A162&gt;35),0,K120*INDEX($C$17:$C$52,K$141-$A162+1))</f>
        <v/>
      </c>
      <c r="L162" s="13">
        <f>IF(OR(L$141-$A162&lt;0,L$141-$A162&gt;35),0,L120*INDEX($C$17:$C$52,L$141-$A162+1))</f>
        <v/>
      </c>
      <c r="M162" s="13">
        <f>IF(OR(M$141-$A162&lt;0,M$141-$A162&gt;35),0,M120*INDEX($C$17:$C$52,M$141-$A162+1))</f>
        <v/>
      </c>
      <c r="N162" s="13">
        <f>IF(OR(N$141-$A162&lt;0,N$141-$A162&gt;35),0,N120*INDEX($C$17:$C$52,N$141-$A162+1))</f>
        <v/>
      </c>
      <c r="O162" s="13">
        <f>IF(OR(O$141-$A162&lt;0,O$141-$A162&gt;35),0,O120*INDEX($C$17:$C$52,O$141-$A162+1))</f>
        <v/>
      </c>
      <c r="P162" s="13">
        <f>IF(OR(P$141-$A162&lt;0,P$141-$A162&gt;35),0,P120*INDEX($C$17:$C$52,P$141-$A162+1))</f>
        <v/>
      </c>
      <c r="Q162" s="13">
        <f>IF(OR(Q$141-$A162&lt;0,Q$141-$A162&gt;35),0,Q120*INDEX($C$17:$C$52,Q$141-$A162+1))</f>
        <v/>
      </c>
      <c r="R162" s="13">
        <f>IF(OR(R$141-$A162&lt;0,R$141-$A162&gt;35),0,R120*INDEX($C$17:$C$52,R$141-$A162+1))</f>
        <v/>
      </c>
    </row>
    <row r="163">
      <c r="A163" s="12">
        <f>A78</f>
        <v/>
      </c>
      <c r="B163" s="15">
        <f>B78</f>
        <v/>
      </c>
      <c r="D163" s="13">
        <f>IF(OR(D$141-$A163&lt;0,D$141-$A163&gt;35),0,D121*INDEX($C$17:$C$52,D$141-$A163+1))</f>
        <v/>
      </c>
      <c r="E163" s="13">
        <f>IF(OR(E$141-$A163&lt;0,E$141-$A163&gt;35),0,E121*INDEX($C$17:$C$52,E$141-$A163+1))</f>
        <v/>
      </c>
      <c r="F163" s="13">
        <f>IF(OR(F$141-$A163&lt;0,F$141-$A163&gt;35),0,F121*INDEX($C$17:$C$52,F$141-$A163+1))</f>
        <v/>
      </c>
      <c r="G163" s="13">
        <f>IF(OR(G$141-$A163&lt;0,G$141-$A163&gt;35),0,G121*INDEX($C$17:$C$52,G$141-$A163+1))</f>
        <v/>
      </c>
      <c r="H163" s="13">
        <f>IF(OR(H$141-$A163&lt;0,H$141-$A163&gt;35),0,H121*INDEX($C$17:$C$52,H$141-$A163+1))</f>
        <v/>
      </c>
      <c r="I163" s="13">
        <f>IF(OR(I$141-$A163&lt;0,I$141-$A163&gt;35),0,I121*INDEX($C$17:$C$52,I$141-$A163+1))</f>
        <v/>
      </c>
      <c r="J163" s="13">
        <f>IF(OR(J$141-$A163&lt;0,J$141-$A163&gt;35),0,J121*INDEX($C$17:$C$52,J$141-$A163+1))</f>
        <v/>
      </c>
      <c r="K163" s="13">
        <f>IF(OR(K$141-$A163&lt;0,K$141-$A163&gt;35),0,K121*INDEX($C$17:$C$52,K$141-$A163+1))</f>
        <v/>
      </c>
      <c r="L163" s="13">
        <f>IF(OR(L$141-$A163&lt;0,L$141-$A163&gt;35),0,L121*INDEX($C$17:$C$52,L$141-$A163+1))</f>
        <v/>
      </c>
      <c r="M163" s="13">
        <f>IF(OR(M$141-$A163&lt;0,M$141-$A163&gt;35),0,M121*INDEX($C$17:$C$52,M$141-$A163+1))</f>
        <v/>
      </c>
      <c r="N163" s="13">
        <f>IF(OR(N$141-$A163&lt;0,N$141-$A163&gt;35),0,N121*INDEX($C$17:$C$52,N$141-$A163+1))</f>
        <v/>
      </c>
      <c r="O163" s="13">
        <f>IF(OR(O$141-$A163&lt;0,O$141-$A163&gt;35),0,O121*INDEX($C$17:$C$52,O$141-$A163+1))</f>
        <v/>
      </c>
      <c r="P163" s="13">
        <f>IF(OR(P$141-$A163&lt;0,P$141-$A163&gt;35),0,P121*INDEX($C$17:$C$52,P$141-$A163+1))</f>
        <v/>
      </c>
      <c r="Q163" s="13">
        <f>IF(OR(Q$141-$A163&lt;0,Q$141-$A163&gt;35),0,Q121*INDEX($C$17:$C$52,Q$141-$A163+1))</f>
        <v/>
      </c>
      <c r="R163" s="13">
        <f>IF(OR(R$141-$A163&lt;0,R$141-$A163&gt;35),0,R121*INDEX($C$17:$C$52,R$141-$A163+1))</f>
        <v/>
      </c>
    </row>
    <row r="164">
      <c r="A164" s="12">
        <f>A79</f>
        <v/>
      </c>
      <c r="B164" s="15">
        <f>B79</f>
        <v/>
      </c>
      <c r="D164" s="13">
        <f>IF(OR(D$141-$A164&lt;0,D$141-$A164&gt;35),0,D122*INDEX($C$17:$C$52,D$141-$A164+1))</f>
        <v/>
      </c>
      <c r="E164" s="13">
        <f>IF(OR(E$141-$A164&lt;0,E$141-$A164&gt;35),0,E122*INDEX($C$17:$C$52,E$141-$A164+1))</f>
        <v/>
      </c>
      <c r="F164" s="13">
        <f>IF(OR(F$141-$A164&lt;0,F$141-$A164&gt;35),0,F122*INDEX($C$17:$C$52,F$141-$A164+1))</f>
        <v/>
      </c>
      <c r="G164" s="13">
        <f>IF(OR(G$141-$A164&lt;0,G$141-$A164&gt;35),0,G122*INDEX($C$17:$C$52,G$141-$A164+1))</f>
        <v/>
      </c>
      <c r="H164" s="13">
        <f>IF(OR(H$141-$A164&lt;0,H$141-$A164&gt;35),0,H122*INDEX($C$17:$C$52,H$141-$A164+1))</f>
        <v/>
      </c>
      <c r="I164" s="13">
        <f>IF(OR(I$141-$A164&lt;0,I$141-$A164&gt;35),0,I122*INDEX($C$17:$C$52,I$141-$A164+1))</f>
        <v/>
      </c>
      <c r="J164" s="13">
        <f>IF(OR(J$141-$A164&lt;0,J$141-$A164&gt;35),0,J122*INDEX($C$17:$C$52,J$141-$A164+1))</f>
        <v/>
      </c>
      <c r="K164" s="13">
        <f>IF(OR(K$141-$A164&lt;0,K$141-$A164&gt;35),0,K122*INDEX($C$17:$C$52,K$141-$A164+1))</f>
        <v/>
      </c>
      <c r="L164" s="13">
        <f>IF(OR(L$141-$A164&lt;0,L$141-$A164&gt;35),0,L122*INDEX($C$17:$C$52,L$141-$A164+1))</f>
        <v/>
      </c>
      <c r="M164" s="13">
        <f>IF(OR(M$141-$A164&lt;0,M$141-$A164&gt;35),0,M122*INDEX($C$17:$C$52,M$141-$A164+1))</f>
        <v/>
      </c>
      <c r="N164" s="13">
        <f>IF(OR(N$141-$A164&lt;0,N$141-$A164&gt;35),0,N122*INDEX($C$17:$C$52,N$141-$A164+1))</f>
        <v/>
      </c>
      <c r="O164" s="13">
        <f>IF(OR(O$141-$A164&lt;0,O$141-$A164&gt;35),0,O122*INDEX($C$17:$C$52,O$141-$A164+1))</f>
        <v/>
      </c>
      <c r="P164" s="13">
        <f>IF(OR(P$141-$A164&lt;0,P$141-$A164&gt;35),0,P122*INDEX($C$17:$C$52,P$141-$A164+1))</f>
        <v/>
      </c>
      <c r="Q164" s="13">
        <f>IF(OR(Q$141-$A164&lt;0,Q$141-$A164&gt;35),0,Q122*INDEX($C$17:$C$52,Q$141-$A164+1))</f>
        <v/>
      </c>
      <c r="R164" s="13">
        <f>IF(OR(R$141-$A164&lt;0,R$141-$A164&gt;35),0,R122*INDEX($C$17:$C$52,R$141-$A164+1))</f>
        <v/>
      </c>
    </row>
    <row r="165">
      <c r="A165" s="12">
        <f>A80</f>
        <v/>
      </c>
      <c r="B165" s="15">
        <f>B80</f>
        <v/>
      </c>
      <c r="D165" s="13">
        <f>IF(OR(D$141-$A165&lt;0,D$141-$A165&gt;35),0,D123*INDEX($C$17:$C$52,D$141-$A165+1))</f>
        <v/>
      </c>
      <c r="E165" s="13">
        <f>IF(OR(E$141-$A165&lt;0,E$141-$A165&gt;35),0,E123*INDEX($C$17:$C$52,E$141-$A165+1))</f>
        <v/>
      </c>
      <c r="F165" s="13">
        <f>IF(OR(F$141-$A165&lt;0,F$141-$A165&gt;35),0,F123*INDEX($C$17:$C$52,F$141-$A165+1))</f>
        <v/>
      </c>
      <c r="G165" s="13">
        <f>IF(OR(G$141-$A165&lt;0,G$141-$A165&gt;35),0,G123*INDEX($C$17:$C$52,G$141-$A165+1))</f>
        <v/>
      </c>
      <c r="H165" s="13">
        <f>IF(OR(H$141-$A165&lt;0,H$141-$A165&gt;35),0,H123*INDEX($C$17:$C$52,H$141-$A165+1))</f>
        <v/>
      </c>
      <c r="I165" s="13">
        <f>IF(OR(I$141-$A165&lt;0,I$141-$A165&gt;35),0,I123*INDEX($C$17:$C$52,I$141-$A165+1))</f>
        <v/>
      </c>
      <c r="J165" s="13">
        <f>IF(OR(J$141-$A165&lt;0,J$141-$A165&gt;35),0,J123*INDEX($C$17:$C$52,J$141-$A165+1))</f>
        <v/>
      </c>
      <c r="K165" s="13">
        <f>IF(OR(K$141-$A165&lt;0,K$141-$A165&gt;35),0,K123*INDEX($C$17:$C$52,K$141-$A165+1))</f>
        <v/>
      </c>
      <c r="L165" s="13">
        <f>IF(OR(L$141-$A165&lt;0,L$141-$A165&gt;35),0,L123*INDEX($C$17:$C$52,L$141-$A165+1))</f>
        <v/>
      </c>
      <c r="M165" s="13">
        <f>IF(OR(M$141-$A165&lt;0,M$141-$A165&gt;35),0,M123*INDEX($C$17:$C$52,M$141-$A165+1))</f>
        <v/>
      </c>
      <c r="N165" s="13">
        <f>IF(OR(N$141-$A165&lt;0,N$141-$A165&gt;35),0,N123*INDEX($C$17:$C$52,N$141-$A165+1))</f>
        <v/>
      </c>
      <c r="O165" s="13">
        <f>IF(OR(O$141-$A165&lt;0,O$141-$A165&gt;35),0,O123*INDEX($C$17:$C$52,O$141-$A165+1))</f>
        <v/>
      </c>
      <c r="P165" s="13">
        <f>IF(OR(P$141-$A165&lt;0,P$141-$A165&gt;35),0,P123*INDEX($C$17:$C$52,P$141-$A165+1))</f>
        <v/>
      </c>
      <c r="Q165" s="13">
        <f>IF(OR(Q$141-$A165&lt;0,Q$141-$A165&gt;35),0,Q123*INDEX($C$17:$C$52,Q$141-$A165+1))</f>
        <v/>
      </c>
      <c r="R165" s="13">
        <f>IF(OR(R$141-$A165&lt;0,R$141-$A165&gt;35),0,R123*INDEX($C$17:$C$52,R$141-$A165+1))</f>
        <v/>
      </c>
    </row>
    <row r="166">
      <c r="A166" s="12">
        <f>A81</f>
        <v/>
      </c>
      <c r="B166" s="15">
        <f>B81</f>
        <v/>
      </c>
      <c r="D166" s="13">
        <f>IF(OR(D$141-$A166&lt;0,D$141-$A166&gt;35),0,D124*INDEX($C$17:$C$52,D$141-$A166+1))</f>
        <v/>
      </c>
      <c r="E166" s="13">
        <f>IF(OR(E$141-$A166&lt;0,E$141-$A166&gt;35),0,E124*INDEX($C$17:$C$52,E$141-$A166+1))</f>
        <v/>
      </c>
      <c r="F166" s="13">
        <f>IF(OR(F$141-$A166&lt;0,F$141-$A166&gt;35),0,F124*INDEX($C$17:$C$52,F$141-$A166+1))</f>
        <v/>
      </c>
      <c r="G166" s="13">
        <f>IF(OR(G$141-$A166&lt;0,G$141-$A166&gt;35),0,G124*INDEX($C$17:$C$52,G$141-$A166+1))</f>
        <v/>
      </c>
      <c r="H166" s="13">
        <f>IF(OR(H$141-$A166&lt;0,H$141-$A166&gt;35),0,H124*INDEX($C$17:$C$52,H$141-$A166+1))</f>
        <v/>
      </c>
      <c r="I166" s="13">
        <f>IF(OR(I$141-$A166&lt;0,I$141-$A166&gt;35),0,I124*INDEX($C$17:$C$52,I$141-$A166+1))</f>
        <v/>
      </c>
      <c r="J166" s="13">
        <f>IF(OR(J$141-$A166&lt;0,J$141-$A166&gt;35),0,J124*INDEX($C$17:$C$52,J$141-$A166+1))</f>
        <v/>
      </c>
      <c r="K166" s="13">
        <f>IF(OR(K$141-$A166&lt;0,K$141-$A166&gt;35),0,K124*INDEX($C$17:$C$52,K$141-$A166+1))</f>
        <v/>
      </c>
      <c r="L166" s="13">
        <f>IF(OR(L$141-$A166&lt;0,L$141-$A166&gt;35),0,L124*INDEX($C$17:$C$52,L$141-$A166+1))</f>
        <v/>
      </c>
      <c r="M166" s="13">
        <f>IF(OR(M$141-$A166&lt;0,M$141-$A166&gt;35),0,M124*INDEX($C$17:$C$52,M$141-$A166+1))</f>
        <v/>
      </c>
      <c r="N166" s="13">
        <f>IF(OR(N$141-$A166&lt;0,N$141-$A166&gt;35),0,N124*INDEX($C$17:$C$52,N$141-$A166+1))</f>
        <v/>
      </c>
      <c r="O166" s="13">
        <f>IF(OR(O$141-$A166&lt;0,O$141-$A166&gt;35),0,O124*INDEX($C$17:$C$52,O$141-$A166+1))</f>
        <v/>
      </c>
      <c r="P166" s="13">
        <f>IF(OR(P$141-$A166&lt;0,P$141-$A166&gt;35),0,P124*INDEX($C$17:$C$52,P$141-$A166+1))</f>
        <v/>
      </c>
      <c r="Q166" s="13">
        <f>IF(OR(Q$141-$A166&lt;0,Q$141-$A166&gt;35),0,Q124*INDEX($C$17:$C$52,Q$141-$A166+1))</f>
        <v/>
      </c>
      <c r="R166" s="13">
        <f>IF(OR(R$141-$A166&lt;0,R$141-$A166&gt;35),0,R124*INDEX($C$17:$C$52,R$141-$A166+1))</f>
        <v/>
      </c>
    </row>
    <row r="167">
      <c r="A167" s="12">
        <f>A82</f>
        <v/>
      </c>
      <c r="B167" s="15">
        <f>B82</f>
        <v/>
      </c>
      <c r="D167" s="13">
        <f>IF(OR(D$141-$A167&lt;0,D$141-$A167&gt;35),0,D125*INDEX($C$17:$C$52,D$141-$A167+1))</f>
        <v/>
      </c>
      <c r="E167" s="13">
        <f>IF(OR(E$141-$A167&lt;0,E$141-$A167&gt;35),0,E125*INDEX($C$17:$C$52,E$141-$A167+1))</f>
        <v/>
      </c>
      <c r="F167" s="13">
        <f>IF(OR(F$141-$A167&lt;0,F$141-$A167&gt;35),0,F125*INDEX($C$17:$C$52,F$141-$A167+1))</f>
        <v/>
      </c>
      <c r="G167" s="13">
        <f>IF(OR(G$141-$A167&lt;0,G$141-$A167&gt;35),0,G125*INDEX($C$17:$C$52,G$141-$A167+1))</f>
        <v/>
      </c>
      <c r="H167" s="13">
        <f>IF(OR(H$141-$A167&lt;0,H$141-$A167&gt;35),0,H125*INDEX($C$17:$C$52,H$141-$A167+1))</f>
        <v/>
      </c>
      <c r="I167" s="13">
        <f>IF(OR(I$141-$A167&lt;0,I$141-$A167&gt;35),0,I125*INDEX($C$17:$C$52,I$141-$A167+1))</f>
        <v/>
      </c>
      <c r="J167" s="13">
        <f>IF(OR(J$141-$A167&lt;0,J$141-$A167&gt;35),0,J125*INDEX($C$17:$C$52,J$141-$A167+1))</f>
        <v/>
      </c>
      <c r="K167" s="13">
        <f>IF(OR(K$141-$A167&lt;0,K$141-$A167&gt;35),0,K125*INDEX($C$17:$C$52,K$141-$A167+1))</f>
        <v/>
      </c>
      <c r="L167" s="13">
        <f>IF(OR(L$141-$A167&lt;0,L$141-$A167&gt;35),0,L125*INDEX($C$17:$C$52,L$141-$A167+1))</f>
        <v/>
      </c>
      <c r="M167" s="13">
        <f>IF(OR(M$141-$A167&lt;0,M$141-$A167&gt;35),0,M125*INDEX($C$17:$C$52,M$141-$A167+1))</f>
        <v/>
      </c>
      <c r="N167" s="13">
        <f>IF(OR(N$141-$A167&lt;0,N$141-$A167&gt;35),0,N125*INDEX($C$17:$C$52,N$141-$A167+1))</f>
        <v/>
      </c>
      <c r="O167" s="13">
        <f>IF(OR(O$141-$A167&lt;0,O$141-$A167&gt;35),0,O125*INDEX($C$17:$C$52,O$141-$A167+1))</f>
        <v/>
      </c>
      <c r="P167" s="13">
        <f>IF(OR(P$141-$A167&lt;0,P$141-$A167&gt;35),0,P125*INDEX($C$17:$C$52,P$141-$A167+1))</f>
        <v/>
      </c>
      <c r="Q167" s="13">
        <f>IF(OR(Q$141-$A167&lt;0,Q$141-$A167&gt;35),0,Q125*INDEX($C$17:$C$52,Q$141-$A167+1))</f>
        <v/>
      </c>
      <c r="R167" s="13">
        <f>IF(OR(R$141-$A167&lt;0,R$141-$A167&gt;35),0,R125*INDEX($C$17:$C$52,R$141-$A167+1))</f>
        <v/>
      </c>
    </row>
    <row r="168">
      <c r="A168" s="12">
        <f>A83</f>
        <v/>
      </c>
      <c r="B168" s="15">
        <f>B83</f>
        <v/>
      </c>
      <c r="D168" s="13">
        <f>IF(OR(D$141-$A168&lt;0,D$141-$A168&gt;35),0,D126*INDEX($C$17:$C$52,D$141-$A168+1))</f>
        <v/>
      </c>
      <c r="E168" s="13">
        <f>IF(OR(E$141-$A168&lt;0,E$141-$A168&gt;35),0,E126*INDEX($C$17:$C$52,E$141-$A168+1))</f>
        <v/>
      </c>
      <c r="F168" s="13">
        <f>IF(OR(F$141-$A168&lt;0,F$141-$A168&gt;35),0,F126*INDEX($C$17:$C$52,F$141-$A168+1))</f>
        <v/>
      </c>
      <c r="G168" s="13">
        <f>IF(OR(G$141-$A168&lt;0,G$141-$A168&gt;35),0,G126*INDEX($C$17:$C$52,G$141-$A168+1))</f>
        <v/>
      </c>
      <c r="H168" s="13">
        <f>IF(OR(H$141-$A168&lt;0,H$141-$A168&gt;35),0,H126*INDEX($C$17:$C$52,H$141-$A168+1))</f>
        <v/>
      </c>
      <c r="I168" s="13">
        <f>IF(OR(I$141-$A168&lt;0,I$141-$A168&gt;35),0,I126*INDEX($C$17:$C$52,I$141-$A168+1))</f>
        <v/>
      </c>
      <c r="J168" s="13">
        <f>IF(OR(J$141-$A168&lt;0,J$141-$A168&gt;35),0,J126*INDEX($C$17:$C$52,J$141-$A168+1))</f>
        <v/>
      </c>
      <c r="K168" s="13">
        <f>IF(OR(K$141-$A168&lt;0,K$141-$A168&gt;35),0,K126*INDEX($C$17:$C$52,K$141-$A168+1))</f>
        <v/>
      </c>
      <c r="L168" s="13">
        <f>IF(OR(L$141-$A168&lt;0,L$141-$A168&gt;35),0,L126*INDEX($C$17:$C$52,L$141-$A168+1))</f>
        <v/>
      </c>
      <c r="M168" s="13">
        <f>IF(OR(M$141-$A168&lt;0,M$141-$A168&gt;35),0,M126*INDEX($C$17:$C$52,M$141-$A168+1))</f>
        <v/>
      </c>
      <c r="N168" s="13">
        <f>IF(OR(N$141-$A168&lt;0,N$141-$A168&gt;35),0,N126*INDEX($C$17:$C$52,N$141-$A168+1))</f>
        <v/>
      </c>
      <c r="O168" s="13">
        <f>IF(OR(O$141-$A168&lt;0,O$141-$A168&gt;35),0,O126*INDEX($C$17:$C$52,O$141-$A168+1))</f>
        <v/>
      </c>
      <c r="P168" s="13">
        <f>IF(OR(P$141-$A168&lt;0,P$141-$A168&gt;35),0,P126*INDEX($C$17:$C$52,P$141-$A168+1))</f>
        <v/>
      </c>
      <c r="Q168" s="13">
        <f>IF(OR(Q$141-$A168&lt;0,Q$141-$A168&gt;35),0,Q126*INDEX($C$17:$C$52,Q$141-$A168+1))</f>
        <v/>
      </c>
      <c r="R168" s="13">
        <f>IF(OR(R$141-$A168&lt;0,R$141-$A168&gt;35),0,R126*INDEX($C$17:$C$52,R$141-$A168+1))</f>
        <v/>
      </c>
    </row>
    <row r="169">
      <c r="A169" s="12">
        <f>A84</f>
        <v/>
      </c>
      <c r="B169" s="15">
        <f>B84</f>
        <v/>
      </c>
      <c r="D169" s="13">
        <f>IF(OR(D$141-$A169&lt;0,D$141-$A169&gt;35),0,D127*INDEX($C$17:$C$52,D$141-$A169+1))</f>
        <v/>
      </c>
      <c r="E169" s="13">
        <f>IF(OR(E$141-$A169&lt;0,E$141-$A169&gt;35),0,E127*INDEX($C$17:$C$52,E$141-$A169+1))</f>
        <v/>
      </c>
      <c r="F169" s="13">
        <f>IF(OR(F$141-$A169&lt;0,F$141-$A169&gt;35),0,F127*INDEX($C$17:$C$52,F$141-$A169+1))</f>
        <v/>
      </c>
      <c r="G169" s="13">
        <f>IF(OR(G$141-$A169&lt;0,G$141-$A169&gt;35),0,G127*INDEX($C$17:$C$52,G$141-$A169+1))</f>
        <v/>
      </c>
      <c r="H169" s="13">
        <f>IF(OR(H$141-$A169&lt;0,H$141-$A169&gt;35),0,H127*INDEX($C$17:$C$52,H$141-$A169+1))</f>
        <v/>
      </c>
      <c r="I169" s="13">
        <f>IF(OR(I$141-$A169&lt;0,I$141-$A169&gt;35),0,I127*INDEX($C$17:$C$52,I$141-$A169+1))</f>
        <v/>
      </c>
      <c r="J169" s="13">
        <f>IF(OR(J$141-$A169&lt;0,J$141-$A169&gt;35),0,J127*INDEX($C$17:$C$52,J$141-$A169+1))</f>
        <v/>
      </c>
      <c r="K169" s="13">
        <f>IF(OR(K$141-$A169&lt;0,K$141-$A169&gt;35),0,K127*INDEX($C$17:$C$52,K$141-$A169+1))</f>
        <v/>
      </c>
      <c r="L169" s="13">
        <f>IF(OR(L$141-$A169&lt;0,L$141-$A169&gt;35),0,L127*INDEX($C$17:$C$52,L$141-$A169+1))</f>
        <v/>
      </c>
      <c r="M169" s="13">
        <f>IF(OR(M$141-$A169&lt;0,M$141-$A169&gt;35),0,M127*INDEX($C$17:$C$52,M$141-$A169+1))</f>
        <v/>
      </c>
      <c r="N169" s="13">
        <f>IF(OR(N$141-$A169&lt;0,N$141-$A169&gt;35),0,N127*INDEX($C$17:$C$52,N$141-$A169+1))</f>
        <v/>
      </c>
      <c r="O169" s="13">
        <f>IF(OR(O$141-$A169&lt;0,O$141-$A169&gt;35),0,O127*INDEX($C$17:$C$52,O$141-$A169+1))</f>
        <v/>
      </c>
      <c r="P169" s="13">
        <f>IF(OR(P$141-$A169&lt;0,P$141-$A169&gt;35),0,P127*INDEX($C$17:$C$52,P$141-$A169+1))</f>
        <v/>
      </c>
      <c r="Q169" s="13">
        <f>IF(OR(Q$141-$A169&lt;0,Q$141-$A169&gt;35),0,Q127*INDEX($C$17:$C$52,Q$141-$A169+1))</f>
        <v/>
      </c>
      <c r="R169" s="13">
        <f>IF(OR(R$141-$A169&lt;0,R$141-$A169&gt;35),0,R127*INDEX($C$17:$C$52,R$141-$A169+1))</f>
        <v/>
      </c>
    </row>
    <row r="170">
      <c r="A170" s="12">
        <f>A85</f>
        <v/>
      </c>
      <c r="B170" s="15">
        <f>B85</f>
        <v/>
      </c>
      <c r="D170" s="13">
        <f>IF(OR(D$141-$A170&lt;0,D$141-$A170&gt;35),0,D128*INDEX($C$17:$C$52,D$141-$A170+1))</f>
        <v/>
      </c>
      <c r="E170" s="13">
        <f>IF(OR(E$141-$A170&lt;0,E$141-$A170&gt;35),0,E128*INDEX($C$17:$C$52,E$141-$A170+1))</f>
        <v/>
      </c>
      <c r="F170" s="13">
        <f>IF(OR(F$141-$A170&lt;0,F$141-$A170&gt;35),0,F128*INDEX($C$17:$C$52,F$141-$A170+1))</f>
        <v/>
      </c>
      <c r="G170" s="13">
        <f>IF(OR(G$141-$A170&lt;0,G$141-$A170&gt;35),0,G128*INDEX($C$17:$C$52,G$141-$A170+1))</f>
        <v/>
      </c>
      <c r="H170" s="13">
        <f>IF(OR(H$141-$A170&lt;0,H$141-$A170&gt;35),0,H128*INDEX($C$17:$C$52,H$141-$A170+1))</f>
        <v/>
      </c>
      <c r="I170" s="13">
        <f>IF(OR(I$141-$A170&lt;0,I$141-$A170&gt;35),0,I128*INDEX($C$17:$C$52,I$141-$A170+1))</f>
        <v/>
      </c>
      <c r="J170" s="13">
        <f>IF(OR(J$141-$A170&lt;0,J$141-$A170&gt;35),0,J128*INDEX($C$17:$C$52,J$141-$A170+1))</f>
        <v/>
      </c>
      <c r="K170" s="13">
        <f>IF(OR(K$141-$A170&lt;0,K$141-$A170&gt;35),0,K128*INDEX($C$17:$C$52,K$141-$A170+1))</f>
        <v/>
      </c>
      <c r="L170" s="13">
        <f>IF(OR(L$141-$A170&lt;0,L$141-$A170&gt;35),0,L128*INDEX($C$17:$C$52,L$141-$A170+1))</f>
        <v/>
      </c>
      <c r="M170" s="13">
        <f>IF(OR(M$141-$A170&lt;0,M$141-$A170&gt;35),0,M128*INDEX($C$17:$C$52,M$141-$A170+1))</f>
        <v/>
      </c>
      <c r="N170" s="13">
        <f>IF(OR(N$141-$A170&lt;0,N$141-$A170&gt;35),0,N128*INDEX($C$17:$C$52,N$141-$A170+1))</f>
        <v/>
      </c>
      <c r="O170" s="13">
        <f>IF(OR(O$141-$A170&lt;0,O$141-$A170&gt;35),0,O128*INDEX($C$17:$C$52,O$141-$A170+1))</f>
        <v/>
      </c>
      <c r="P170" s="13">
        <f>IF(OR(P$141-$A170&lt;0,P$141-$A170&gt;35),0,P128*INDEX($C$17:$C$52,P$141-$A170+1))</f>
        <v/>
      </c>
      <c r="Q170" s="13">
        <f>IF(OR(Q$141-$A170&lt;0,Q$141-$A170&gt;35),0,Q128*INDEX($C$17:$C$52,Q$141-$A170+1))</f>
        <v/>
      </c>
      <c r="R170" s="13">
        <f>IF(OR(R$141-$A170&lt;0,R$141-$A170&gt;35),0,R128*INDEX($C$17:$C$52,R$141-$A170+1))</f>
        <v/>
      </c>
    </row>
    <row r="171">
      <c r="A171" s="12">
        <f>A86</f>
        <v/>
      </c>
      <c r="B171" s="15">
        <f>B86</f>
        <v/>
      </c>
      <c r="D171" s="13">
        <f>IF(OR(D$141-$A171&lt;0,D$141-$A171&gt;35),0,D129*INDEX($C$17:$C$52,D$141-$A171+1))</f>
        <v/>
      </c>
      <c r="E171" s="13">
        <f>IF(OR(E$141-$A171&lt;0,E$141-$A171&gt;35),0,E129*INDEX($C$17:$C$52,E$141-$A171+1))</f>
        <v/>
      </c>
      <c r="F171" s="13">
        <f>IF(OR(F$141-$A171&lt;0,F$141-$A171&gt;35),0,F129*INDEX($C$17:$C$52,F$141-$A171+1))</f>
        <v/>
      </c>
      <c r="G171" s="13">
        <f>IF(OR(G$141-$A171&lt;0,G$141-$A171&gt;35),0,G129*INDEX($C$17:$C$52,G$141-$A171+1))</f>
        <v/>
      </c>
      <c r="H171" s="13">
        <f>IF(OR(H$141-$A171&lt;0,H$141-$A171&gt;35),0,H129*INDEX($C$17:$C$52,H$141-$A171+1))</f>
        <v/>
      </c>
      <c r="I171" s="13">
        <f>IF(OR(I$141-$A171&lt;0,I$141-$A171&gt;35),0,I129*INDEX($C$17:$C$52,I$141-$A171+1))</f>
        <v/>
      </c>
      <c r="J171" s="13">
        <f>IF(OR(J$141-$A171&lt;0,J$141-$A171&gt;35),0,J129*INDEX($C$17:$C$52,J$141-$A171+1))</f>
        <v/>
      </c>
      <c r="K171" s="13">
        <f>IF(OR(K$141-$A171&lt;0,K$141-$A171&gt;35),0,K129*INDEX($C$17:$C$52,K$141-$A171+1))</f>
        <v/>
      </c>
      <c r="L171" s="13">
        <f>IF(OR(L$141-$A171&lt;0,L$141-$A171&gt;35),0,L129*INDEX($C$17:$C$52,L$141-$A171+1))</f>
        <v/>
      </c>
      <c r="M171" s="13">
        <f>IF(OR(M$141-$A171&lt;0,M$141-$A171&gt;35),0,M129*INDEX($C$17:$C$52,M$141-$A171+1))</f>
        <v/>
      </c>
      <c r="N171" s="13">
        <f>IF(OR(N$141-$A171&lt;0,N$141-$A171&gt;35),0,N129*INDEX($C$17:$C$52,N$141-$A171+1))</f>
        <v/>
      </c>
      <c r="O171" s="13">
        <f>IF(OR(O$141-$A171&lt;0,O$141-$A171&gt;35),0,O129*INDEX($C$17:$C$52,O$141-$A171+1))</f>
        <v/>
      </c>
      <c r="P171" s="13">
        <f>IF(OR(P$141-$A171&lt;0,P$141-$A171&gt;35),0,P129*INDEX($C$17:$C$52,P$141-$A171+1))</f>
        <v/>
      </c>
      <c r="Q171" s="13">
        <f>IF(OR(Q$141-$A171&lt;0,Q$141-$A171&gt;35),0,Q129*INDEX($C$17:$C$52,Q$141-$A171+1))</f>
        <v/>
      </c>
      <c r="R171" s="13">
        <f>IF(OR(R$141-$A171&lt;0,R$141-$A171&gt;35),0,R129*INDEX($C$17:$C$52,R$141-$A171+1))</f>
        <v/>
      </c>
    </row>
    <row r="172">
      <c r="A172" s="12">
        <f>A87</f>
        <v/>
      </c>
      <c r="B172" s="15">
        <f>B87</f>
        <v/>
      </c>
      <c r="D172" s="13">
        <f>IF(OR(D$141-$A172&lt;0,D$141-$A172&gt;35),0,D130*INDEX($C$17:$C$52,D$141-$A172+1))</f>
        <v/>
      </c>
      <c r="E172" s="13">
        <f>IF(OR(E$141-$A172&lt;0,E$141-$A172&gt;35),0,E130*INDEX($C$17:$C$52,E$141-$A172+1))</f>
        <v/>
      </c>
      <c r="F172" s="13">
        <f>IF(OR(F$141-$A172&lt;0,F$141-$A172&gt;35),0,F130*INDEX($C$17:$C$52,F$141-$A172+1))</f>
        <v/>
      </c>
      <c r="G172" s="13">
        <f>IF(OR(G$141-$A172&lt;0,G$141-$A172&gt;35),0,G130*INDEX($C$17:$C$52,G$141-$A172+1))</f>
        <v/>
      </c>
      <c r="H172" s="13">
        <f>IF(OR(H$141-$A172&lt;0,H$141-$A172&gt;35),0,H130*INDEX($C$17:$C$52,H$141-$A172+1))</f>
        <v/>
      </c>
      <c r="I172" s="13">
        <f>IF(OR(I$141-$A172&lt;0,I$141-$A172&gt;35),0,I130*INDEX($C$17:$C$52,I$141-$A172+1))</f>
        <v/>
      </c>
      <c r="J172" s="13">
        <f>IF(OR(J$141-$A172&lt;0,J$141-$A172&gt;35),0,J130*INDEX($C$17:$C$52,J$141-$A172+1))</f>
        <v/>
      </c>
      <c r="K172" s="13">
        <f>IF(OR(K$141-$A172&lt;0,K$141-$A172&gt;35),0,K130*INDEX($C$17:$C$52,K$141-$A172+1))</f>
        <v/>
      </c>
      <c r="L172" s="13">
        <f>IF(OR(L$141-$A172&lt;0,L$141-$A172&gt;35),0,L130*INDEX($C$17:$C$52,L$141-$A172+1))</f>
        <v/>
      </c>
      <c r="M172" s="13">
        <f>IF(OR(M$141-$A172&lt;0,M$141-$A172&gt;35),0,M130*INDEX($C$17:$C$52,M$141-$A172+1))</f>
        <v/>
      </c>
      <c r="N172" s="13">
        <f>IF(OR(N$141-$A172&lt;0,N$141-$A172&gt;35),0,N130*INDEX($C$17:$C$52,N$141-$A172+1))</f>
        <v/>
      </c>
      <c r="O172" s="13">
        <f>IF(OR(O$141-$A172&lt;0,O$141-$A172&gt;35),0,O130*INDEX($C$17:$C$52,O$141-$A172+1))</f>
        <v/>
      </c>
      <c r="P172" s="13">
        <f>IF(OR(P$141-$A172&lt;0,P$141-$A172&gt;35),0,P130*INDEX($C$17:$C$52,P$141-$A172+1))</f>
        <v/>
      </c>
      <c r="Q172" s="13">
        <f>IF(OR(Q$141-$A172&lt;0,Q$141-$A172&gt;35),0,Q130*INDEX($C$17:$C$52,Q$141-$A172+1))</f>
        <v/>
      </c>
      <c r="R172" s="13">
        <f>IF(OR(R$141-$A172&lt;0,R$141-$A172&gt;35),0,R130*INDEX($C$17:$C$52,R$141-$A172+1))</f>
        <v/>
      </c>
    </row>
    <row r="173">
      <c r="A173" s="12">
        <f>A88</f>
        <v/>
      </c>
      <c r="B173" s="15">
        <f>B88</f>
        <v/>
      </c>
      <c r="D173" s="13">
        <f>IF(OR(D$141-$A173&lt;0,D$141-$A173&gt;35),0,D131*INDEX($C$17:$C$52,D$141-$A173+1))</f>
        <v/>
      </c>
      <c r="E173" s="13">
        <f>IF(OR(E$141-$A173&lt;0,E$141-$A173&gt;35),0,E131*INDEX($C$17:$C$52,E$141-$A173+1))</f>
        <v/>
      </c>
      <c r="F173" s="13">
        <f>IF(OR(F$141-$A173&lt;0,F$141-$A173&gt;35),0,F131*INDEX($C$17:$C$52,F$141-$A173+1))</f>
        <v/>
      </c>
      <c r="G173" s="13">
        <f>IF(OR(G$141-$A173&lt;0,G$141-$A173&gt;35),0,G131*INDEX($C$17:$C$52,G$141-$A173+1))</f>
        <v/>
      </c>
      <c r="H173" s="13">
        <f>IF(OR(H$141-$A173&lt;0,H$141-$A173&gt;35),0,H131*INDEX($C$17:$C$52,H$141-$A173+1))</f>
        <v/>
      </c>
      <c r="I173" s="13">
        <f>IF(OR(I$141-$A173&lt;0,I$141-$A173&gt;35),0,I131*INDEX($C$17:$C$52,I$141-$A173+1))</f>
        <v/>
      </c>
      <c r="J173" s="13">
        <f>IF(OR(J$141-$A173&lt;0,J$141-$A173&gt;35),0,J131*INDEX($C$17:$C$52,J$141-$A173+1))</f>
        <v/>
      </c>
      <c r="K173" s="13">
        <f>IF(OR(K$141-$A173&lt;0,K$141-$A173&gt;35),0,K131*INDEX($C$17:$C$52,K$141-$A173+1))</f>
        <v/>
      </c>
      <c r="L173" s="13">
        <f>IF(OR(L$141-$A173&lt;0,L$141-$A173&gt;35),0,L131*INDEX($C$17:$C$52,L$141-$A173+1))</f>
        <v/>
      </c>
      <c r="M173" s="13">
        <f>IF(OR(M$141-$A173&lt;0,M$141-$A173&gt;35),0,M131*INDEX($C$17:$C$52,M$141-$A173+1))</f>
        <v/>
      </c>
      <c r="N173" s="13">
        <f>IF(OR(N$141-$A173&lt;0,N$141-$A173&gt;35),0,N131*INDEX($C$17:$C$52,N$141-$A173+1))</f>
        <v/>
      </c>
      <c r="O173" s="13">
        <f>IF(OR(O$141-$A173&lt;0,O$141-$A173&gt;35),0,O131*INDEX($C$17:$C$52,O$141-$A173+1))</f>
        <v/>
      </c>
      <c r="P173" s="13">
        <f>IF(OR(P$141-$A173&lt;0,P$141-$A173&gt;35),0,P131*INDEX($C$17:$C$52,P$141-$A173+1))</f>
        <v/>
      </c>
      <c r="Q173" s="13">
        <f>IF(OR(Q$141-$A173&lt;0,Q$141-$A173&gt;35),0,Q131*INDEX($C$17:$C$52,Q$141-$A173+1))</f>
        <v/>
      </c>
      <c r="R173" s="13">
        <f>IF(OR(R$141-$A173&lt;0,R$141-$A173&gt;35),0,R131*INDEX($C$17:$C$52,R$141-$A173+1))</f>
        <v/>
      </c>
    </row>
    <row r="174">
      <c r="A174" s="12">
        <f>A89</f>
        <v/>
      </c>
      <c r="B174" s="15">
        <f>B89</f>
        <v/>
      </c>
      <c r="D174" s="13">
        <f>IF(OR(D$141-$A174&lt;0,D$141-$A174&gt;35),0,D132*INDEX($C$17:$C$52,D$141-$A174+1))</f>
        <v/>
      </c>
      <c r="E174" s="13">
        <f>IF(OR(E$141-$A174&lt;0,E$141-$A174&gt;35),0,E132*INDEX($C$17:$C$52,E$141-$A174+1))</f>
        <v/>
      </c>
      <c r="F174" s="13">
        <f>IF(OR(F$141-$A174&lt;0,F$141-$A174&gt;35),0,F132*INDEX($C$17:$C$52,F$141-$A174+1))</f>
        <v/>
      </c>
      <c r="G174" s="13">
        <f>IF(OR(G$141-$A174&lt;0,G$141-$A174&gt;35),0,G132*INDEX($C$17:$C$52,G$141-$A174+1))</f>
        <v/>
      </c>
      <c r="H174" s="13">
        <f>IF(OR(H$141-$A174&lt;0,H$141-$A174&gt;35),0,H132*INDEX($C$17:$C$52,H$141-$A174+1))</f>
        <v/>
      </c>
      <c r="I174" s="13">
        <f>IF(OR(I$141-$A174&lt;0,I$141-$A174&gt;35),0,I132*INDEX($C$17:$C$52,I$141-$A174+1))</f>
        <v/>
      </c>
      <c r="J174" s="13">
        <f>IF(OR(J$141-$A174&lt;0,J$141-$A174&gt;35),0,J132*INDEX($C$17:$C$52,J$141-$A174+1))</f>
        <v/>
      </c>
      <c r="K174" s="13">
        <f>IF(OR(K$141-$A174&lt;0,K$141-$A174&gt;35),0,K132*INDEX($C$17:$C$52,K$141-$A174+1))</f>
        <v/>
      </c>
      <c r="L174" s="13">
        <f>IF(OR(L$141-$A174&lt;0,L$141-$A174&gt;35),0,L132*INDEX($C$17:$C$52,L$141-$A174+1))</f>
        <v/>
      </c>
      <c r="M174" s="13">
        <f>IF(OR(M$141-$A174&lt;0,M$141-$A174&gt;35),0,M132*INDEX($C$17:$C$52,M$141-$A174+1))</f>
        <v/>
      </c>
      <c r="N174" s="13">
        <f>IF(OR(N$141-$A174&lt;0,N$141-$A174&gt;35),0,N132*INDEX($C$17:$C$52,N$141-$A174+1))</f>
        <v/>
      </c>
      <c r="O174" s="13">
        <f>IF(OR(O$141-$A174&lt;0,O$141-$A174&gt;35),0,O132*INDEX($C$17:$C$52,O$141-$A174+1))</f>
        <v/>
      </c>
      <c r="P174" s="13">
        <f>IF(OR(P$141-$A174&lt;0,P$141-$A174&gt;35),0,P132*INDEX($C$17:$C$52,P$141-$A174+1))</f>
        <v/>
      </c>
      <c r="Q174" s="13">
        <f>IF(OR(Q$141-$A174&lt;0,Q$141-$A174&gt;35),0,Q132*INDEX($C$17:$C$52,Q$141-$A174+1))</f>
        <v/>
      </c>
      <c r="R174" s="13">
        <f>IF(OR(R$141-$A174&lt;0,R$141-$A174&gt;35),0,R132*INDEX($C$17:$C$52,R$141-$A174+1))</f>
        <v/>
      </c>
    </row>
    <row r="175">
      <c r="A175" s="12">
        <f>A90</f>
        <v/>
      </c>
      <c r="B175" s="15">
        <f>B90</f>
        <v/>
      </c>
      <c r="D175" s="13">
        <f>IF(OR(D$141-$A175&lt;0,D$141-$A175&gt;35),0,D133*INDEX($C$17:$C$52,D$141-$A175+1))</f>
        <v/>
      </c>
      <c r="E175" s="13">
        <f>IF(OR(E$141-$A175&lt;0,E$141-$A175&gt;35),0,E133*INDEX($C$17:$C$52,E$141-$A175+1))</f>
        <v/>
      </c>
      <c r="F175" s="13">
        <f>IF(OR(F$141-$A175&lt;0,F$141-$A175&gt;35),0,F133*INDEX($C$17:$C$52,F$141-$A175+1))</f>
        <v/>
      </c>
      <c r="G175" s="13">
        <f>IF(OR(G$141-$A175&lt;0,G$141-$A175&gt;35),0,G133*INDEX($C$17:$C$52,G$141-$A175+1))</f>
        <v/>
      </c>
      <c r="H175" s="13">
        <f>IF(OR(H$141-$A175&lt;0,H$141-$A175&gt;35),0,H133*INDEX($C$17:$C$52,H$141-$A175+1))</f>
        <v/>
      </c>
      <c r="I175" s="13">
        <f>IF(OR(I$141-$A175&lt;0,I$141-$A175&gt;35),0,I133*INDEX($C$17:$C$52,I$141-$A175+1))</f>
        <v/>
      </c>
      <c r="J175" s="13">
        <f>IF(OR(J$141-$A175&lt;0,J$141-$A175&gt;35),0,J133*INDEX($C$17:$C$52,J$141-$A175+1))</f>
        <v/>
      </c>
      <c r="K175" s="13">
        <f>IF(OR(K$141-$A175&lt;0,K$141-$A175&gt;35),0,K133*INDEX($C$17:$C$52,K$141-$A175+1))</f>
        <v/>
      </c>
      <c r="L175" s="13">
        <f>IF(OR(L$141-$A175&lt;0,L$141-$A175&gt;35),0,L133*INDEX($C$17:$C$52,L$141-$A175+1))</f>
        <v/>
      </c>
      <c r="M175" s="13">
        <f>IF(OR(M$141-$A175&lt;0,M$141-$A175&gt;35),0,M133*INDEX($C$17:$C$52,M$141-$A175+1))</f>
        <v/>
      </c>
      <c r="N175" s="13">
        <f>IF(OR(N$141-$A175&lt;0,N$141-$A175&gt;35),0,N133*INDEX($C$17:$C$52,N$141-$A175+1))</f>
        <v/>
      </c>
      <c r="O175" s="13">
        <f>IF(OR(O$141-$A175&lt;0,O$141-$A175&gt;35),0,O133*INDEX($C$17:$C$52,O$141-$A175+1))</f>
        <v/>
      </c>
      <c r="P175" s="13">
        <f>IF(OR(P$141-$A175&lt;0,P$141-$A175&gt;35),0,P133*INDEX($C$17:$C$52,P$141-$A175+1))</f>
        <v/>
      </c>
      <c r="Q175" s="13">
        <f>IF(OR(Q$141-$A175&lt;0,Q$141-$A175&gt;35),0,Q133*INDEX($C$17:$C$52,Q$141-$A175+1))</f>
        <v/>
      </c>
      <c r="R175" s="13">
        <f>IF(OR(R$141-$A175&lt;0,R$141-$A175&gt;35),0,R133*INDEX($C$17:$C$52,R$141-$A175+1))</f>
        <v/>
      </c>
    </row>
    <row r="176">
      <c r="A176" s="12">
        <f>A91</f>
        <v/>
      </c>
      <c r="B176" s="15">
        <f>B91</f>
        <v/>
      </c>
      <c r="D176" s="13">
        <f>IF(OR(D$141-$A176&lt;0,D$141-$A176&gt;35),0,D134*INDEX($C$17:$C$52,D$141-$A176+1))</f>
        <v/>
      </c>
      <c r="E176" s="13">
        <f>IF(OR(E$141-$A176&lt;0,E$141-$A176&gt;35),0,E134*INDEX($C$17:$C$52,E$141-$A176+1))</f>
        <v/>
      </c>
      <c r="F176" s="13">
        <f>IF(OR(F$141-$A176&lt;0,F$141-$A176&gt;35),0,F134*INDEX($C$17:$C$52,F$141-$A176+1))</f>
        <v/>
      </c>
      <c r="G176" s="13">
        <f>IF(OR(G$141-$A176&lt;0,G$141-$A176&gt;35),0,G134*INDEX($C$17:$C$52,G$141-$A176+1))</f>
        <v/>
      </c>
      <c r="H176" s="13">
        <f>IF(OR(H$141-$A176&lt;0,H$141-$A176&gt;35),0,H134*INDEX($C$17:$C$52,H$141-$A176+1))</f>
        <v/>
      </c>
      <c r="I176" s="13">
        <f>IF(OR(I$141-$A176&lt;0,I$141-$A176&gt;35),0,I134*INDEX($C$17:$C$52,I$141-$A176+1))</f>
        <v/>
      </c>
      <c r="J176" s="13">
        <f>IF(OR(J$141-$A176&lt;0,J$141-$A176&gt;35),0,J134*INDEX($C$17:$C$52,J$141-$A176+1))</f>
        <v/>
      </c>
      <c r="K176" s="13">
        <f>IF(OR(K$141-$A176&lt;0,K$141-$A176&gt;35),0,K134*INDEX($C$17:$C$52,K$141-$A176+1))</f>
        <v/>
      </c>
      <c r="L176" s="13">
        <f>IF(OR(L$141-$A176&lt;0,L$141-$A176&gt;35),0,L134*INDEX($C$17:$C$52,L$141-$A176+1))</f>
        <v/>
      </c>
      <c r="M176" s="13">
        <f>IF(OR(M$141-$A176&lt;0,M$141-$A176&gt;35),0,M134*INDEX($C$17:$C$52,M$141-$A176+1))</f>
        <v/>
      </c>
      <c r="N176" s="13">
        <f>IF(OR(N$141-$A176&lt;0,N$141-$A176&gt;35),0,N134*INDEX($C$17:$C$52,N$141-$A176+1))</f>
        <v/>
      </c>
      <c r="O176" s="13">
        <f>IF(OR(O$141-$A176&lt;0,O$141-$A176&gt;35),0,O134*INDEX($C$17:$C$52,O$141-$A176+1))</f>
        <v/>
      </c>
      <c r="P176" s="13">
        <f>IF(OR(P$141-$A176&lt;0,P$141-$A176&gt;35),0,P134*INDEX($C$17:$C$52,P$141-$A176+1))</f>
        <v/>
      </c>
      <c r="Q176" s="13">
        <f>IF(OR(Q$141-$A176&lt;0,Q$141-$A176&gt;35),0,Q134*INDEX($C$17:$C$52,Q$141-$A176+1))</f>
        <v/>
      </c>
      <c r="R176" s="13">
        <f>IF(OR(R$141-$A176&lt;0,R$141-$A176&gt;35),0,R134*INDEX($C$17:$C$52,R$141-$A176+1))</f>
        <v/>
      </c>
    </row>
    <row r="177">
      <c r="A177" s="12">
        <f>A92</f>
        <v/>
      </c>
      <c r="B177" s="15">
        <f>B92</f>
        <v/>
      </c>
      <c r="D177" s="13">
        <f>IF(OR(D$141-$A177&lt;0,D$141-$A177&gt;35),0,D135*INDEX($C$17:$C$52,D$141-$A177+1))</f>
        <v/>
      </c>
      <c r="E177" s="13">
        <f>IF(OR(E$141-$A177&lt;0,E$141-$A177&gt;35),0,E135*INDEX($C$17:$C$52,E$141-$A177+1))</f>
        <v/>
      </c>
      <c r="F177" s="13">
        <f>IF(OR(F$141-$A177&lt;0,F$141-$A177&gt;35),0,F135*INDEX($C$17:$C$52,F$141-$A177+1))</f>
        <v/>
      </c>
      <c r="G177" s="13">
        <f>IF(OR(G$141-$A177&lt;0,G$141-$A177&gt;35),0,G135*INDEX($C$17:$C$52,G$141-$A177+1))</f>
        <v/>
      </c>
      <c r="H177" s="13">
        <f>IF(OR(H$141-$A177&lt;0,H$141-$A177&gt;35),0,H135*INDEX($C$17:$C$52,H$141-$A177+1))</f>
        <v/>
      </c>
      <c r="I177" s="13">
        <f>IF(OR(I$141-$A177&lt;0,I$141-$A177&gt;35),0,I135*INDEX($C$17:$C$52,I$141-$A177+1))</f>
        <v/>
      </c>
      <c r="J177" s="13">
        <f>IF(OR(J$141-$A177&lt;0,J$141-$A177&gt;35),0,J135*INDEX($C$17:$C$52,J$141-$A177+1))</f>
        <v/>
      </c>
      <c r="K177" s="13">
        <f>IF(OR(K$141-$A177&lt;0,K$141-$A177&gt;35),0,K135*INDEX($C$17:$C$52,K$141-$A177+1))</f>
        <v/>
      </c>
      <c r="L177" s="13">
        <f>IF(OR(L$141-$A177&lt;0,L$141-$A177&gt;35),0,L135*INDEX($C$17:$C$52,L$141-$A177+1))</f>
        <v/>
      </c>
      <c r="M177" s="13">
        <f>IF(OR(M$141-$A177&lt;0,M$141-$A177&gt;35),0,M135*INDEX($C$17:$C$52,M$141-$A177+1))</f>
        <v/>
      </c>
      <c r="N177" s="13">
        <f>IF(OR(N$141-$A177&lt;0,N$141-$A177&gt;35),0,N135*INDEX($C$17:$C$52,N$141-$A177+1))</f>
        <v/>
      </c>
      <c r="O177" s="13">
        <f>IF(OR(O$141-$A177&lt;0,O$141-$A177&gt;35),0,O135*INDEX($C$17:$C$52,O$141-$A177+1))</f>
        <v/>
      </c>
      <c r="P177" s="13">
        <f>IF(OR(P$141-$A177&lt;0,P$141-$A177&gt;35),0,P135*INDEX($C$17:$C$52,P$141-$A177+1))</f>
        <v/>
      </c>
      <c r="Q177" s="13">
        <f>IF(OR(Q$141-$A177&lt;0,Q$141-$A177&gt;35),0,Q135*INDEX($C$17:$C$52,Q$141-$A177+1))</f>
        <v/>
      </c>
      <c r="R177" s="13">
        <f>IF(OR(R$141-$A177&lt;0,R$141-$A177&gt;35),0,R135*INDEX($C$17:$C$52,R$141-$A177+1))</f>
        <v/>
      </c>
    </row>
    <row r="178">
      <c r="A178" s="12">
        <f>A93</f>
        <v/>
      </c>
      <c r="B178" s="15">
        <f>B93</f>
        <v/>
      </c>
      <c r="D178" s="13">
        <f>IF(OR(D$141-$A178&lt;0,D$141-$A178&gt;35),0,D136*INDEX($C$17:$C$52,D$141-$A178+1))</f>
        <v/>
      </c>
      <c r="E178" s="13">
        <f>IF(OR(E$141-$A178&lt;0,E$141-$A178&gt;35),0,E136*INDEX($C$17:$C$52,E$141-$A178+1))</f>
        <v/>
      </c>
      <c r="F178" s="13">
        <f>IF(OR(F$141-$A178&lt;0,F$141-$A178&gt;35),0,F136*INDEX($C$17:$C$52,F$141-$A178+1))</f>
        <v/>
      </c>
      <c r="G178" s="13">
        <f>IF(OR(G$141-$A178&lt;0,G$141-$A178&gt;35),0,G136*INDEX($C$17:$C$52,G$141-$A178+1))</f>
        <v/>
      </c>
      <c r="H178" s="13">
        <f>IF(OR(H$141-$A178&lt;0,H$141-$A178&gt;35),0,H136*INDEX($C$17:$C$52,H$141-$A178+1))</f>
        <v/>
      </c>
      <c r="I178" s="13">
        <f>IF(OR(I$141-$A178&lt;0,I$141-$A178&gt;35),0,I136*INDEX($C$17:$C$52,I$141-$A178+1))</f>
        <v/>
      </c>
      <c r="J178" s="13">
        <f>IF(OR(J$141-$A178&lt;0,J$141-$A178&gt;35),0,J136*INDEX($C$17:$C$52,J$141-$A178+1))</f>
        <v/>
      </c>
      <c r="K178" s="13">
        <f>IF(OR(K$141-$A178&lt;0,K$141-$A178&gt;35),0,K136*INDEX($C$17:$C$52,K$141-$A178+1))</f>
        <v/>
      </c>
      <c r="L178" s="13">
        <f>IF(OR(L$141-$A178&lt;0,L$141-$A178&gt;35),0,L136*INDEX($C$17:$C$52,L$141-$A178+1))</f>
        <v/>
      </c>
      <c r="M178" s="13">
        <f>IF(OR(M$141-$A178&lt;0,M$141-$A178&gt;35),0,M136*INDEX($C$17:$C$52,M$141-$A178+1))</f>
        <v/>
      </c>
      <c r="N178" s="13">
        <f>IF(OR(N$141-$A178&lt;0,N$141-$A178&gt;35),0,N136*INDEX($C$17:$C$52,N$141-$A178+1))</f>
        <v/>
      </c>
      <c r="O178" s="13">
        <f>IF(OR(O$141-$A178&lt;0,O$141-$A178&gt;35),0,O136*INDEX($C$17:$C$52,O$141-$A178+1))</f>
        <v/>
      </c>
      <c r="P178" s="13">
        <f>IF(OR(P$141-$A178&lt;0,P$141-$A178&gt;35),0,P136*INDEX($C$17:$C$52,P$141-$A178+1))</f>
        <v/>
      </c>
      <c r="Q178" s="13">
        <f>IF(OR(Q$141-$A178&lt;0,Q$141-$A178&gt;35),0,Q136*INDEX($C$17:$C$52,Q$141-$A178+1))</f>
        <v/>
      </c>
      <c r="R178" s="13">
        <f>IF(OR(R$141-$A178&lt;0,R$141-$A178&gt;35),0,R136*INDEX($C$17:$C$52,R$141-$A178+1))</f>
        <v/>
      </c>
    </row>
    <row r="179">
      <c r="A179" s="12">
        <f>A94</f>
        <v/>
      </c>
      <c r="B179" s="15">
        <f>B94</f>
        <v/>
      </c>
      <c r="D179" s="13">
        <f>IF(OR(D$141-$A179&lt;0,D$141-$A179&gt;35),0,D137*INDEX($C$17:$C$52,D$141-$A179+1))</f>
        <v/>
      </c>
      <c r="E179" s="13">
        <f>IF(OR(E$141-$A179&lt;0,E$141-$A179&gt;35),0,E137*INDEX($C$17:$C$52,E$141-$A179+1))</f>
        <v/>
      </c>
      <c r="F179" s="13">
        <f>IF(OR(F$141-$A179&lt;0,F$141-$A179&gt;35),0,F137*INDEX($C$17:$C$52,F$141-$A179+1))</f>
        <v/>
      </c>
      <c r="G179" s="13">
        <f>IF(OR(G$141-$A179&lt;0,G$141-$A179&gt;35),0,G137*INDEX($C$17:$C$52,G$141-$A179+1))</f>
        <v/>
      </c>
      <c r="H179" s="13">
        <f>IF(OR(H$141-$A179&lt;0,H$141-$A179&gt;35),0,H137*INDEX($C$17:$C$52,H$141-$A179+1))</f>
        <v/>
      </c>
      <c r="I179" s="13">
        <f>IF(OR(I$141-$A179&lt;0,I$141-$A179&gt;35),0,I137*INDEX($C$17:$C$52,I$141-$A179+1))</f>
        <v/>
      </c>
      <c r="J179" s="13">
        <f>IF(OR(J$141-$A179&lt;0,J$141-$A179&gt;35),0,J137*INDEX($C$17:$C$52,J$141-$A179+1))</f>
        <v/>
      </c>
      <c r="K179" s="13">
        <f>IF(OR(K$141-$A179&lt;0,K$141-$A179&gt;35),0,K137*INDEX($C$17:$C$52,K$141-$A179+1))</f>
        <v/>
      </c>
      <c r="L179" s="13">
        <f>IF(OR(L$141-$A179&lt;0,L$141-$A179&gt;35),0,L137*INDEX($C$17:$C$52,L$141-$A179+1))</f>
        <v/>
      </c>
      <c r="M179" s="13">
        <f>IF(OR(M$141-$A179&lt;0,M$141-$A179&gt;35),0,M137*INDEX($C$17:$C$52,M$141-$A179+1))</f>
        <v/>
      </c>
      <c r="N179" s="13">
        <f>IF(OR(N$141-$A179&lt;0,N$141-$A179&gt;35),0,N137*INDEX($C$17:$C$52,N$141-$A179+1))</f>
        <v/>
      </c>
      <c r="O179" s="13">
        <f>IF(OR(O$141-$A179&lt;0,O$141-$A179&gt;35),0,O137*INDEX($C$17:$C$52,O$141-$A179+1))</f>
        <v/>
      </c>
      <c r="P179" s="13">
        <f>IF(OR(P$141-$A179&lt;0,P$141-$A179&gt;35),0,P137*INDEX($C$17:$C$52,P$141-$A179+1))</f>
        <v/>
      </c>
      <c r="Q179" s="13">
        <f>IF(OR(Q$141-$A179&lt;0,Q$141-$A179&gt;35),0,Q137*INDEX($C$17:$C$52,Q$141-$A179+1))</f>
        <v/>
      </c>
      <c r="R179" s="13">
        <f>IF(OR(R$141-$A179&lt;0,R$141-$A179&gt;35),0,R137*INDEX($C$17:$C$52,R$141-$A179+1))</f>
        <v/>
      </c>
    </row>
    <row r="182">
      <c r="A182" s="3" t="inlineStr">
        <is>
          <t>MATRIX 3 — Total-loss weight = claim weight × P_calibrated(age) / 100</t>
        </is>
      </c>
    </row>
    <row r="183">
      <c r="A183" s="11" t="inlineStr">
        <is>
          <t>Model year</t>
        </is>
      </c>
      <c r="B183" s="11" t="inlineStr">
        <is>
          <t>Sales (M)</t>
        </is>
      </c>
      <c r="D183" s="17" t="n">
        <v>2018</v>
      </c>
      <c r="E183" s="17" t="n">
        <v>2019</v>
      </c>
      <c r="F183" s="17" t="n">
        <v>2020</v>
      </c>
      <c r="G183" s="17" t="n">
        <v>2021</v>
      </c>
      <c r="H183" s="17" t="n">
        <v>2022</v>
      </c>
      <c r="I183" s="17" t="n">
        <v>2023</v>
      </c>
      <c r="J183" s="17" t="n">
        <v>2024</v>
      </c>
      <c r="K183" s="17" t="n">
        <v>2025</v>
      </c>
      <c r="L183" s="17" t="n">
        <v>2026</v>
      </c>
      <c r="M183" s="17" t="n">
        <v>2027</v>
      </c>
      <c r="N183" s="17" t="n">
        <v>2028</v>
      </c>
      <c r="O183" s="17" t="n">
        <v>2029</v>
      </c>
      <c r="P183" s="17" t="n">
        <v>2030</v>
      </c>
      <c r="Q183" s="17" t="n">
        <v>2031</v>
      </c>
      <c r="R183" s="17" t="n">
        <v>2032</v>
      </c>
    </row>
    <row r="184">
      <c r="A184" s="12">
        <f>A57</f>
        <v/>
      </c>
      <c r="B184" s="15">
        <f>B57</f>
        <v/>
      </c>
      <c r="D184" s="13">
        <f>IF(OR(D$183-$A184&lt;0,D$183-$A184&gt;35),0,D142*INDEX($E$17:$E$52,D$183-$A184+1)/100)</f>
        <v/>
      </c>
      <c r="E184" s="13">
        <f>IF(OR(E$183-$A184&lt;0,E$183-$A184&gt;35),0,E142*INDEX($E$17:$E$52,E$183-$A184+1)/100)</f>
        <v/>
      </c>
      <c r="F184" s="13">
        <f>IF(OR(F$183-$A184&lt;0,F$183-$A184&gt;35),0,F142*INDEX($E$17:$E$52,F$183-$A184+1)/100)</f>
        <v/>
      </c>
      <c r="G184" s="13">
        <f>IF(OR(G$183-$A184&lt;0,G$183-$A184&gt;35),0,G142*INDEX($E$17:$E$52,G$183-$A184+1)/100)</f>
        <v/>
      </c>
      <c r="H184" s="13">
        <f>IF(OR(H$183-$A184&lt;0,H$183-$A184&gt;35),0,H142*INDEX($E$17:$E$52,H$183-$A184+1)/100)</f>
        <v/>
      </c>
      <c r="I184" s="13">
        <f>IF(OR(I$183-$A184&lt;0,I$183-$A184&gt;35),0,I142*INDEX($E$17:$E$52,I$183-$A184+1)/100)</f>
        <v/>
      </c>
      <c r="J184" s="13">
        <f>IF(OR(J$183-$A184&lt;0,J$183-$A184&gt;35),0,J142*INDEX($E$17:$E$52,J$183-$A184+1)/100)</f>
        <v/>
      </c>
      <c r="K184" s="13">
        <f>IF(OR(K$183-$A184&lt;0,K$183-$A184&gt;35),0,K142*INDEX($E$17:$E$52,K$183-$A184+1)/100)</f>
        <v/>
      </c>
      <c r="L184" s="13">
        <f>IF(OR(L$183-$A184&lt;0,L$183-$A184&gt;35),0,L142*INDEX($E$17:$E$52,L$183-$A184+1)/100)</f>
        <v/>
      </c>
      <c r="M184" s="13">
        <f>IF(OR(M$183-$A184&lt;0,M$183-$A184&gt;35),0,M142*INDEX($E$17:$E$52,M$183-$A184+1)/100)</f>
        <v/>
      </c>
      <c r="N184" s="13">
        <f>IF(OR(N$183-$A184&lt;0,N$183-$A184&gt;35),0,N142*INDEX($E$17:$E$52,N$183-$A184+1)/100)</f>
        <v/>
      </c>
      <c r="O184" s="13">
        <f>IF(OR(O$183-$A184&lt;0,O$183-$A184&gt;35),0,O142*INDEX($E$17:$E$52,O$183-$A184+1)/100)</f>
        <v/>
      </c>
      <c r="P184" s="13">
        <f>IF(OR(P$183-$A184&lt;0,P$183-$A184&gt;35),0,P142*INDEX($E$17:$E$52,P$183-$A184+1)/100)</f>
        <v/>
      </c>
      <c r="Q184" s="13">
        <f>IF(OR(Q$183-$A184&lt;0,Q$183-$A184&gt;35),0,Q142*INDEX($E$17:$E$52,Q$183-$A184+1)/100)</f>
        <v/>
      </c>
      <c r="R184" s="13">
        <f>IF(OR(R$183-$A184&lt;0,R$183-$A184&gt;35),0,R142*INDEX($E$17:$E$52,R$183-$A184+1)/100)</f>
        <v/>
      </c>
    </row>
    <row r="185">
      <c r="A185" s="12">
        <f>A58</f>
        <v/>
      </c>
      <c r="B185" s="15">
        <f>B58</f>
        <v/>
      </c>
      <c r="D185" s="13">
        <f>IF(OR(D$183-$A185&lt;0,D$183-$A185&gt;35),0,D143*INDEX($E$17:$E$52,D$183-$A185+1)/100)</f>
        <v/>
      </c>
      <c r="E185" s="13">
        <f>IF(OR(E$183-$A185&lt;0,E$183-$A185&gt;35),0,E143*INDEX($E$17:$E$52,E$183-$A185+1)/100)</f>
        <v/>
      </c>
      <c r="F185" s="13">
        <f>IF(OR(F$183-$A185&lt;0,F$183-$A185&gt;35),0,F143*INDEX($E$17:$E$52,F$183-$A185+1)/100)</f>
        <v/>
      </c>
      <c r="G185" s="13">
        <f>IF(OR(G$183-$A185&lt;0,G$183-$A185&gt;35),0,G143*INDEX($E$17:$E$52,G$183-$A185+1)/100)</f>
        <v/>
      </c>
      <c r="H185" s="13">
        <f>IF(OR(H$183-$A185&lt;0,H$183-$A185&gt;35),0,H143*INDEX($E$17:$E$52,H$183-$A185+1)/100)</f>
        <v/>
      </c>
      <c r="I185" s="13">
        <f>IF(OR(I$183-$A185&lt;0,I$183-$A185&gt;35),0,I143*INDEX($E$17:$E$52,I$183-$A185+1)/100)</f>
        <v/>
      </c>
      <c r="J185" s="13">
        <f>IF(OR(J$183-$A185&lt;0,J$183-$A185&gt;35),0,J143*INDEX($E$17:$E$52,J$183-$A185+1)/100)</f>
        <v/>
      </c>
      <c r="K185" s="13">
        <f>IF(OR(K$183-$A185&lt;0,K$183-$A185&gt;35),0,K143*INDEX($E$17:$E$52,K$183-$A185+1)/100)</f>
        <v/>
      </c>
      <c r="L185" s="13">
        <f>IF(OR(L$183-$A185&lt;0,L$183-$A185&gt;35),0,L143*INDEX($E$17:$E$52,L$183-$A185+1)/100)</f>
        <v/>
      </c>
      <c r="M185" s="13">
        <f>IF(OR(M$183-$A185&lt;0,M$183-$A185&gt;35),0,M143*INDEX($E$17:$E$52,M$183-$A185+1)/100)</f>
        <v/>
      </c>
      <c r="N185" s="13">
        <f>IF(OR(N$183-$A185&lt;0,N$183-$A185&gt;35),0,N143*INDEX($E$17:$E$52,N$183-$A185+1)/100)</f>
        <v/>
      </c>
      <c r="O185" s="13">
        <f>IF(OR(O$183-$A185&lt;0,O$183-$A185&gt;35),0,O143*INDEX($E$17:$E$52,O$183-$A185+1)/100)</f>
        <v/>
      </c>
      <c r="P185" s="13">
        <f>IF(OR(P$183-$A185&lt;0,P$183-$A185&gt;35),0,P143*INDEX($E$17:$E$52,P$183-$A185+1)/100)</f>
        <v/>
      </c>
      <c r="Q185" s="13">
        <f>IF(OR(Q$183-$A185&lt;0,Q$183-$A185&gt;35),0,Q143*INDEX($E$17:$E$52,Q$183-$A185+1)/100)</f>
        <v/>
      </c>
      <c r="R185" s="13">
        <f>IF(OR(R$183-$A185&lt;0,R$183-$A185&gt;35),0,R143*INDEX($E$17:$E$52,R$183-$A185+1)/100)</f>
        <v/>
      </c>
    </row>
    <row r="186">
      <c r="A186" s="12">
        <f>A59</f>
        <v/>
      </c>
      <c r="B186" s="15">
        <f>B59</f>
        <v/>
      </c>
      <c r="D186" s="13">
        <f>IF(OR(D$183-$A186&lt;0,D$183-$A186&gt;35),0,D144*INDEX($E$17:$E$52,D$183-$A186+1)/100)</f>
        <v/>
      </c>
      <c r="E186" s="13">
        <f>IF(OR(E$183-$A186&lt;0,E$183-$A186&gt;35),0,E144*INDEX($E$17:$E$52,E$183-$A186+1)/100)</f>
        <v/>
      </c>
      <c r="F186" s="13">
        <f>IF(OR(F$183-$A186&lt;0,F$183-$A186&gt;35),0,F144*INDEX($E$17:$E$52,F$183-$A186+1)/100)</f>
        <v/>
      </c>
      <c r="G186" s="13">
        <f>IF(OR(G$183-$A186&lt;0,G$183-$A186&gt;35),0,G144*INDEX($E$17:$E$52,G$183-$A186+1)/100)</f>
        <v/>
      </c>
      <c r="H186" s="13">
        <f>IF(OR(H$183-$A186&lt;0,H$183-$A186&gt;35),0,H144*INDEX($E$17:$E$52,H$183-$A186+1)/100)</f>
        <v/>
      </c>
      <c r="I186" s="13">
        <f>IF(OR(I$183-$A186&lt;0,I$183-$A186&gt;35),0,I144*INDEX($E$17:$E$52,I$183-$A186+1)/100)</f>
        <v/>
      </c>
      <c r="J186" s="13">
        <f>IF(OR(J$183-$A186&lt;0,J$183-$A186&gt;35),0,J144*INDEX($E$17:$E$52,J$183-$A186+1)/100)</f>
        <v/>
      </c>
      <c r="K186" s="13">
        <f>IF(OR(K$183-$A186&lt;0,K$183-$A186&gt;35),0,K144*INDEX($E$17:$E$52,K$183-$A186+1)/100)</f>
        <v/>
      </c>
      <c r="L186" s="13">
        <f>IF(OR(L$183-$A186&lt;0,L$183-$A186&gt;35),0,L144*INDEX($E$17:$E$52,L$183-$A186+1)/100)</f>
        <v/>
      </c>
      <c r="M186" s="13">
        <f>IF(OR(M$183-$A186&lt;0,M$183-$A186&gt;35),0,M144*INDEX($E$17:$E$52,M$183-$A186+1)/100)</f>
        <v/>
      </c>
      <c r="N186" s="13">
        <f>IF(OR(N$183-$A186&lt;0,N$183-$A186&gt;35),0,N144*INDEX($E$17:$E$52,N$183-$A186+1)/100)</f>
        <v/>
      </c>
      <c r="O186" s="13">
        <f>IF(OR(O$183-$A186&lt;0,O$183-$A186&gt;35),0,O144*INDEX($E$17:$E$52,O$183-$A186+1)/100)</f>
        <v/>
      </c>
      <c r="P186" s="13">
        <f>IF(OR(P$183-$A186&lt;0,P$183-$A186&gt;35),0,P144*INDEX($E$17:$E$52,P$183-$A186+1)/100)</f>
        <v/>
      </c>
      <c r="Q186" s="13">
        <f>IF(OR(Q$183-$A186&lt;0,Q$183-$A186&gt;35),0,Q144*INDEX($E$17:$E$52,Q$183-$A186+1)/100)</f>
        <v/>
      </c>
      <c r="R186" s="13">
        <f>IF(OR(R$183-$A186&lt;0,R$183-$A186&gt;35),0,R144*INDEX($E$17:$E$52,R$183-$A186+1)/100)</f>
        <v/>
      </c>
    </row>
    <row r="187">
      <c r="A187" s="12">
        <f>A60</f>
        <v/>
      </c>
      <c r="B187" s="15">
        <f>B60</f>
        <v/>
      </c>
      <c r="D187" s="13">
        <f>IF(OR(D$183-$A187&lt;0,D$183-$A187&gt;35),0,D145*INDEX($E$17:$E$52,D$183-$A187+1)/100)</f>
        <v/>
      </c>
      <c r="E187" s="13">
        <f>IF(OR(E$183-$A187&lt;0,E$183-$A187&gt;35),0,E145*INDEX($E$17:$E$52,E$183-$A187+1)/100)</f>
        <v/>
      </c>
      <c r="F187" s="13">
        <f>IF(OR(F$183-$A187&lt;0,F$183-$A187&gt;35),0,F145*INDEX($E$17:$E$52,F$183-$A187+1)/100)</f>
        <v/>
      </c>
      <c r="G187" s="13">
        <f>IF(OR(G$183-$A187&lt;0,G$183-$A187&gt;35),0,G145*INDEX($E$17:$E$52,G$183-$A187+1)/100)</f>
        <v/>
      </c>
      <c r="H187" s="13">
        <f>IF(OR(H$183-$A187&lt;0,H$183-$A187&gt;35),0,H145*INDEX($E$17:$E$52,H$183-$A187+1)/100)</f>
        <v/>
      </c>
      <c r="I187" s="13">
        <f>IF(OR(I$183-$A187&lt;0,I$183-$A187&gt;35),0,I145*INDEX($E$17:$E$52,I$183-$A187+1)/100)</f>
        <v/>
      </c>
      <c r="J187" s="13">
        <f>IF(OR(J$183-$A187&lt;0,J$183-$A187&gt;35),0,J145*INDEX($E$17:$E$52,J$183-$A187+1)/100)</f>
        <v/>
      </c>
      <c r="K187" s="13">
        <f>IF(OR(K$183-$A187&lt;0,K$183-$A187&gt;35),0,K145*INDEX($E$17:$E$52,K$183-$A187+1)/100)</f>
        <v/>
      </c>
      <c r="L187" s="13">
        <f>IF(OR(L$183-$A187&lt;0,L$183-$A187&gt;35),0,L145*INDEX($E$17:$E$52,L$183-$A187+1)/100)</f>
        <v/>
      </c>
      <c r="M187" s="13">
        <f>IF(OR(M$183-$A187&lt;0,M$183-$A187&gt;35),0,M145*INDEX($E$17:$E$52,M$183-$A187+1)/100)</f>
        <v/>
      </c>
      <c r="N187" s="13">
        <f>IF(OR(N$183-$A187&lt;0,N$183-$A187&gt;35),0,N145*INDEX($E$17:$E$52,N$183-$A187+1)/100)</f>
        <v/>
      </c>
      <c r="O187" s="13">
        <f>IF(OR(O$183-$A187&lt;0,O$183-$A187&gt;35),0,O145*INDEX($E$17:$E$52,O$183-$A187+1)/100)</f>
        <v/>
      </c>
      <c r="P187" s="13">
        <f>IF(OR(P$183-$A187&lt;0,P$183-$A187&gt;35),0,P145*INDEX($E$17:$E$52,P$183-$A187+1)/100)</f>
        <v/>
      </c>
      <c r="Q187" s="13">
        <f>IF(OR(Q$183-$A187&lt;0,Q$183-$A187&gt;35),0,Q145*INDEX($E$17:$E$52,Q$183-$A187+1)/100)</f>
        <v/>
      </c>
      <c r="R187" s="13">
        <f>IF(OR(R$183-$A187&lt;0,R$183-$A187&gt;35),0,R145*INDEX($E$17:$E$52,R$183-$A187+1)/100)</f>
        <v/>
      </c>
    </row>
    <row r="188">
      <c r="A188" s="12">
        <f>A61</f>
        <v/>
      </c>
      <c r="B188" s="15">
        <f>B61</f>
        <v/>
      </c>
      <c r="D188" s="13">
        <f>IF(OR(D$183-$A188&lt;0,D$183-$A188&gt;35),0,D146*INDEX($E$17:$E$52,D$183-$A188+1)/100)</f>
        <v/>
      </c>
      <c r="E188" s="13">
        <f>IF(OR(E$183-$A188&lt;0,E$183-$A188&gt;35),0,E146*INDEX($E$17:$E$52,E$183-$A188+1)/100)</f>
        <v/>
      </c>
      <c r="F188" s="13">
        <f>IF(OR(F$183-$A188&lt;0,F$183-$A188&gt;35),0,F146*INDEX($E$17:$E$52,F$183-$A188+1)/100)</f>
        <v/>
      </c>
      <c r="G188" s="13">
        <f>IF(OR(G$183-$A188&lt;0,G$183-$A188&gt;35),0,G146*INDEX($E$17:$E$52,G$183-$A188+1)/100)</f>
        <v/>
      </c>
      <c r="H188" s="13">
        <f>IF(OR(H$183-$A188&lt;0,H$183-$A188&gt;35),0,H146*INDEX($E$17:$E$52,H$183-$A188+1)/100)</f>
        <v/>
      </c>
      <c r="I188" s="13">
        <f>IF(OR(I$183-$A188&lt;0,I$183-$A188&gt;35),0,I146*INDEX($E$17:$E$52,I$183-$A188+1)/100)</f>
        <v/>
      </c>
      <c r="J188" s="13">
        <f>IF(OR(J$183-$A188&lt;0,J$183-$A188&gt;35),0,J146*INDEX($E$17:$E$52,J$183-$A188+1)/100)</f>
        <v/>
      </c>
      <c r="K188" s="13">
        <f>IF(OR(K$183-$A188&lt;0,K$183-$A188&gt;35),0,K146*INDEX($E$17:$E$52,K$183-$A188+1)/100)</f>
        <v/>
      </c>
      <c r="L188" s="13">
        <f>IF(OR(L$183-$A188&lt;0,L$183-$A188&gt;35),0,L146*INDEX($E$17:$E$52,L$183-$A188+1)/100)</f>
        <v/>
      </c>
      <c r="M188" s="13">
        <f>IF(OR(M$183-$A188&lt;0,M$183-$A188&gt;35),0,M146*INDEX($E$17:$E$52,M$183-$A188+1)/100)</f>
        <v/>
      </c>
      <c r="N188" s="13">
        <f>IF(OR(N$183-$A188&lt;0,N$183-$A188&gt;35),0,N146*INDEX($E$17:$E$52,N$183-$A188+1)/100)</f>
        <v/>
      </c>
      <c r="O188" s="13">
        <f>IF(OR(O$183-$A188&lt;0,O$183-$A188&gt;35),0,O146*INDEX($E$17:$E$52,O$183-$A188+1)/100)</f>
        <v/>
      </c>
      <c r="P188" s="13">
        <f>IF(OR(P$183-$A188&lt;0,P$183-$A188&gt;35),0,P146*INDEX($E$17:$E$52,P$183-$A188+1)/100)</f>
        <v/>
      </c>
      <c r="Q188" s="13">
        <f>IF(OR(Q$183-$A188&lt;0,Q$183-$A188&gt;35),0,Q146*INDEX($E$17:$E$52,Q$183-$A188+1)/100)</f>
        <v/>
      </c>
      <c r="R188" s="13">
        <f>IF(OR(R$183-$A188&lt;0,R$183-$A188&gt;35),0,R146*INDEX($E$17:$E$52,R$183-$A188+1)/100)</f>
        <v/>
      </c>
    </row>
    <row r="189">
      <c r="A189" s="12">
        <f>A62</f>
        <v/>
      </c>
      <c r="B189" s="15">
        <f>B62</f>
        <v/>
      </c>
      <c r="D189" s="13">
        <f>IF(OR(D$183-$A189&lt;0,D$183-$A189&gt;35),0,D147*INDEX($E$17:$E$52,D$183-$A189+1)/100)</f>
        <v/>
      </c>
      <c r="E189" s="13">
        <f>IF(OR(E$183-$A189&lt;0,E$183-$A189&gt;35),0,E147*INDEX($E$17:$E$52,E$183-$A189+1)/100)</f>
        <v/>
      </c>
      <c r="F189" s="13">
        <f>IF(OR(F$183-$A189&lt;0,F$183-$A189&gt;35),0,F147*INDEX($E$17:$E$52,F$183-$A189+1)/100)</f>
        <v/>
      </c>
      <c r="G189" s="13">
        <f>IF(OR(G$183-$A189&lt;0,G$183-$A189&gt;35),0,G147*INDEX($E$17:$E$52,G$183-$A189+1)/100)</f>
        <v/>
      </c>
      <c r="H189" s="13">
        <f>IF(OR(H$183-$A189&lt;0,H$183-$A189&gt;35),0,H147*INDEX($E$17:$E$52,H$183-$A189+1)/100)</f>
        <v/>
      </c>
      <c r="I189" s="13">
        <f>IF(OR(I$183-$A189&lt;0,I$183-$A189&gt;35),0,I147*INDEX($E$17:$E$52,I$183-$A189+1)/100)</f>
        <v/>
      </c>
      <c r="J189" s="13">
        <f>IF(OR(J$183-$A189&lt;0,J$183-$A189&gt;35),0,J147*INDEX($E$17:$E$52,J$183-$A189+1)/100)</f>
        <v/>
      </c>
      <c r="K189" s="13">
        <f>IF(OR(K$183-$A189&lt;0,K$183-$A189&gt;35),0,K147*INDEX($E$17:$E$52,K$183-$A189+1)/100)</f>
        <v/>
      </c>
      <c r="L189" s="13">
        <f>IF(OR(L$183-$A189&lt;0,L$183-$A189&gt;35),0,L147*INDEX($E$17:$E$52,L$183-$A189+1)/100)</f>
        <v/>
      </c>
      <c r="M189" s="13">
        <f>IF(OR(M$183-$A189&lt;0,M$183-$A189&gt;35),0,M147*INDEX($E$17:$E$52,M$183-$A189+1)/100)</f>
        <v/>
      </c>
      <c r="N189" s="13">
        <f>IF(OR(N$183-$A189&lt;0,N$183-$A189&gt;35),0,N147*INDEX($E$17:$E$52,N$183-$A189+1)/100)</f>
        <v/>
      </c>
      <c r="O189" s="13">
        <f>IF(OR(O$183-$A189&lt;0,O$183-$A189&gt;35),0,O147*INDEX($E$17:$E$52,O$183-$A189+1)/100)</f>
        <v/>
      </c>
      <c r="P189" s="13">
        <f>IF(OR(P$183-$A189&lt;0,P$183-$A189&gt;35),0,P147*INDEX($E$17:$E$52,P$183-$A189+1)/100)</f>
        <v/>
      </c>
      <c r="Q189" s="13">
        <f>IF(OR(Q$183-$A189&lt;0,Q$183-$A189&gt;35),0,Q147*INDEX($E$17:$E$52,Q$183-$A189+1)/100)</f>
        <v/>
      </c>
      <c r="R189" s="13">
        <f>IF(OR(R$183-$A189&lt;0,R$183-$A189&gt;35),0,R147*INDEX($E$17:$E$52,R$183-$A189+1)/100)</f>
        <v/>
      </c>
    </row>
    <row r="190">
      <c r="A190" s="12">
        <f>A63</f>
        <v/>
      </c>
      <c r="B190" s="15">
        <f>B63</f>
        <v/>
      </c>
      <c r="D190" s="13">
        <f>IF(OR(D$183-$A190&lt;0,D$183-$A190&gt;35),0,D148*INDEX($E$17:$E$52,D$183-$A190+1)/100)</f>
        <v/>
      </c>
      <c r="E190" s="13">
        <f>IF(OR(E$183-$A190&lt;0,E$183-$A190&gt;35),0,E148*INDEX($E$17:$E$52,E$183-$A190+1)/100)</f>
        <v/>
      </c>
      <c r="F190" s="13">
        <f>IF(OR(F$183-$A190&lt;0,F$183-$A190&gt;35),0,F148*INDEX($E$17:$E$52,F$183-$A190+1)/100)</f>
        <v/>
      </c>
      <c r="G190" s="13">
        <f>IF(OR(G$183-$A190&lt;0,G$183-$A190&gt;35),0,G148*INDEX($E$17:$E$52,G$183-$A190+1)/100)</f>
        <v/>
      </c>
      <c r="H190" s="13">
        <f>IF(OR(H$183-$A190&lt;0,H$183-$A190&gt;35),0,H148*INDEX($E$17:$E$52,H$183-$A190+1)/100)</f>
        <v/>
      </c>
      <c r="I190" s="13">
        <f>IF(OR(I$183-$A190&lt;0,I$183-$A190&gt;35),0,I148*INDEX($E$17:$E$52,I$183-$A190+1)/100)</f>
        <v/>
      </c>
      <c r="J190" s="13">
        <f>IF(OR(J$183-$A190&lt;0,J$183-$A190&gt;35),0,J148*INDEX($E$17:$E$52,J$183-$A190+1)/100)</f>
        <v/>
      </c>
      <c r="K190" s="13">
        <f>IF(OR(K$183-$A190&lt;0,K$183-$A190&gt;35),0,K148*INDEX($E$17:$E$52,K$183-$A190+1)/100)</f>
        <v/>
      </c>
      <c r="L190" s="13">
        <f>IF(OR(L$183-$A190&lt;0,L$183-$A190&gt;35),0,L148*INDEX($E$17:$E$52,L$183-$A190+1)/100)</f>
        <v/>
      </c>
      <c r="M190" s="13">
        <f>IF(OR(M$183-$A190&lt;0,M$183-$A190&gt;35),0,M148*INDEX($E$17:$E$52,M$183-$A190+1)/100)</f>
        <v/>
      </c>
      <c r="N190" s="13">
        <f>IF(OR(N$183-$A190&lt;0,N$183-$A190&gt;35),0,N148*INDEX($E$17:$E$52,N$183-$A190+1)/100)</f>
        <v/>
      </c>
      <c r="O190" s="13">
        <f>IF(OR(O$183-$A190&lt;0,O$183-$A190&gt;35),0,O148*INDEX($E$17:$E$52,O$183-$A190+1)/100)</f>
        <v/>
      </c>
      <c r="P190" s="13">
        <f>IF(OR(P$183-$A190&lt;0,P$183-$A190&gt;35),0,P148*INDEX($E$17:$E$52,P$183-$A190+1)/100)</f>
        <v/>
      </c>
      <c r="Q190" s="13">
        <f>IF(OR(Q$183-$A190&lt;0,Q$183-$A190&gt;35),0,Q148*INDEX($E$17:$E$52,Q$183-$A190+1)/100)</f>
        <v/>
      </c>
      <c r="R190" s="13">
        <f>IF(OR(R$183-$A190&lt;0,R$183-$A190&gt;35),0,R148*INDEX($E$17:$E$52,R$183-$A190+1)/100)</f>
        <v/>
      </c>
    </row>
    <row r="191">
      <c r="A191" s="12">
        <f>A64</f>
        <v/>
      </c>
      <c r="B191" s="15">
        <f>B64</f>
        <v/>
      </c>
      <c r="D191" s="13">
        <f>IF(OR(D$183-$A191&lt;0,D$183-$A191&gt;35),0,D149*INDEX($E$17:$E$52,D$183-$A191+1)/100)</f>
        <v/>
      </c>
      <c r="E191" s="13">
        <f>IF(OR(E$183-$A191&lt;0,E$183-$A191&gt;35),0,E149*INDEX($E$17:$E$52,E$183-$A191+1)/100)</f>
        <v/>
      </c>
      <c r="F191" s="13">
        <f>IF(OR(F$183-$A191&lt;0,F$183-$A191&gt;35),0,F149*INDEX($E$17:$E$52,F$183-$A191+1)/100)</f>
        <v/>
      </c>
      <c r="G191" s="13">
        <f>IF(OR(G$183-$A191&lt;0,G$183-$A191&gt;35),0,G149*INDEX($E$17:$E$52,G$183-$A191+1)/100)</f>
        <v/>
      </c>
      <c r="H191" s="13">
        <f>IF(OR(H$183-$A191&lt;0,H$183-$A191&gt;35),0,H149*INDEX($E$17:$E$52,H$183-$A191+1)/100)</f>
        <v/>
      </c>
      <c r="I191" s="13">
        <f>IF(OR(I$183-$A191&lt;0,I$183-$A191&gt;35),0,I149*INDEX($E$17:$E$52,I$183-$A191+1)/100)</f>
        <v/>
      </c>
      <c r="J191" s="13">
        <f>IF(OR(J$183-$A191&lt;0,J$183-$A191&gt;35),0,J149*INDEX($E$17:$E$52,J$183-$A191+1)/100)</f>
        <v/>
      </c>
      <c r="K191" s="13">
        <f>IF(OR(K$183-$A191&lt;0,K$183-$A191&gt;35),0,K149*INDEX($E$17:$E$52,K$183-$A191+1)/100)</f>
        <v/>
      </c>
      <c r="L191" s="13">
        <f>IF(OR(L$183-$A191&lt;0,L$183-$A191&gt;35),0,L149*INDEX($E$17:$E$52,L$183-$A191+1)/100)</f>
        <v/>
      </c>
      <c r="M191" s="13">
        <f>IF(OR(M$183-$A191&lt;0,M$183-$A191&gt;35),0,M149*INDEX($E$17:$E$52,M$183-$A191+1)/100)</f>
        <v/>
      </c>
      <c r="N191" s="13">
        <f>IF(OR(N$183-$A191&lt;0,N$183-$A191&gt;35),0,N149*INDEX($E$17:$E$52,N$183-$A191+1)/100)</f>
        <v/>
      </c>
      <c r="O191" s="13">
        <f>IF(OR(O$183-$A191&lt;0,O$183-$A191&gt;35),0,O149*INDEX($E$17:$E$52,O$183-$A191+1)/100)</f>
        <v/>
      </c>
      <c r="P191" s="13">
        <f>IF(OR(P$183-$A191&lt;0,P$183-$A191&gt;35),0,P149*INDEX($E$17:$E$52,P$183-$A191+1)/100)</f>
        <v/>
      </c>
      <c r="Q191" s="13">
        <f>IF(OR(Q$183-$A191&lt;0,Q$183-$A191&gt;35),0,Q149*INDEX($E$17:$E$52,Q$183-$A191+1)/100)</f>
        <v/>
      </c>
      <c r="R191" s="13">
        <f>IF(OR(R$183-$A191&lt;0,R$183-$A191&gt;35),0,R149*INDEX($E$17:$E$52,R$183-$A191+1)/100)</f>
        <v/>
      </c>
    </row>
    <row r="192">
      <c r="A192" s="12">
        <f>A65</f>
        <v/>
      </c>
      <c r="B192" s="15">
        <f>B65</f>
        <v/>
      </c>
      <c r="D192" s="13">
        <f>IF(OR(D$183-$A192&lt;0,D$183-$A192&gt;35),0,D150*INDEX($E$17:$E$52,D$183-$A192+1)/100)</f>
        <v/>
      </c>
      <c r="E192" s="13">
        <f>IF(OR(E$183-$A192&lt;0,E$183-$A192&gt;35),0,E150*INDEX($E$17:$E$52,E$183-$A192+1)/100)</f>
        <v/>
      </c>
      <c r="F192" s="13">
        <f>IF(OR(F$183-$A192&lt;0,F$183-$A192&gt;35),0,F150*INDEX($E$17:$E$52,F$183-$A192+1)/100)</f>
        <v/>
      </c>
      <c r="G192" s="13">
        <f>IF(OR(G$183-$A192&lt;0,G$183-$A192&gt;35),0,G150*INDEX($E$17:$E$52,G$183-$A192+1)/100)</f>
        <v/>
      </c>
      <c r="H192" s="13">
        <f>IF(OR(H$183-$A192&lt;0,H$183-$A192&gt;35),0,H150*INDEX($E$17:$E$52,H$183-$A192+1)/100)</f>
        <v/>
      </c>
      <c r="I192" s="13">
        <f>IF(OR(I$183-$A192&lt;0,I$183-$A192&gt;35),0,I150*INDEX($E$17:$E$52,I$183-$A192+1)/100)</f>
        <v/>
      </c>
      <c r="J192" s="13">
        <f>IF(OR(J$183-$A192&lt;0,J$183-$A192&gt;35),0,J150*INDEX($E$17:$E$52,J$183-$A192+1)/100)</f>
        <v/>
      </c>
      <c r="K192" s="13">
        <f>IF(OR(K$183-$A192&lt;0,K$183-$A192&gt;35),0,K150*INDEX($E$17:$E$52,K$183-$A192+1)/100)</f>
        <v/>
      </c>
      <c r="L192" s="13">
        <f>IF(OR(L$183-$A192&lt;0,L$183-$A192&gt;35),0,L150*INDEX($E$17:$E$52,L$183-$A192+1)/100)</f>
        <v/>
      </c>
      <c r="M192" s="13">
        <f>IF(OR(M$183-$A192&lt;0,M$183-$A192&gt;35),0,M150*INDEX($E$17:$E$52,M$183-$A192+1)/100)</f>
        <v/>
      </c>
      <c r="N192" s="13">
        <f>IF(OR(N$183-$A192&lt;0,N$183-$A192&gt;35),0,N150*INDEX($E$17:$E$52,N$183-$A192+1)/100)</f>
        <v/>
      </c>
      <c r="O192" s="13">
        <f>IF(OR(O$183-$A192&lt;0,O$183-$A192&gt;35),0,O150*INDEX($E$17:$E$52,O$183-$A192+1)/100)</f>
        <v/>
      </c>
      <c r="P192" s="13">
        <f>IF(OR(P$183-$A192&lt;0,P$183-$A192&gt;35),0,P150*INDEX($E$17:$E$52,P$183-$A192+1)/100)</f>
        <v/>
      </c>
      <c r="Q192" s="13">
        <f>IF(OR(Q$183-$A192&lt;0,Q$183-$A192&gt;35),0,Q150*INDEX($E$17:$E$52,Q$183-$A192+1)/100)</f>
        <v/>
      </c>
      <c r="R192" s="13">
        <f>IF(OR(R$183-$A192&lt;0,R$183-$A192&gt;35),0,R150*INDEX($E$17:$E$52,R$183-$A192+1)/100)</f>
        <v/>
      </c>
    </row>
    <row r="193">
      <c r="A193" s="12">
        <f>A66</f>
        <v/>
      </c>
      <c r="B193" s="15">
        <f>B66</f>
        <v/>
      </c>
      <c r="D193" s="13">
        <f>IF(OR(D$183-$A193&lt;0,D$183-$A193&gt;35),0,D151*INDEX($E$17:$E$52,D$183-$A193+1)/100)</f>
        <v/>
      </c>
      <c r="E193" s="13">
        <f>IF(OR(E$183-$A193&lt;0,E$183-$A193&gt;35),0,E151*INDEX($E$17:$E$52,E$183-$A193+1)/100)</f>
        <v/>
      </c>
      <c r="F193" s="13">
        <f>IF(OR(F$183-$A193&lt;0,F$183-$A193&gt;35),0,F151*INDEX($E$17:$E$52,F$183-$A193+1)/100)</f>
        <v/>
      </c>
      <c r="G193" s="13">
        <f>IF(OR(G$183-$A193&lt;0,G$183-$A193&gt;35),0,G151*INDEX($E$17:$E$52,G$183-$A193+1)/100)</f>
        <v/>
      </c>
      <c r="H193" s="13">
        <f>IF(OR(H$183-$A193&lt;0,H$183-$A193&gt;35),0,H151*INDEX($E$17:$E$52,H$183-$A193+1)/100)</f>
        <v/>
      </c>
      <c r="I193" s="13">
        <f>IF(OR(I$183-$A193&lt;0,I$183-$A193&gt;35),0,I151*INDEX($E$17:$E$52,I$183-$A193+1)/100)</f>
        <v/>
      </c>
      <c r="J193" s="13">
        <f>IF(OR(J$183-$A193&lt;0,J$183-$A193&gt;35),0,J151*INDEX($E$17:$E$52,J$183-$A193+1)/100)</f>
        <v/>
      </c>
      <c r="K193" s="13">
        <f>IF(OR(K$183-$A193&lt;0,K$183-$A193&gt;35),0,K151*INDEX($E$17:$E$52,K$183-$A193+1)/100)</f>
        <v/>
      </c>
      <c r="L193" s="13">
        <f>IF(OR(L$183-$A193&lt;0,L$183-$A193&gt;35),0,L151*INDEX($E$17:$E$52,L$183-$A193+1)/100)</f>
        <v/>
      </c>
      <c r="M193" s="13">
        <f>IF(OR(M$183-$A193&lt;0,M$183-$A193&gt;35),0,M151*INDEX($E$17:$E$52,M$183-$A193+1)/100)</f>
        <v/>
      </c>
      <c r="N193" s="13">
        <f>IF(OR(N$183-$A193&lt;0,N$183-$A193&gt;35),0,N151*INDEX($E$17:$E$52,N$183-$A193+1)/100)</f>
        <v/>
      </c>
      <c r="O193" s="13">
        <f>IF(OR(O$183-$A193&lt;0,O$183-$A193&gt;35),0,O151*INDEX($E$17:$E$52,O$183-$A193+1)/100)</f>
        <v/>
      </c>
      <c r="P193" s="13">
        <f>IF(OR(P$183-$A193&lt;0,P$183-$A193&gt;35),0,P151*INDEX($E$17:$E$52,P$183-$A193+1)/100)</f>
        <v/>
      </c>
      <c r="Q193" s="13">
        <f>IF(OR(Q$183-$A193&lt;0,Q$183-$A193&gt;35),0,Q151*INDEX($E$17:$E$52,Q$183-$A193+1)/100)</f>
        <v/>
      </c>
      <c r="R193" s="13">
        <f>IF(OR(R$183-$A193&lt;0,R$183-$A193&gt;35),0,R151*INDEX($E$17:$E$52,R$183-$A193+1)/100)</f>
        <v/>
      </c>
    </row>
    <row r="194">
      <c r="A194" s="12">
        <f>A67</f>
        <v/>
      </c>
      <c r="B194" s="15">
        <f>B67</f>
        <v/>
      </c>
      <c r="D194" s="13">
        <f>IF(OR(D$183-$A194&lt;0,D$183-$A194&gt;35),0,D152*INDEX($E$17:$E$52,D$183-$A194+1)/100)</f>
        <v/>
      </c>
      <c r="E194" s="13">
        <f>IF(OR(E$183-$A194&lt;0,E$183-$A194&gt;35),0,E152*INDEX($E$17:$E$52,E$183-$A194+1)/100)</f>
        <v/>
      </c>
      <c r="F194" s="13">
        <f>IF(OR(F$183-$A194&lt;0,F$183-$A194&gt;35),0,F152*INDEX($E$17:$E$52,F$183-$A194+1)/100)</f>
        <v/>
      </c>
      <c r="G194" s="13">
        <f>IF(OR(G$183-$A194&lt;0,G$183-$A194&gt;35),0,G152*INDEX($E$17:$E$52,G$183-$A194+1)/100)</f>
        <v/>
      </c>
      <c r="H194" s="13">
        <f>IF(OR(H$183-$A194&lt;0,H$183-$A194&gt;35),0,H152*INDEX($E$17:$E$52,H$183-$A194+1)/100)</f>
        <v/>
      </c>
      <c r="I194" s="13">
        <f>IF(OR(I$183-$A194&lt;0,I$183-$A194&gt;35),0,I152*INDEX($E$17:$E$52,I$183-$A194+1)/100)</f>
        <v/>
      </c>
      <c r="J194" s="13">
        <f>IF(OR(J$183-$A194&lt;0,J$183-$A194&gt;35),0,J152*INDEX($E$17:$E$52,J$183-$A194+1)/100)</f>
        <v/>
      </c>
      <c r="K194" s="13">
        <f>IF(OR(K$183-$A194&lt;0,K$183-$A194&gt;35),0,K152*INDEX($E$17:$E$52,K$183-$A194+1)/100)</f>
        <v/>
      </c>
      <c r="L194" s="13">
        <f>IF(OR(L$183-$A194&lt;0,L$183-$A194&gt;35),0,L152*INDEX($E$17:$E$52,L$183-$A194+1)/100)</f>
        <v/>
      </c>
      <c r="M194" s="13">
        <f>IF(OR(M$183-$A194&lt;0,M$183-$A194&gt;35),0,M152*INDEX($E$17:$E$52,M$183-$A194+1)/100)</f>
        <v/>
      </c>
      <c r="N194" s="13">
        <f>IF(OR(N$183-$A194&lt;0,N$183-$A194&gt;35),0,N152*INDEX($E$17:$E$52,N$183-$A194+1)/100)</f>
        <v/>
      </c>
      <c r="O194" s="13">
        <f>IF(OR(O$183-$A194&lt;0,O$183-$A194&gt;35),0,O152*INDEX($E$17:$E$52,O$183-$A194+1)/100)</f>
        <v/>
      </c>
      <c r="P194" s="13">
        <f>IF(OR(P$183-$A194&lt;0,P$183-$A194&gt;35),0,P152*INDEX($E$17:$E$52,P$183-$A194+1)/100)</f>
        <v/>
      </c>
      <c r="Q194" s="13">
        <f>IF(OR(Q$183-$A194&lt;0,Q$183-$A194&gt;35),0,Q152*INDEX($E$17:$E$52,Q$183-$A194+1)/100)</f>
        <v/>
      </c>
      <c r="R194" s="13">
        <f>IF(OR(R$183-$A194&lt;0,R$183-$A194&gt;35),0,R152*INDEX($E$17:$E$52,R$183-$A194+1)/100)</f>
        <v/>
      </c>
    </row>
    <row r="195">
      <c r="A195" s="12">
        <f>A68</f>
        <v/>
      </c>
      <c r="B195" s="15">
        <f>B68</f>
        <v/>
      </c>
      <c r="D195" s="13">
        <f>IF(OR(D$183-$A195&lt;0,D$183-$A195&gt;35),0,D153*INDEX($E$17:$E$52,D$183-$A195+1)/100)</f>
        <v/>
      </c>
      <c r="E195" s="13">
        <f>IF(OR(E$183-$A195&lt;0,E$183-$A195&gt;35),0,E153*INDEX($E$17:$E$52,E$183-$A195+1)/100)</f>
        <v/>
      </c>
      <c r="F195" s="13">
        <f>IF(OR(F$183-$A195&lt;0,F$183-$A195&gt;35),0,F153*INDEX($E$17:$E$52,F$183-$A195+1)/100)</f>
        <v/>
      </c>
      <c r="G195" s="13">
        <f>IF(OR(G$183-$A195&lt;0,G$183-$A195&gt;35),0,G153*INDEX($E$17:$E$52,G$183-$A195+1)/100)</f>
        <v/>
      </c>
      <c r="H195" s="13">
        <f>IF(OR(H$183-$A195&lt;0,H$183-$A195&gt;35),0,H153*INDEX($E$17:$E$52,H$183-$A195+1)/100)</f>
        <v/>
      </c>
      <c r="I195" s="13">
        <f>IF(OR(I$183-$A195&lt;0,I$183-$A195&gt;35),0,I153*INDEX($E$17:$E$52,I$183-$A195+1)/100)</f>
        <v/>
      </c>
      <c r="J195" s="13">
        <f>IF(OR(J$183-$A195&lt;0,J$183-$A195&gt;35),0,J153*INDEX($E$17:$E$52,J$183-$A195+1)/100)</f>
        <v/>
      </c>
      <c r="K195" s="13">
        <f>IF(OR(K$183-$A195&lt;0,K$183-$A195&gt;35),0,K153*INDEX($E$17:$E$52,K$183-$A195+1)/100)</f>
        <v/>
      </c>
      <c r="L195" s="13">
        <f>IF(OR(L$183-$A195&lt;0,L$183-$A195&gt;35),0,L153*INDEX($E$17:$E$52,L$183-$A195+1)/100)</f>
        <v/>
      </c>
      <c r="M195" s="13">
        <f>IF(OR(M$183-$A195&lt;0,M$183-$A195&gt;35),0,M153*INDEX($E$17:$E$52,M$183-$A195+1)/100)</f>
        <v/>
      </c>
      <c r="N195" s="13">
        <f>IF(OR(N$183-$A195&lt;0,N$183-$A195&gt;35),0,N153*INDEX($E$17:$E$52,N$183-$A195+1)/100)</f>
        <v/>
      </c>
      <c r="O195" s="13">
        <f>IF(OR(O$183-$A195&lt;0,O$183-$A195&gt;35),0,O153*INDEX($E$17:$E$52,O$183-$A195+1)/100)</f>
        <v/>
      </c>
      <c r="P195" s="13">
        <f>IF(OR(P$183-$A195&lt;0,P$183-$A195&gt;35),0,P153*INDEX($E$17:$E$52,P$183-$A195+1)/100)</f>
        <v/>
      </c>
      <c r="Q195" s="13">
        <f>IF(OR(Q$183-$A195&lt;0,Q$183-$A195&gt;35),0,Q153*INDEX($E$17:$E$52,Q$183-$A195+1)/100)</f>
        <v/>
      </c>
      <c r="R195" s="13">
        <f>IF(OR(R$183-$A195&lt;0,R$183-$A195&gt;35),0,R153*INDEX($E$17:$E$52,R$183-$A195+1)/100)</f>
        <v/>
      </c>
    </row>
    <row r="196">
      <c r="A196" s="12">
        <f>A69</f>
        <v/>
      </c>
      <c r="B196" s="15">
        <f>B69</f>
        <v/>
      </c>
      <c r="D196" s="13">
        <f>IF(OR(D$183-$A196&lt;0,D$183-$A196&gt;35),0,D154*INDEX($E$17:$E$52,D$183-$A196+1)/100)</f>
        <v/>
      </c>
      <c r="E196" s="13">
        <f>IF(OR(E$183-$A196&lt;0,E$183-$A196&gt;35),0,E154*INDEX($E$17:$E$52,E$183-$A196+1)/100)</f>
        <v/>
      </c>
      <c r="F196" s="13">
        <f>IF(OR(F$183-$A196&lt;0,F$183-$A196&gt;35),0,F154*INDEX($E$17:$E$52,F$183-$A196+1)/100)</f>
        <v/>
      </c>
      <c r="G196" s="13">
        <f>IF(OR(G$183-$A196&lt;0,G$183-$A196&gt;35),0,G154*INDEX($E$17:$E$52,G$183-$A196+1)/100)</f>
        <v/>
      </c>
      <c r="H196" s="13">
        <f>IF(OR(H$183-$A196&lt;0,H$183-$A196&gt;35),0,H154*INDEX($E$17:$E$52,H$183-$A196+1)/100)</f>
        <v/>
      </c>
      <c r="I196" s="13">
        <f>IF(OR(I$183-$A196&lt;0,I$183-$A196&gt;35),0,I154*INDEX($E$17:$E$52,I$183-$A196+1)/100)</f>
        <v/>
      </c>
      <c r="J196" s="13">
        <f>IF(OR(J$183-$A196&lt;0,J$183-$A196&gt;35),0,J154*INDEX($E$17:$E$52,J$183-$A196+1)/100)</f>
        <v/>
      </c>
      <c r="K196" s="13">
        <f>IF(OR(K$183-$A196&lt;0,K$183-$A196&gt;35),0,K154*INDEX($E$17:$E$52,K$183-$A196+1)/100)</f>
        <v/>
      </c>
      <c r="L196" s="13">
        <f>IF(OR(L$183-$A196&lt;0,L$183-$A196&gt;35),0,L154*INDEX($E$17:$E$52,L$183-$A196+1)/100)</f>
        <v/>
      </c>
      <c r="M196" s="13">
        <f>IF(OR(M$183-$A196&lt;0,M$183-$A196&gt;35),0,M154*INDEX($E$17:$E$52,M$183-$A196+1)/100)</f>
        <v/>
      </c>
      <c r="N196" s="13">
        <f>IF(OR(N$183-$A196&lt;0,N$183-$A196&gt;35),0,N154*INDEX($E$17:$E$52,N$183-$A196+1)/100)</f>
        <v/>
      </c>
      <c r="O196" s="13">
        <f>IF(OR(O$183-$A196&lt;0,O$183-$A196&gt;35),0,O154*INDEX($E$17:$E$52,O$183-$A196+1)/100)</f>
        <v/>
      </c>
      <c r="P196" s="13">
        <f>IF(OR(P$183-$A196&lt;0,P$183-$A196&gt;35),0,P154*INDEX($E$17:$E$52,P$183-$A196+1)/100)</f>
        <v/>
      </c>
      <c r="Q196" s="13">
        <f>IF(OR(Q$183-$A196&lt;0,Q$183-$A196&gt;35),0,Q154*INDEX($E$17:$E$52,Q$183-$A196+1)/100)</f>
        <v/>
      </c>
      <c r="R196" s="13">
        <f>IF(OR(R$183-$A196&lt;0,R$183-$A196&gt;35),0,R154*INDEX($E$17:$E$52,R$183-$A196+1)/100)</f>
        <v/>
      </c>
    </row>
    <row r="197">
      <c r="A197" s="12">
        <f>A70</f>
        <v/>
      </c>
      <c r="B197" s="15">
        <f>B70</f>
        <v/>
      </c>
      <c r="D197" s="13">
        <f>IF(OR(D$183-$A197&lt;0,D$183-$A197&gt;35),0,D155*INDEX($E$17:$E$52,D$183-$A197+1)/100)</f>
        <v/>
      </c>
      <c r="E197" s="13">
        <f>IF(OR(E$183-$A197&lt;0,E$183-$A197&gt;35),0,E155*INDEX($E$17:$E$52,E$183-$A197+1)/100)</f>
        <v/>
      </c>
      <c r="F197" s="13">
        <f>IF(OR(F$183-$A197&lt;0,F$183-$A197&gt;35),0,F155*INDEX($E$17:$E$52,F$183-$A197+1)/100)</f>
        <v/>
      </c>
      <c r="G197" s="13">
        <f>IF(OR(G$183-$A197&lt;0,G$183-$A197&gt;35),0,G155*INDEX($E$17:$E$52,G$183-$A197+1)/100)</f>
        <v/>
      </c>
      <c r="H197" s="13">
        <f>IF(OR(H$183-$A197&lt;0,H$183-$A197&gt;35),0,H155*INDEX($E$17:$E$52,H$183-$A197+1)/100)</f>
        <v/>
      </c>
      <c r="I197" s="13">
        <f>IF(OR(I$183-$A197&lt;0,I$183-$A197&gt;35),0,I155*INDEX($E$17:$E$52,I$183-$A197+1)/100)</f>
        <v/>
      </c>
      <c r="J197" s="13">
        <f>IF(OR(J$183-$A197&lt;0,J$183-$A197&gt;35),0,J155*INDEX($E$17:$E$52,J$183-$A197+1)/100)</f>
        <v/>
      </c>
      <c r="K197" s="13">
        <f>IF(OR(K$183-$A197&lt;0,K$183-$A197&gt;35),0,K155*INDEX($E$17:$E$52,K$183-$A197+1)/100)</f>
        <v/>
      </c>
      <c r="L197" s="13">
        <f>IF(OR(L$183-$A197&lt;0,L$183-$A197&gt;35),0,L155*INDEX($E$17:$E$52,L$183-$A197+1)/100)</f>
        <v/>
      </c>
      <c r="M197" s="13">
        <f>IF(OR(M$183-$A197&lt;0,M$183-$A197&gt;35),0,M155*INDEX($E$17:$E$52,M$183-$A197+1)/100)</f>
        <v/>
      </c>
      <c r="N197" s="13">
        <f>IF(OR(N$183-$A197&lt;0,N$183-$A197&gt;35),0,N155*INDEX($E$17:$E$52,N$183-$A197+1)/100)</f>
        <v/>
      </c>
      <c r="O197" s="13">
        <f>IF(OR(O$183-$A197&lt;0,O$183-$A197&gt;35),0,O155*INDEX($E$17:$E$52,O$183-$A197+1)/100)</f>
        <v/>
      </c>
      <c r="P197" s="13">
        <f>IF(OR(P$183-$A197&lt;0,P$183-$A197&gt;35),0,P155*INDEX($E$17:$E$52,P$183-$A197+1)/100)</f>
        <v/>
      </c>
      <c r="Q197" s="13">
        <f>IF(OR(Q$183-$A197&lt;0,Q$183-$A197&gt;35),0,Q155*INDEX($E$17:$E$52,Q$183-$A197+1)/100)</f>
        <v/>
      </c>
      <c r="R197" s="13">
        <f>IF(OR(R$183-$A197&lt;0,R$183-$A197&gt;35),0,R155*INDEX($E$17:$E$52,R$183-$A197+1)/100)</f>
        <v/>
      </c>
    </row>
    <row r="198">
      <c r="A198" s="12">
        <f>A71</f>
        <v/>
      </c>
      <c r="B198" s="15">
        <f>B71</f>
        <v/>
      </c>
      <c r="D198" s="13">
        <f>IF(OR(D$183-$A198&lt;0,D$183-$A198&gt;35),0,D156*INDEX($E$17:$E$52,D$183-$A198+1)/100)</f>
        <v/>
      </c>
      <c r="E198" s="13">
        <f>IF(OR(E$183-$A198&lt;0,E$183-$A198&gt;35),0,E156*INDEX($E$17:$E$52,E$183-$A198+1)/100)</f>
        <v/>
      </c>
      <c r="F198" s="13">
        <f>IF(OR(F$183-$A198&lt;0,F$183-$A198&gt;35),0,F156*INDEX($E$17:$E$52,F$183-$A198+1)/100)</f>
        <v/>
      </c>
      <c r="G198" s="13">
        <f>IF(OR(G$183-$A198&lt;0,G$183-$A198&gt;35),0,G156*INDEX($E$17:$E$52,G$183-$A198+1)/100)</f>
        <v/>
      </c>
      <c r="H198" s="13">
        <f>IF(OR(H$183-$A198&lt;0,H$183-$A198&gt;35),0,H156*INDEX($E$17:$E$52,H$183-$A198+1)/100)</f>
        <v/>
      </c>
      <c r="I198" s="13">
        <f>IF(OR(I$183-$A198&lt;0,I$183-$A198&gt;35),0,I156*INDEX($E$17:$E$52,I$183-$A198+1)/100)</f>
        <v/>
      </c>
      <c r="J198" s="13">
        <f>IF(OR(J$183-$A198&lt;0,J$183-$A198&gt;35),0,J156*INDEX($E$17:$E$52,J$183-$A198+1)/100)</f>
        <v/>
      </c>
      <c r="K198" s="13">
        <f>IF(OR(K$183-$A198&lt;0,K$183-$A198&gt;35),0,K156*INDEX($E$17:$E$52,K$183-$A198+1)/100)</f>
        <v/>
      </c>
      <c r="L198" s="13">
        <f>IF(OR(L$183-$A198&lt;0,L$183-$A198&gt;35),0,L156*INDEX($E$17:$E$52,L$183-$A198+1)/100)</f>
        <v/>
      </c>
      <c r="M198" s="13">
        <f>IF(OR(M$183-$A198&lt;0,M$183-$A198&gt;35),0,M156*INDEX($E$17:$E$52,M$183-$A198+1)/100)</f>
        <v/>
      </c>
      <c r="N198" s="13">
        <f>IF(OR(N$183-$A198&lt;0,N$183-$A198&gt;35),0,N156*INDEX($E$17:$E$52,N$183-$A198+1)/100)</f>
        <v/>
      </c>
      <c r="O198" s="13">
        <f>IF(OR(O$183-$A198&lt;0,O$183-$A198&gt;35),0,O156*INDEX($E$17:$E$52,O$183-$A198+1)/100)</f>
        <v/>
      </c>
      <c r="P198" s="13">
        <f>IF(OR(P$183-$A198&lt;0,P$183-$A198&gt;35),0,P156*INDEX($E$17:$E$52,P$183-$A198+1)/100)</f>
        <v/>
      </c>
      <c r="Q198" s="13">
        <f>IF(OR(Q$183-$A198&lt;0,Q$183-$A198&gt;35),0,Q156*INDEX($E$17:$E$52,Q$183-$A198+1)/100)</f>
        <v/>
      </c>
      <c r="R198" s="13">
        <f>IF(OR(R$183-$A198&lt;0,R$183-$A198&gt;35),0,R156*INDEX($E$17:$E$52,R$183-$A198+1)/100)</f>
        <v/>
      </c>
    </row>
    <row r="199">
      <c r="A199" s="12">
        <f>A72</f>
        <v/>
      </c>
      <c r="B199" s="15">
        <f>B72</f>
        <v/>
      </c>
      <c r="D199" s="13">
        <f>IF(OR(D$183-$A199&lt;0,D$183-$A199&gt;35),0,D157*INDEX($E$17:$E$52,D$183-$A199+1)/100)</f>
        <v/>
      </c>
      <c r="E199" s="13">
        <f>IF(OR(E$183-$A199&lt;0,E$183-$A199&gt;35),0,E157*INDEX($E$17:$E$52,E$183-$A199+1)/100)</f>
        <v/>
      </c>
      <c r="F199" s="13">
        <f>IF(OR(F$183-$A199&lt;0,F$183-$A199&gt;35),0,F157*INDEX($E$17:$E$52,F$183-$A199+1)/100)</f>
        <v/>
      </c>
      <c r="G199" s="13">
        <f>IF(OR(G$183-$A199&lt;0,G$183-$A199&gt;35),0,G157*INDEX($E$17:$E$52,G$183-$A199+1)/100)</f>
        <v/>
      </c>
      <c r="H199" s="13">
        <f>IF(OR(H$183-$A199&lt;0,H$183-$A199&gt;35),0,H157*INDEX($E$17:$E$52,H$183-$A199+1)/100)</f>
        <v/>
      </c>
      <c r="I199" s="13">
        <f>IF(OR(I$183-$A199&lt;0,I$183-$A199&gt;35),0,I157*INDEX($E$17:$E$52,I$183-$A199+1)/100)</f>
        <v/>
      </c>
      <c r="J199" s="13">
        <f>IF(OR(J$183-$A199&lt;0,J$183-$A199&gt;35),0,J157*INDEX($E$17:$E$52,J$183-$A199+1)/100)</f>
        <v/>
      </c>
      <c r="K199" s="13">
        <f>IF(OR(K$183-$A199&lt;0,K$183-$A199&gt;35),0,K157*INDEX($E$17:$E$52,K$183-$A199+1)/100)</f>
        <v/>
      </c>
      <c r="L199" s="13">
        <f>IF(OR(L$183-$A199&lt;0,L$183-$A199&gt;35),0,L157*INDEX($E$17:$E$52,L$183-$A199+1)/100)</f>
        <v/>
      </c>
      <c r="M199" s="13">
        <f>IF(OR(M$183-$A199&lt;0,M$183-$A199&gt;35),0,M157*INDEX($E$17:$E$52,M$183-$A199+1)/100)</f>
        <v/>
      </c>
      <c r="N199" s="13">
        <f>IF(OR(N$183-$A199&lt;0,N$183-$A199&gt;35),0,N157*INDEX($E$17:$E$52,N$183-$A199+1)/100)</f>
        <v/>
      </c>
      <c r="O199" s="13">
        <f>IF(OR(O$183-$A199&lt;0,O$183-$A199&gt;35),0,O157*INDEX($E$17:$E$52,O$183-$A199+1)/100)</f>
        <v/>
      </c>
      <c r="P199" s="13">
        <f>IF(OR(P$183-$A199&lt;0,P$183-$A199&gt;35),0,P157*INDEX($E$17:$E$52,P$183-$A199+1)/100)</f>
        <v/>
      </c>
      <c r="Q199" s="13">
        <f>IF(OR(Q$183-$A199&lt;0,Q$183-$A199&gt;35),0,Q157*INDEX($E$17:$E$52,Q$183-$A199+1)/100)</f>
        <v/>
      </c>
      <c r="R199" s="13">
        <f>IF(OR(R$183-$A199&lt;0,R$183-$A199&gt;35),0,R157*INDEX($E$17:$E$52,R$183-$A199+1)/100)</f>
        <v/>
      </c>
    </row>
    <row r="200">
      <c r="A200" s="12">
        <f>A73</f>
        <v/>
      </c>
      <c r="B200" s="15">
        <f>B73</f>
        <v/>
      </c>
      <c r="D200" s="13">
        <f>IF(OR(D$183-$A200&lt;0,D$183-$A200&gt;35),0,D158*INDEX($E$17:$E$52,D$183-$A200+1)/100)</f>
        <v/>
      </c>
      <c r="E200" s="13">
        <f>IF(OR(E$183-$A200&lt;0,E$183-$A200&gt;35),0,E158*INDEX($E$17:$E$52,E$183-$A200+1)/100)</f>
        <v/>
      </c>
      <c r="F200" s="13">
        <f>IF(OR(F$183-$A200&lt;0,F$183-$A200&gt;35),0,F158*INDEX($E$17:$E$52,F$183-$A200+1)/100)</f>
        <v/>
      </c>
      <c r="G200" s="13">
        <f>IF(OR(G$183-$A200&lt;0,G$183-$A200&gt;35),0,G158*INDEX($E$17:$E$52,G$183-$A200+1)/100)</f>
        <v/>
      </c>
      <c r="H200" s="13">
        <f>IF(OR(H$183-$A200&lt;0,H$183-$A200&gt;35),0,H158*INDEX($E$17:$E$52,H$183-$A200+1)/100)</f>
        <v/>
      </c>
      <c r="I200" s="13">
        <f>IF(OR(I$183-$A200&lt;0,I$183-$A200&gt;35),0,I158*INDEX($E$17:$E$52,I$183-$A200+1)/100)</f>
        <v/>
      </c>
      <c r="J200" s="13">
        <f>IF(OR(J$183-$A200&lt;0,J$183-$A200&gt;35),0,J158*INDEX($E$17:$E$52,J$183-$A200+1)/100)</f>
        <v/>
      </c>
      <c r="K200" s="13">
        <f>IF(OR(K$183-$A200&lt;0,K$183-$A200&gt;35),0,K158*INDEX($E$17:$E$52,K$183-$A200+1)/100)</f>
        <v/>
      </c>
      <c r="L200" s="13">
        <f>IF(OR(L$183-$A200&lt;0,L$183-$A200&gt;35),0,L158*INDEX($E$17:$E$52,L$183-$A200+1)/100)</f>
        <v/>
      </c>
      <c r="M200" s="13">
        <f>IF(OR(M$183-$A200&lt;0,M$183-$A200&gt;35),0,M158*INDEX($E$17:$E$52,M$183-$A200+1)/100)</f>
        <v/>
      </c>
      <c r="N200" s="13">
        <f>IF(OR(N$183-$A200&lt;0,N$183-$A200&gt;35),0,N158*INDEX($E$17:$E$52,N$183-$A200+1)/100)</f>
        <v/>
      </c>
      <c r="O200" s="13">
        <f>IF(OR(O$183-$A200&lt;0,O$183-$A200&gt;35),0,O158*INDEX($E$17:$E$52,O$183-$A200+1)/100)</f>
        <v/>
      </c>
      <c r="P200" s="13">
        <f>IF(OR(P$183-$A200&lt;0,P$183-$A200&gt;35),0,P158*INDEX($E$17:$E$52,P$183-$A200+1)/100)</f>
        <v/>
      </c>
      <c r="Q200" s="13">
        <f>IF(OR(Q$183-$A200&lt;0,Q$183-$A200&gt;35),0,Q158*INDEX($E$17:$E$52,Q$183-$A200+1)/100)</f>
        <v/>
      </c>
      <c r="R200" s="13">
        <f>IF(OR(R$183-$A200&lt;0,R$183-$A200&gt;35),0,R158*INDEX($E$17:$E$52,R$183-$A200+1)/100)</f>
        <v/>
      </c>
    </row>
    <row r="201">
      <c r="A201" s="12">
        <f>A74</f>
        <v/>
      </c>
      <c r="B201" s="15">
        <f>B74</f>
        <v/>
      </c>
      <c r="D201" s="13">
        <f>IF(OR(D$183-$A201&lt;0,D$183-$A201&gt;35),0,D159*INDEX($E$17:$E$52,D$183-$A201+1)/100)</f>
        <v/>
      </c>
      <c r="E201" s="13">
        <f>IF(OR(E$183-$A201&lt;0,E$183-$A201&gt;35),0,E159*INDEX($E$17:$E$52,E$183-$A201+1)/100)</f>
        <v/>
      </c>
      <c r="F201" s="13">
        <f>IF(OR(F$183-$A201&lt;0,F$183-$A201&gt;35),0,F159*INDEX($E$17:$E$52,F$183-$A201+1)/100)</f>
        <v/>
      </c>
      <c r="G201" s="13">
        <f>IF(OR(G$183-$A201&lt;0,G$183-$A201&gt;35),0,G159*INDEX($E$17:$E$52,G$183-$A201+1)/100)</f>
        <v/>
      </c>
      <c r="H201" s="13">
        <f>IF(OR(H$183-$A201&lt;0,H$183-$A201&gt;35),0,H159*INDEX($E$17:$E$52,H$183-$A201+1)/100)</f>
        <v/>
      </c>
      <c r="I201" s="13">
        <f>IF(OR(I$183-$A201&lt;0,I$183-$A201&gt;35),0,I159*INDEX($E$17:$E$52,I$183-$A201+1)/100)</f>
        <v/>
      </c>
      <c r="J201" s="13">
        <f>IF(OR(J$183-$A201&lt;0,J$183-$A201&gt;35),0,J159*INDEX($E$17:$E$52,J$183-$A201+1)/100)</f>
        <v/>
      </c>
      <c r="K201" s="13">
        <f>IF(OR(K$183-$A201&lt;0,K$183-$A201&gt;35),0,K159*INDEX($E$17:$E$52,K$183-$A201+1)/100)</f>
        <v/>
      </c>
      <c r="L201" s="13">
        <f>IF(OR(L$183-$A201&lt;0,L$183-$A201&gt;35),0,L159*INDEX($E$17:$E$52,L$183-$A201+1)/100)</f>
        <v/>
      </c>
      <c r="M201" s="13">
        <f>IF(OR(M$183-$A201&lt;0,M$183-$A201&gt;35),0,M159*INDEX($E$17:$E$52,M$183-$A201+1)/100)</f>
        <v/>
      </c>
      <c r="N201" s="13">
        <f>IF(OR(N$183-$A201&lt;0,N$183-$A201&gt;35),0,N159*INDEX($E$17:$E$52,N$183-$A201+1)/100)</f>
        <v/>
      </c>
      <c r="O201" s="13">
        <f>IF(OR(O$183-$A201&lt;0,O$183-$A201&gt;35),0,O159*INDEX($E$17:$E$52,O$183-$A201+1)/100)</f>
        <v/>
      </c>
      <c r="P201" s="13">
        <f>IF(OR(P$183-$A201&lt;0,P$183-$A201&gt;35),0,P159*INDEX($E$17:$E$52,P$183-$A201+1)/100)</f>
        <v/>
      </c>
      <c r="Q201" s="13">
        <f>IF(OR(Q$183-$A201&lt;0,Q$183-$A201&gt;35),0,Q159*INDEX($E$17:$E$52,Q$183-$A201+1)/100)</f>
        <v/>
      </c>
      <c r="R201" s="13">
        <f>IF(OR(R$183-$A201&lt;0,R$183-$A201&gt;35),0,R159*INDEX($E$17:$E$52,R$183-$A201+1)/100)</f>
        <v/>
      </c>
    </row>
    <row r="202">
      <c r="A202" s="12">
        <f>A75</f>
        <v/>
      </c>
      <c r="B202" s="15">
        <f>B75</f>
        <v/>
      </c>
      <c r="D202" s="13">
        <f>IF(OR(D$183-$A202&lt;0,D$183-$A202&gt;35),0,D160*INDEX($E$17:$E$52,D$183-$A202+1)/100)</f>
        <v/>
      </c>
      <c r="E202" s="13">
        <f>IF(OR(E$183-$A202&lt;0,E$183-$A202&gt;35),0,E160*INDEX($E$17:$E$52,E$183-$A202+1)/100)</f>
        <v/>
      </c>
      <c r="F202" s="13">
        <f>IF(OR(F$183-$A202&lt;0,F$183-$A202&gt;35),0,F160*INDEX($E$17:$E$52,F$183-$A202+1)/100)</f>
        <v/>
      </c>
      <c r="G202" s="13">
        <f>IF(OR(G$183-$A202&lt;0,G$183-$A202&gt;35),0,G160*INDEX($E$17:$E$52,G$183-$A202+1)/100)</f>
        <v/>
      </c>
      <c r="H202" s="13">
        <f>IF(OR(H$183-$A202&lt;0,H$183-$A202&gt;35),0,H160*INDEX($E$17:$E$52,H$183-$A202+1)/100)</f>
        <v/>
      </c>
      <c r="I202" s="13">
        <f>IF(OR(I$183-$A202&lt;0,I$183-$A202&gt;35),0,I160*INDEX($E$17:$E$52,I$183-$A202+1)/100)</f>
        <v/>
      </c>
      <c r="J202" s="13">
        <f>IF(OR(J$183-$A202&lt;0,J$183-$A202&gt;35),0,J160*INDEX($E$17:$E$52,J$183-$A202+1)/100)</f>
        <v/>
      </c>
      <c r="K202" s="13">
        <f>IF(OR(K$183-$A202&lt;0,K$183-$A202&gt;35),0,K160*INDEX($E$17:$E$52,K$183-$A202+1)/100)</f>
        <v/>
      </c>
      <c r="L202" s="13">
        <f>IF(OR(L$183-$A202&lt;0,L$183-$A202&gt;35),0,L160*INDEX($E$17:$E$52,L$183-$A202+1)/100)</f>
        <v/>
      </c>
      <c r="M202" s="13">
        <f>IF(OR(M$183-$A202&lt;0,M$183-$A202&gt;35),0,M160*INDEX($E$17:$E$52,M$183-$A202+1)/100)</f>
        <v/>
      </c>
      <c r="N202" s="13">
        <f>IF(OR(N$183-$A202&lt;0,N$183-$A202&gt;35),0,N160*INDEX($E$17:$E$52,N$183-$A202+1)/100)</f>
        <v/>
      </c>
      <c r="O202" s="13">
        <f>IF(OR(O$183-$A202&lt;0,O$183-$A202&gt;35),0,O160*INDEX($E$17:$E$52,O$183-$A202+1)/100)</f>
        <v/>
      </c>
      <c r="P202" s="13">
        <f>IF(OR(P$183-$A202&lt;0,P$183-$A202&gt;35),0,P160*INDEX($E$17:$E$52,P$183-$A202+1)/100)</f>
        <v/>
      </c>
      <c r="Q202" s="13">
        <f>IF(OR(Q$183-$A202&lt;0,Q$183-$A202&gt;35),0,Q160*INDEX($E$17:$E$52,Q$183-$A202+1)/100)</f>
        <v/>
      </c>
      <c r="R202" s="13">
        <f>IF(OR(R$183-$A202&lt;0,R$183-$A202&gt;35),0,R160*INDEX($E$17:$E$52,R$183-$A202+1)/100)</f>
        <v/>
      </c>
    </row>
    <row r="203">
      <c r="A203" s="12">
        <f>A76</f>
        <v/>
      </c>
      <c r="B203" s="15">
        <f>B76</f>
        <v/>
      </c>
      <c r="D203" s="13">
        <f>IF(OR(D$183-$A203&lt;0,D$183-$A203&gt;35),0,D161*INDEX($E$17:$E$52,D$183-$A203+1)/100)</f>
        <v/>
      </c>
      <c r="E203" s="13">
        <f>IF(OR(E$183-$A203&lt;0,E$183-$A203&gt;35),0,E161*INDEX($E$17:$E$52,E$183-$A203+1)/100)</f>
        <v/>
      </c>
      <c r="F203" s="13">
        <f>IF(OR(F$183-$A203&lt;0,F$183-$A203&gt;35),0,F161*INDEX($E$17:$E$52,F$183-$A203+1)/100)</f>
        <v/>
      </c>
      <c r="G203" s="13">
        <f>IF(OR(G$183-$A203&lt;0,G$183-$A203&gt;35),0,G161*INDEX($E$17:$E$52,G$183-$A203+1)/100)</f>
        <v/>
      </c>
      <c r="H203" s="13">
        <f>IF(OR(H$183-$A203&lt;0,H$183-$A203&gt;35),0,H161*INDEX($E$17:$E$52,H$183-$A203+1)/100)</f>
        <v/>
      </c>
      <c r="I203" s="13">
        <f>IF(OR(I$183-$A203&lt;0,I$183-$A203&gt;35),0,I161*INDEX($E$17:$E$52,I$183-$A203+1)/100)</f>
        <v/>
      </c>
      <c r="J203" s="13">
        <f>IF(OR(J$183-$A203&lt;0,J$183-$A203&gt;35),0,J161*INDEX($E$17:$E$52,J$183-$A203+1)/100)</f>
        <v/>
      </c>
      <c r="K203" s="13">
        <f>IF(OR(K$183-$A203&lt;0,K$183-$A203&gt;35),0,K161*INDEX($E$17:$E$52,K$183-$A203+1)/100)</f>
        <v/>
      </c>
      <c r="L203" s="13">
        <f>IF(OR(L$183-$A203&lt;0,L$183-$A203&gt;35),0,L161*INDEX($E$17:$E$52,L$183-$A203+1)/100)</f>
        <v/>
      </c>
      <c r="M203" s="13">
        <f>IF(OR(M$183-$A203&lt;0,M$183-$A203&gt;35),0,M161*INDEX($E$17:$E$52,M$183-$A203+1)/100)</f>
        <v/>
      </c>
      <c r="N203" s="13">
        <f>IF(OR(N$183-$A203&lt;0,N$183-$A203&gt;35),0,N161*INDEX($E$17:$E$52,N$183-$A203+1)/100)</f>
        <v/>
      </c>
      <c r="O203" s="13">
        <f>IF(OR(O$183-$A203&lt;0,O$183-$A203&gt;35),0,O161*INDEX($E$17:$E$52,O$183-$A203+1)/100)</f>
        <v/>
      </c>
      <c r="P203" s="13">
        <f>IF(OR(P$183-$A203&lt;0,P$183-$A203&gt;35),0,P161*INDEX($E$17:$E$52,P$183-$A203+1)/100)</f>
        <v/>
      </c>
      <c r="Q203" s="13">
        <f>IF(OR(Q$183-$A203&lt;0,Q$183-$A203&gt;35),0,Q161*INDEX($E$17:$E$52,Q$183-$A203+1)/100)</f>
        <v/>
      </c>
      <c r="R203" s="13">
        <f>IF(OR(R$183-$A203&lt;0,R$183-$A203&gt;35),0,R161*INDEX($E$17:$E$52,R$183-$A203+1)/100)</f>
        <v/>
      </c>
    </row>
    <row r="204">
      <c r="A204" s="12">
        <f>A77</f>
        <v/>
      </c>
      <c r="B204" s="15">
        <f>B77</f>
        <v/>
      </c>
      <c r="D204" s="13">
        <f>IF(OR(D$183-$A204&lt;0,D$183-$A204&gt;35),0,D162*INDEX($E$17:$E$52,D$183-$A204+1)/100)</f>
        <v/>
      </c>
      <c r="E204" s="13">
        <f>IF(OR(E$183-$A204&lt;0,E$183-$A204&gt;35),0,E162*INDEX($E$17:$E$52,E$183-$A204+1)/100)</f>
        <v/>
      </c>
      <c r="F204" s="13">
        <f>IF(OR(F$183-$A204&lt;0,F$183-$A204&gt;35),0,F162*INDEX($E$17:$E$52,F$183-$A204+1)/100)</f>
        <v/>
      </c>
      <c r="G204" s="13">
        <f>IF(OR(G$183-$A204&lt;0,G$183-$A204&gt;35),0,G162*INDEX($E$17:$E$52,G$183-$A204+1)/100)</f>
        <v/>
      </c>
      <c r="H204" s="13">
        <f>IF(OR(H$183-$A204&lt;0,H$183-$A204&gt;35),0,H162*INDEX($E$17:$E$52,H$183-$A204+1)/100)</f>
        <v/>
      </c>
      <c r="I204" s="13">
        <f>IF(OR(I$183-$A204&lt;0,I$183-$A204&gt;35),0,I162*INDEX($E$17:$E$52,I$183-$A204+1)/100)</f>
        <v/>
      </c>
      <c r="J204" s="13">
        <f>IF(OR(J$183-$A204&lt;0,J$183-$A204&gt;35),0,J162*INDEX($E$17:$E$52,J$183-$A204+1)/100)</f>
        <v/>
      </c>
      <c r="K204" s="13">
        <f>IF(OR(K$183-$A204&lt;0,K$183-$A204&gt;35),0,K162*INDEX($E$17:$E$52,K$183-$A204+1)/100)</f>
        <v/>
      </c>
      <c r="L204" s="13">
        <f>IF(OR(L$183-$A204&lt;0,L$183-$A204&gt;35),0,L162*INDEX($E$17:$E$52,L$183-$A204+1)/100)</f>
        <v/>
      </c>
      <c r="M204" s="13">
        <f>IF(OR(M$183-$A204&lt;0,M$183-$A204&gt;35),0,M162*INDEX($E$17:$E$52,M$183-$A204+1)/100)</f>
        <v/>
      </c>
      <c r="N204" s="13">
        <f>IF(OR(N$183-$A204&lt;0,N$183-$A204&gt;35),0,N162*INDEX($E$17:$E$52,N$183-$A204+1)/100)</f>
        <v/>
      </c>
      <c r="O204" s="13">
        <f>IF(OR(O$183-$A204&lt;0,O$183-$A204&gt;35),0,O162*INDEX($E$17:$E$52,O$183-$A204+1)/100)</f>
        <v/>
      </c>
      <c r="P204" s="13">
        <f>IF(OR(P$183-$A204&lt;0,P$183-$A204&gt;35),0,P162*INDEX($E$17:$E$52,P$183-$A204+1)/100)</f>
        <v/>
      </c>
      <c r="Q204" s="13">
        <f>IF(OR(Q$183-$A204&lt;0,Q$183-$A204&gt;35),0,Q162*INDEX($E$17:$E$52,Q$183-$A204+1)/100)</f>
        <v/>
      </c>
      <c r="R204" s="13">
        <f>IF(OR(R$183-$A204&lt;0,R$183-$A204&gt;35),0,R162*INDEX($E$17:$E$52,R$183-$A204+1)/100)</f>
        <v/>
      </c>
    </row>
    <row r="205">
      <c r="A205" s="12">
        <f>A78</f>
        <v/>
      </c>
      <c r="B205" s="15">
        <f>B78</f>
        <v/>
      </c>
      <c r="D205" s="13">
        <f>IF(OR(D$183-$A205&lt;0,D$183-$A205&gt;35),0,D163*INDEX($E$17:$E$52,D$183-$A205+1)/100)</f>
        <v/>
      </c>
      <c r="E205" s="13">
        <f>IF(OR(E$183-$A205&lt;0,E$183-$A205&gt;35),0,E163*INDEX($E$17:$E$52,E$183-$A205+1)/100)</f>
        <v/>
      </c>
      <c r="F205" s="13">
        <f>IF(OR(F$183-$A205&lt;0,F$183-$A205&gt;35),0,F163*INDEX($E$17:$E$52,F$183-$A205+1)/100)</f>
        <v/>
      </c>
      <c r="G205" s="13">
        <f>IF(OR(G$183-$A205&lt;0,G$183-$A205&gt;35),0,G163*INDEX($E$17:$E$52,G$183-$A205+1)/100)</f>
        <v/>
      </c>
      <c r="H205" s="13">
        <f>IF(OR(H$183-$A205&lt;0,H$183-$A205&gt;35),0,H163*INDEX($E$17:$E$52,H$183-$A205+1)/100)</f>
        <v/>
      </c>
      <c r="I205" s="13">
        <f>IF(OR(I$183-$A205&lt;0,I$183-$A205&gt;35),0,I163*INDEX($E$17:$E$52,I$183-$A205+1)/100)</f>
        <v/>
      </c>
      <c r="J205" s="13">
        <f>IF(OR(J$183-$A205&lt;0,J$183-$A205&gt;35),0,J163*INDEX($E$17:$E$52,J$183-$A205+1)/100)</f>
        <v/>
      </c>
      <c r="K205" s="13">
        <f>IF(OR(K$183-$A205&lt;0,K$183-$A205&gt;35),0,K163*INDEX($E$17:$E$52,K$183-$A205+1)/100)</f>
        <v/>
      </c>
      <c r="L205" s="13">
        <f>IF(OR(L$183-$A205&lt;0,L$183-$A205&gt;35),0,L163*INDEX($E$17:$E$52,L$183-$A205+1)/100)</f>
        <v/>
      </c>
      <c r="M205" s="13">
        <f>IF(OR(M$183-$A205&lt;0,M$183-$A205&gt;35),0,M163*INDEX($E$17:$E$52,M$183-$A205+1)/100)</f>
        <v/>
      </c>
      <c r="N205" s="13">
        <f>IF(OR(N$183-$A205&lt;0,N$183-$A205&gt;35),0,N163*INDEX($E$17:$E$52,N$183-$A205+1)/100)</f>
        <v/>
      </c>
      <c r="O205" s="13">
        <f>IF(OR(O$183-$A205&lt;0,O$183-$A205&gt;35),0,O163*INDEX($E$17:$E$52,O$183-$A205+1)/100)</f>
        <v/>
      </c>
      <c r="P205" s="13">
        <f>IF(OR(P$183-$A205&lt;0,P$183-$A205&gt;35),0,P163*INDEX($E$17:$E$52,P$183-$A205+1)/100)</f>
        <v/>
      </c>
      <c r="Q205" s="13">
        <f>IF(OR(Q$183-$A205&lt;0,Q$183-$A205&gt;35),0,Q163*INDEX($E$17:$E$52,Q$183-$A205+1)/100)</f>
        <v/>
      </c>
      <c r="R205" s="13">
        <f>IF(OR(R$183-$A205&lt;0,R$183-$A205&gt;35),0,R163*INDEX($E$17:$E$52,R$183-$A205+1)/100)</f>
        <v/>
      </c>
    </row>
    <row r="206">
      <c r="A206" s="12">
        <f>A79</f>
        <v/>
      </c>
      <c r="B206" s="15">
        <f>B79</f>
        <v/>
      </c>
      <c r="D206" s="13">
        <f>IF(OR(D$183-$A206&lt;0,D$183-$A206&gt;35),0,D164*INDEX($E$17:$E$52,D$183-$A206+1)/100)</f>
        <v/>
      </c>
      <c r="E206" s="13">
        <f>IF(OR(E$183-$A206&lt;0,E$183-$A206&gt;35),0,E164*INDEX($E$17:$E$52,E$183-$A206+1)/100)</f>
        <v/>
      </c>
      <c r="F206" s="13">
        <f>IF(OR(F$183-$A206&lt;0,F$183-$A206&gt;35),0,F164*INDEX($E$17:$E$52,F$183-$A206+1)/100)</f>
        <v/>
      </c>
      <c r="G206" s="13">
        <f>IF(OR(G$183-$A206&lt;0,G$183-$A206&gt;35),0,G164*INDEX($E$17:$E$52,G$183-$A206+1)/100)</f>
        <v/>
      </c>
      <c r="H206" s="13">
        <f>IF(OR(H$183-$A206&lt;0,H$183-$A206&gt;35),0,H164*INDEX($E$17:$E$52,H$183-$A206+1)/100)</f>
        <v/>
      </c>
      <c r="I206" s="13">
        <f>IF(OR(I$183-$A206&lt;0,I$183-$A206&gt;35),0,I164*INDEX($E$17:$E$52,I$183-$A206+1)/100)</f>
        <v/>
      </c>
      <c r="J206" s="13">
        <f>IF(OR(J$183-$A206&lt;0,J$183-$A206&gt;35),0,J164*INDEX($E$17:$E$52,J$183-$A206+1)/100)</f>
        <v/>
      </c>
      <c r="K206" s="13">
        <f>IF(OR(K$183-$A206&lt;0,K$183-$A206&gt;35),0,K164*INDEX($E$17:$E$52,K$183-$A206+1)/100)</f>
        <v/>
      </c>
      <c r="L206" s="13">
        <f>IF(OR(L$183-$A206&lt;0,L$183-$A206&gt;35),0,L164*INDEX($E$17:$E$52,L$183-$A206+1)/100)</f>
        <v/>
      </c>
      <c r="M206" s="13">
        <f>IF(OR(M$183-$A206&lt;0,M$183-$A206&gt;35),0,M164*INDEX($E$17:$E$52,M$183-$A206+1)/100)</f>
        <v/>
      </c>
      <c r="N206" s="13">
        <f>IF(OR(N$183-$A206&lt;0,N$183-$A206&gt;35),0,N164*INDEX($E$17:$E$52,N$183-$A206+1)/100)</f>
        <v/>
      </c>
      <c r="O206" s="13">
        <f>IF(OR(O$183-$A206&lt;0,O$183-$A206&gt;35),0,O164*INDEX($E$17:$E$52,O$183-$A206+1)/100)</f>
        <v/>
      </c>
      <c r="P206" s="13">
        <f>IF(OR(P$183-$A206&lt;0,P$183-$A206&gt;35),0,P164*INDEX($E$17:$E$52,P$183-$A206+1)/100)</f>
        <v/>
      </c>
      <c r="Q206" s="13">
        <f>IF(OR(Q$183-$A206&lt;0,Q$183-$A206&gt;35),0,Q164*INDEX($E$17:$E$52,Q$183-$A206+1)/100)</f>
        <v/>
      </c>
      <c r="R206" s="13">
        <f>IF(OR(R$183-$A206&lt;0,R$183-$A206&gt;35),0,R164*INDEX($E$17:$E$52,R$183-$A206+1)/100)</f>
        <v/>
      </c>
    </row>
    <row r="207">
      <c r="A207" s="12">
        <f>A80</f>
        <v/>
      </c>
      <c r="B207" s="15">
        <f>B80</f>
        <v/>
      </c>
      <c r="D207" s="13">
        <f>IF(OR(D$183-$A207&lt;0,D$183-$A207&gt;35),0,D165*INDEX($E$17:$E$52,D$183-$A207+1)/100)</f>
        <v/>
      </c>
      <c r="E207" s="13">
        <f>IF(OR(E$183-$A207&lt;0,E$183-$A207&gt;35),0,E165*INDEX($E$17:$E$52,E$183-$A207+1)/100)</f>
        <v/>
      </c>
      <c r="F207" s="13">
        <f>IF(OR(F$183-$A207&lt;0,F$183-$A207&gt;35),0,F165*INDEX($E$17:$E$52,F$183-$A207+1)/100)</f>
        <v/>
      </c>
      <c r="G207" s="13">
        <f>IF(OR(G$183-$A207&lt;0,G$183-$A207&gt;35),0,G165*INDEX($E$17:$E$52,G$183-$A207+1)/100)</f>
        <v/>
      </c>
      <c r="H207" s="13">
        <f>IF(OR(H$183-$A207&lt;0,H$183-$A207&gt;35),0,H165*INDEX($E$17:$E$52,H$183-$A207+1)/100)</f>
        <v/>
      </c>
      <c r="I207" s="13">
        <f>IF(OR(I$183-$A207&lt;0,I$183-$A207&gt;35),0,I165*INDEX($E$17:$E$52,I$183-$A207+1)/100)</f>
        <v/>
      </c>
      <c r="J207" s="13">
        <f>IF(OR(J$183-$A207&lt;0,J$183-$A207&gt;35),0,J165*INDEX($E$17:$E$52,J$183-$A207+1)/100)</f>
        <v/>
      </c>
      <c r="K207" s="13">
        <f>IF(OR(K$183-$A207&lt;0,K$183-$A207&gt;35),0,K165*INDEX($E$17:$E$52,K$183-$A207+1)/100)</f>
        <v/>
      </c>
      <c r="L207" s="13">
        <f>IF(OR(L$183-$A207&lt;0,L$183-$A207&gt;35),0,L165*INDEX($E$17:$E$52,L$183-$A207+1)/100)</f>
        <v/>
      </c>
      <c r="M207" s="13">
        <f>IF(OR(M$183-$A207&lt;0,M$183-$A207&gt;35),0,M165*INDEX($E$17:$E$52,M$183-$A207+1)/100)</f>
        <v/>
      </c>
      <c r="N207" s="13">
        <f>IF(OR(N$183-$A207&lt;0,N$183-$A207&gt;35),0,N165*INDEX($E$17:$E$52,N$183-$A207+1)/100)</f>
        <v/>
      </c>
      <c r="O207" s="13">
        <f>IF(OR(O$183-$A207&lt;0,O$183-$A207&gt;35),0,O165*INDEX($E$17:$E$52,O$183-$A207+1)/100)</f>
        <v/>
      </c>
      <c r="P207" s="13">
        <f>IF(OR(P$183-$A207&lt;0,P$183-$A207&gt;35),0,P165*INDEX($E$17:$E$52,P$183-$A207+1)/100)</f>
        <v/>
      </c>
      <c r="Q207" s="13">
        <f>IF(OR(Q$183-$A207&lt;0,Q$183-$A207&gt;35),0,Q165*INDEX($E$17:$E$52,Q$183-$A207+1)/100)</f>
        <v/>
      </c>
      <c r="R207" s="13">
        <f>IF(OR(R$183-$A207&lt;0,R$183-$A207&gt;35),0,R165*INDEX($E$17:$E$52,R$183-$A207+1)/100)</f>
        <v/>
      </c>
    </row>
    <row r="208">
      <c r="A208" s="12">
        <f>A81</f>
        <v/>
      </c>
      <c r="B208" s="15">
        <f>B81</f>
        <v/>
      </c>
      <c r="D208" s="13">
        <f>IF(OR(D$183-$A208&lt;0,D$183-$A208&gt;35),0,D166*INDEX($E$17:$E$52,D$183-$A208+1)/100)</f>
        <v/>
      </c>
      <c r="E208" s="13">
        <f>IF(OR(E$183-$A208&lt;0,E$183-$A208&gt;35),0,E166*INDEX($E$17:$E$52,E$183-$A208+1)/100)</f>
        <v/>
      </c>
      <c r="F208" s="13">
        <f>IF(OR(F$183-$A208&lt;0,F$183-$A208&gt;35),0,F166*INDEX($E$17:$E$52,F$183-$A208+1)/100)</f>
        <v/>
      </c>
      <c r="G208" s="13">
        <f>IF(OR(G$183-$A208&lt;0,G$183-$A208&gt;35),0,G166*INDEX($E$17:$E$52,G$183-$A208+1)/100)</f>
        <v/>
      </c>
      <c r="H208" s="13">
        <f>IF(OR(H$183-$A208&lt;0,H$183-$A208&gt;35),0,H166*INDEX($E$17:$E$52,H$183-$A208+1)/100)</f>
        <v/>
      </c>
      <c r="I208" s="13">
        <f>IF(OR(I$183-$A208&lt;0,I$183-$A208&gt;35),0,I166*INDEX($E$17:$E$52,I$183-$A208+1)/100)</f>
        <v/>
      </c>
      <c r="J208" s="13">
        <f>IF(OR(J$183-$A208&lt;0,J$183-$A208&gt;35),0,J166*INDEX($E$17:$E$52,J$183-$A208+1)/100)</f>
        <v/>
      </c>
      <c r="K208" s="13">
        <f>IF(OR(K$183-$A208&lt;0,K$183-$A208&gt;35),0,K166*INDEX($E$17:$E$52,K$183-$A208+1)/100)</f>
        <v/>
      </c>
      <c r="L208" s="13">
        <f>IF(OR(L$183-$A208&lt;0,L$183-$A208&gt;35),0,L166*INDEX($E$17:$E$52,L$183-$A208+1)/100)</f>
        <v/>
      </c>
      <c r="M208" s="13">
        <f>IF(OR(M$183-$A208&lt;0,M$183-$A208&gt;35),0,M166*INDEX($E$17:$E$52,M$183-$A208+1)/100)</f>
        <v/>
      </c>
      <c r="N208" s="13">
        <f>IF(OR(N$183-$A208&lt;0,N$183-$A208&gt;35),0,N166*INDEX($E$17:$E$52,N$183-$A208+1)/100)</f>
        <v/>
      </c>
      <c r="O208" s="13">
        <f>IF(OR(O$183-$A208&lt;0,O$183-$A208&gt;35),0,O166*INDEX($E$17:$E$52,O$183-$A208+1)/100)</f>
        <v/>
      </c>
      <c r="P208" s="13">
        <f>IF(OR(P$183-$A208&lt;0,P$183-$A208&gt;35),0,P166*INDEX($E$17:$E$52,P$183-$A208+1)/100)</f>
        <v/>
      </c>
      <c r="Q208" s="13">
        <f>IF(OR(Q$183-$A208&lt;0,Q$183-$A208&gt;35),0,Q166*INDEX($E$17:$E$52,Q$183-$A208+1)/100)</f>
        <v/>
      </c>
      <c r="R208" s="13">
        <f>IF(OR(R$183-$A208&lt;0,R$183-$A208&gt;35),0,R166*INDEX($E$17:$E$52,R$183-$A208+1)/100)</f>
        <v/>
      </c>
    </row>
    <row r="209">
      <c r="A209" s="12">
        <f>A82</f>
        <v/>
      </c>
      <c r="B209" s="15">
        <f>B82</f>
        <v/>
      </c>
      <c r="D209" s="13">
        <f>IF(OR(D$183-$A209&lt;0,D$183-$A209&gt;35),0,D167*INDEX($E$17:$E$52,D$183-$A209+1)/100)</f>
        <v/>
      </c>
      <c r="E209" s="13">
        <f>IF(OR(E$183-$A209&lt;0,E$183-$A209&gt;35),0,E167*INDEX($E$17:$E$52,E$183-$A209+1)/100)</f>
        <v/>
      </c>
      <c r="F209" s="13">
        <f>IF(OR(F$183-$A209&lt;0,F$183-$A209&gt;35),0,F167*INDEX($E$17:$E$52,F$183-$A209+1)/100)</f>
        <v/>
      </c>
      <c r="G209" s="13">
        <f>IF(OR(G$183-$A209&lt;0,G$183-$A209&gt;35),0,G167*INDEX($E$17:$E$52,G$183-$A209+1)/100)</f>
        <v/>
      </c>
      <c r="H209" s="13">
        <f>IF(OR(H$183-$A209&lt;0,H$183-$A209&gt;35),0,H167*INDEX($E$17:$E$52,H$183-$A209+1)/100)</f>
        <v/>
      </c>
      <c r="I209" s="13">
        <f>IF(OR(I$183-$A209&lt;0,I$183-$A209&gt;35),0,I167*INDEX($E$17:$E$52,I$183-$A209+1)/100)</f>
        <v/>
      </c>
      <c r="J209" s="13">
        <f>IF(OR(J$183-$A209&lt;0,J$183-$A209&gt;35),0,J167*INDEX($E$17:$E$52,J$183-$A209+1)/100)</f>
        <v/>
      </c>
      <c r="K209" s="13">
        <f>IF(OR(K$183-$A209&lt;0,K$183-$A209&gt;35),0,K167*INDEX($E$17:$E$52,K$183-$A209+1)/100)</f>
        <v/>
      </c>
      <c r="L209" s="13">
        <f>IF(OR(L$183-$A209&lt;0,L$183-$A209&gt;35),0,L167*INDEX($E$17:$E$52,L$183-$A209+1)/100)</f>
        <v/>
      </c>
      <c r="M209" s="13">
        <f>IF(OR(M$183-$A209&lt;0,M$183-$A209&gt;35),0,M167*INDEX($E$17:$E$52,M$183-$A209+1)/100)</f>
        <v/>
      </c>
      <c r="N209" s="13">
        <f>IF(OR(N$183-$A209&lt;0,N$183-$A209&gt;35),0,N167*INDEX($E$17:$E$52,N$183-$A209+1)/100)</f>
        <v/>
      </c>
      <c r="O209" s="13">
        <f>IF(OR(O$183-$A209&lt;0,O$183-$A209&gt;35),0,O167*INDEX($E$17:$E$52,O$183-$A209+1)/100)</f>
        <v/>
      </c>
      <c r="P209" s="13">
        <f>IF(OR(P$183-$A209&lt;0,P$183-$A209&gt;35),0,P167*INDEX($E$17:$E$52,P$183-$A209+1)/100)</f>
        <v/>
      </c>
      <c r="Q209" s="13">
        <f>IF(OR(Q$183-$A209&lt;0,Q$183-$A209&gt;35),0,Q167*INDEX($E$17:$E$52,Q$183-$A209+1)/100)</f>
        <v/>
      </c>
      <c r="R209" s="13">
        <f>IF(OR(R$183-$A209&lt;0,R$183-$A209&gt;35),0,R167*INDEX($E$17:$E$52,R$183-$A209+1)/100)</f>
        <v/>
      </c>
    </row>
    <row r="210">
      <c r="A210" s="12">
        <f>A83</f>
        <v/>
      </c>
      <c r="B210" s="15">
        <f>B83</f>
        <v/>
      </c>
      <c r="D210" s="13">
        <f>IF(OR(D$183-$A210&lt;0,D$183-$A210&gt;35),0,D168*INDEX($E$17:$E$52,D$183-$A210+1)/100)</f>
        <v/>
      </c>
      <c r="E210" s="13">
        <f>IF(OR(E$183-$A210&lt;0,E$183-$A210&gt;35),0,E168*INDEX($E$17:$E$52,E$183-$A210+1)/100)</f>
        <v/>
      </c>
      <c r="F210" s="13">
        <f>IF(OR(F$183-$A210&lt;0,F$183-$A210&gt;35),0,F168*INDEX($E$17:$E$52,F$183-$A210+1)/100)</f>
        <v/>
      </c>
      <c r="G210" s="13">
        <f>IF(OR(G$183-$A210&lt;0,G$183-$A210&gt;35),0,G168*INDEX($E$17:$E$52,G$183-$A210+1)/100)</f>
        <v/>
      </c>
      <c r="H210" s="13">
        <f>IF(OR(H$183-$A210&lt;0,H$183-$A210&gt;35),0,H168*INDEX($E$17:$E$52,H$183-$A210+1)/100)</f>
        <v/>
      </c>
      <c r="I210" s="13">
        <f>IF(OR(I$183-$A210&lt;0,I$183-$A210&gt;35),0,I168*INDEX($E$17:$E$52,I$183-$A210+1)/100)</f>
        <v/>
      </c>
      <c r="J210" s="13">
        <f>IF(OR(J$183-$A210&lt;0,J$183-$A210&gt;35),0,J168*INDEX($E$17:$E$52,J$183-$A210+1)/100)</f>
        <v/>
      </c>
      <c r="K210" s="13">
        <f>IF(OR(K$183-$A210&lt;0,K$183-$A210&gt;35),0,K168*INDEX($E$17:$E$52,K$183-$A210+1)/100)</f>
        <v/>
      </c>
      <c r="L210" s="13">
        <f>IF(OR(L$183-$A210&lt;0,L$183-$A210&gt;35),0,L168*INDEX($E$17:$E$52,L$183-$A210+1)/100)</f>
        <v/>
      </c>
      <c r="M210" s="13">
        <f>IF(OR(M$183-$A210&lt;0,M$183-$A210&gt;35),0,M168*INDEX($E$17:$E$52,M$183-$A210+1)/100)</f>
        <v/>
      </c>
      <c r="N210" s="13">
        <f>IF(OR(N$183-$A210&lt;0,N$183-$A210&gt;35),0,N168*INDEX($E$17:$E$52,N$183-$A210+1)/100)</f>
        <v/>
      </c>
      <c r="O210" s="13">
        <f>IF(OR(O$183-$A210&lt;0,O$183-$A210&gt;35),0,O168*INDEX($E$17:$E$52,O$183-$A210+1)/100)</f>
        <v/>
      </c>
      <c r="P210" s="13">
        <f>IF(OR(P$183-$A210&lt;0,P$183-$A210&gt;35),0,P168*INDEX($E$17:$E$52,P$183-$A210+1)/100)</f>
        <v/>
      </c>
      <c r="Q210" s="13">
        <f>IF(OR(Q$183-$A210&lt;0,Q$183-$A210&gt;35),0,Q168*INDEX($E$17:$E$52,Q$183-$A210+1)/100)</f>
        <v/>
      </c>
      <c r="R210" s="13">
        <f>IF(OR(R$183-$A210&lt;0,R$183-$A210&gt;35),0,R168*INDEX($E$17:$E$52,R$183-$A210+1)/100)</f>
        <v/>
      </c>
    </row>
    <row r="211">
      <c r="A211" s="12">
        <f>A84</f>
        <v/>
      </c>
      <c r="B211" s="15">
        <f>B84</f>
        <v/>
      </c>
      <c r="D211" s="13">
        <f>IF(OR(D$183-$A211&lt;0,D$183-$A211&gt;35),0,D169*INDEX($E$17:$E$52,D$183-$A211+1)/100)</f>
        <v/>
      </c>
      <c r="E211" s="13">
        <f>IF(OR(E$183-$A211&lt;0,E$183-$A211&gt;35),0,E169*INDEX($E$17:$E$52,E$183-$A211+1)/100)</f>
        <v/>
      </c>
      <c r="F211" s="13">
        <f>IF(OR(F$183-$A211&lt;0,F$183-$A211&gt;35),0,F169*INDEX($E$17:$E$52,F$183-$A211+1)/100)</f>
        <v/>
      </c>
      <c r="G211" s="13">
        <f>IF(OR(G$183-$A211&lt;0,G$183-$A211&gt;35),0,G169*INDEX($E$17:$E$52,G$183-$A211+1)/100)</f>
        <v/>
      </c>
      <c r="H211" s="13">
        <f>IF(OR(H$183-$A211&lt;0,H$183-$A211&gt;35),0,H169*INDEX($E$17:$E$52,H$183-$A211+1)/100)</f>
        <v/>
      </c>
      <c r="I211" s="13">
        <f>IF(OR(I$183-$A211&lt;0,I$183-$A211&gt;35),0,I169*INDEX($E$17:$E$52,I$183-$A211+1)/100)</f>
        <v/>
      </c>
      <c r="J211" s="13">
        <f>IF(OR(J$183-$A211&lt;0,J$183-$A211&gt;35),0,J169*INDEX($E$17:$E$52,J$183-$A211+1)/100)</f>
        <v/>
      </c>
      <c r="K211" s="13">
        <f>IF(OR(K$183-$A211&lt;0,K$183-$A211&gt;35),0,K169*INDEX($E$17:$E$52,K$183-$A211+1)/100)</f>
        <v/>
      </c>
      <c r="L211" s="13">
        <f>IF(OR(L$183-$A211&lt;0,L$183-$A211&gt;35),0,L169*INDEX($E$17:$E$52,L$183-$A211+1)/100)</f>
        <v/>
      </c>
      <c r="M211" s="13">
        <f>IF(OR(M$183-$A211&lt;0,M$183-$A211&gt;35),0,M169*INDEX($E$17:$E$52,M$183-$A211+1)/100)</f>
        <v/>
      </c>
      <c r="N211" s="13">
        <f>IF(OR(N$183-$A211&lt;0,N$183-$A211&gt;35),0,N169*INDEX($E$17:$E$52,N$183-$A211+1)/100)</f>
        <v/>
      </c>
      <c r="O211" s="13">
        <f>IF(OR(O$183-$A211&lt;0,O$183-$A211&gt;35),0,O169*INDEX($E$17:$E$52,O$183-$A211+1)/100)</f>
        <v/>
      </c>
      <c r="P211" s="13">
        <f>IF(OR(P$183-$A211&lt;0,P$183-$A211&gt;35),0,P169*INDEX($E$17:$E$52,P$183-$A211+1)/100)</f>
        <v/>
      </c>
      <c r="Q211" s="13">
        <f>IF(OR(Q$183-$A211&lt;0,Q$183-$A211&gt;35),0,Q169*INDEX($E$17:$E$52,Q$183-$A211+1)/100)</f>
        <v/>
      </c>
      <c r="R211" s="13">
        <f>IF(OR(R$183-$A211&lt;0,R$183-$A211&gt;35),0,R169*INDEX($E$17:$E$52,R$183-$A211+1)/100)</f>
        <v/>
      </c>
    </row>
    <row r="212">
      <c r="A212" s="12">
        <f>A85</f>
        <v/>
      </c>
      <c r="B212" s="15">
        <f>B85</f>
        <v/>
      </c>
      <c r="D212" s="13">
        <f>IF(OR(D$183-$A212&lt;0,D$183-$A212&gt;35),0,D170*INDEX($E$17:$E$52,D$183-$A212+1)/100)</f>
        <v/>
      </c>
      <c r="E212" s="13">
        <f>IF(OR(E$183-$A212&lt;0,E$183-$A212&gt;35),0,E170*INDEX($E$17:$E$52,E$183-$A212+1)/100)</f>
        <v/>
      </c>
      <c r="F212" s="13">
        <f>IF(OR(F$183-$A212&lt;0,F$183-$A212&gt;35),0,F170*INDEX($E$17:$E$52,F$183-$A212+1)/100)</f>
        <v/>
      </c>
      <c r="G212" s="13">
        <f>IF(OR(G$183-$A212&lt;0,G$183-$A212&gt;35),0,G170*INDEX($E$17:$E$52,G$183-$A212+1)/100)</f>
        <v/>
      </c>
      <c r="H212" s="13">
        <f>IF(OR(H$183-$A212&lt;0,H$183-$A212&gt;35),0,H170*INDEX($E$17:$E$52,H$183-$A212+1)/100)</f>
        <v/>
      </c>
      <c r="I212" s="13">
        <f>IF(OR(I$183-$A212&lt;0,I$183-$A212&gt;35),0,I170*INDEX($E$17:$E$52,I$183-$A212+1)/100)</f>
        <v/>
      </c>
      <c r="J212" s="13">
        <f>IF(OR(J$183-$A212&lt;0,J$183-$A212&gt;35),0,J170*INDEX($E$17:$E$52,J$183-$A212+1)/100)</f>
        <v/>
      </c>
      <c r="K212" s="13">
        <f>IF(OR(K$183-$A212&lt;0,K$183-$A212&gt;35),0,K170*INDEX($E$17:$E$52,K$183-$A212+1)/100)</f>
        <v/>
      </c>
      <c r="L212" s="13">
        <f>IF(OR(L$183-$A212&lt;0,L$183-$A212&gt;35),0,L170*INDEX($E$17:$E$52,L$183-$A212+1)/100)</f>
        <v/>
      </c>
      <c r="M212" s="13">
        <f>IF(OR(M$183-$A212&lt;0,M$183-$A212&gt;35),0,M170*INDEX($E$17:$E$52,M$183-$A212+1)/100)</f>
        <v/>
      </c>
      <c r="N212" s="13">
        <f>IF(OR(N$183-$A212&lt;0,N$183-$A212&gt;35),0,N170*INDEX($E$17:$E$52,N$183-$A212+1)/100)</f>
        <v/>
      </c>
      <c r="O212" s="13">
        <f>IF(OR(O$183-$A212&lt;0,O$183-$A212&gt;35),0,O170*INDEX($E$17:$E$52,O$183-$A212+1)/100)</f>
        <v/>
      </c>
      <c r="P212" s="13">
        <f>IF(OR(P$183-$A212&lt;0,P$183-$A212&gt;35),0,P170*INDEX($E$17:$E$52,P$183-$A212+1)/100)</f>
        <v/>
      </c>
      <c r="Q212" s="13">
        <f>IF(OR(Q$183-$A212&lt;0,Q$183-$A212&gt;35),0,Q170*INDEX($E$17:$E$52,Q$183-$A212+1)/100)</f>
        <v/>
      </c>
      <c r="R212" s="13">
        <f>IF(OR(R$183-$A212&lt;0,R$183-$A212&gt;35),0,R170*INDEX($E$17:$E$52,R$183-$A212+1)/100)</f>
        <v/>
      </c>
    </row>
    <row r="213">
      <c r="A213" s="12">
        <f>A86</f>
        <v/>
      </c>
      <c r="B213" s="15">
        <f>B86</f>
        <v/>
      </c>
      <c r="D213" s="13">
        <f>IF(OR(D$183-$A213&lt;0,D$183-$A213&gt;35),0,D171*INDEX($E$17:$E$52,D$183-$A213+1)/100)</f>
        <v/>
      </c>
      <c r="E213" s="13">
        <f>IF(OR(E$183-$A213&lt;0,E$183-$A213&gt;35),0,E171*INDEX($E$17:$E$52,E$183-$A213+1)/100)</f>
        <v/>
      </c>
      <c r="F213" s="13">
        <f>IF(OR(F$183-$A213&lt;0,F$183-$A213&gt;35),0,F171*INDEX($E$17:$E$52,F$183-$A213+1)/100)</f>
        <v/>
      </c>
      <c r="G213" s="13">
        <f>IF(OR(G$183-$A213&lt;0,G$183-$A213&gt;35),0,G171*INDEX($E$17:$E$52,G$183-$A213+1)/100)</f>
        <v/>
      </c>
      <c r="H213" s="13">
        <f>IF(OR(H$183-$A213&lt;0,H$183-$A213&gt;35),0,H171*INDEX($E$17:$E$52,H$183-$A213+1)/100)</f>
        <v/>
      </c>
      <c r="I213" s="13">
        <f>IF(OR(I$183-$A213&lt;0,I$183-$A213&gt;35),0,I171*INDEX($E$17:$E$52,I$183-$A213+1)/100)</f>
        <v/>
      </c>
      <c r="J213" s="13">
        <f>IF(OR(J$183-$A213&lt;0,J$183-$A213&gt;35),0,J171*INDEX($E$17:$E$52,J$183-$A213+1)/100)</f>
        <v/>
      </c>
      <c r="K213" s="13">
        <f>IF(OR(K$183-$A213&lt;0,K$183-$A213&gt;35),0,K171*INDEX($E$17:$E$52,K$183-$A213+1)/100)</f>
        <v/>
      </c>
      <c r="L213" s="13">
        <f>IF(OR(L$183-$A213&lt;0,L$183-$A213&gt;35),0,L171*INDEX($E$17:$E$52,L$183-$A213+1)/100)</f>
        <v/>
      </c>
      <c r="M213" s="13">
        <f>IF(OR(M$183-$A213&lt;0,M$183-$A213&gt;35),0,M171*INDEX($E$17:$E$52,M$183-$A213+1)/100)</f>
        <v/>
      </c>
      <c r="N213" s="13">
        <f>IF(OR(N$183-$A213&lt;0,N$183-$A213&gt;35),0,N171*INDEX($E$17:$E$52,N$183-$A213+1)/100)</f>
        <v/>
      </c>
      <c r="O213" s="13">
        <f>IF(OR(O$183-$A213&lt;0,O$183-$A213&gt;35),0,O171*INDEX($E$17:$E$52,O$183-$A213+1)/100)</f>
        <v/>
      </c>
      <c r="P213" s="13">
        <f>IF(OR(P$183-$A213&lt;0,P$183-$A213&gt;35),0,P171*INDEX($E$17:$E$52,P$183-$A213+1)/100)</f>
        <v/>
      </c>
      <c r="Q213" s="13">
        <f>IF(OR(Q$183-$A213&lt;0,Q$183-$A213&gt;35),0,Q171*INDEX($E$17:$E$52,Q$183-$A213+1)/100)</f>
        <v/>
      </c>
      <c r="R213" s="13">
        <f>IF(OR(R$183-$A213&lt;0,R$183-$A213&gt;35),0,R171*INDEX($E$17:$E$52,R$183-$A213+1)/100)</f>
        <v/>
      </c>
    </row>
    <row r="214">
      <c r="A214" s="12">
        <f>A87</f>
        <v/>
      </c>
      <c r="B214" s="15">
        <f>B87</f>
        <v/>
      </c>
      <c r="D214" s="13">
        <f>IF(OR(D$183-$A214&lt;0,D$183-$A214&gt;35),0,D172*INDEX($E$17:$E$52,D$183-$A214+1)/100)</f>
        <v/>
      </c>
      <c r="E214" s="13">
        <f>IF(OR(E$183-$A214&lt;0,E$183-$A214&gt;35),0,E172*INDEX($E$17:$E$52,E$183-$A214+1)/100)</f>
        <v/>
      </c>
      <c r="F214" s="13">
        <f>IF(OR(F$183-$A214&lt;0,F$183-$A214&gt;35),0,F172*INDEX($E$17:$E$52,F$183-$A214+1)/100)</f>
        <v/>
      </c>
      <c r="G214" s="13">
        <f>IF(OR(G$183-$A214&lt;0,G$183-$A214&gt;35),0,G172*INDEX($E$17:$E$52,G$183-$A214+1)/100)</f>
        <v/>
      </c>
      <c r="H214" s="13">
        <f>IF(OR(H$183-$A214&lt;0,H$183-$A214&gt;35),0,H172*INDEX($E$17:$E$52,H$183-$A214+1)/100)</f>
        <v/>
      </c>
      <c r="I214" s="13">
        <f>IF(OR(I$183-$A214&lt;0,I$183-$A214&gt;35),0,I172*INDEX($E$17:$E$52,I$183-$A214+1)/100)</f>
        <v/>
      </c>
      <c r="J214" s="13">
        <f>IF(OR(J$183-$A214&lt;0,J$183-$A214&gt;35),0,J172*INDEX($E$17:$E$52,J$183-$A214+1)/100)</f>
        <v/>
      </c>
      <c r="K214" s="13">
        <f>IF(OR(K$183-$A214&lt;0,K$183-$A214&gt;35),0,K172*INDEX($E$17:$E$52,K$183-$A214+1)/100)</f>
        <v/>
      </c>
      <c r="L214" s="13">
        <f>IF(OR(L$183-$A214&lt;0,L$183-$A214&gt;35),0,L172*INDEX($E$17:$E$52,L$183-$A214+1)/100)</f>
        <v/>
      </c>
      <c r="M214" s="13">
        <f>IF(OR(M$183-$A214&lt;0,M$183-$A214&gt;35),0,M172*INDEX($E$17:$E$52,M$183-$A214+1)/100)</f>
        <v/>
      </c>
      <c r="N214" s="13">
        <f>IF(OR(N$183-$A214&lt;0,N$183-$A214&gt;35),0,N172*INDEX($E$17:$E$52,N$183-$A214+1)/100)</f>
        <v/>
      </c>
      <c r="O214" s="13">
        <f>IF(OR(O$183-$A214&lt;0,O$183-$A214&gt;35),0,O172*INDEX($E$17:$E$52,O$183-$A214+1)/100)</f>
        <v/>
      </c>
      <c r="P214" s="13">
        <f>IF(OR(P$183-$A214&lt;0,P$183-$A214&gt;35),0,P172*INDEX($E$17:$E$52,P$183-$A214+1)/100)</f>
        <v/>
      </c>
      <c r="Q214" s="13">
        <f>IF(OR(Q$183-$A214&lt;0,Q$183-$A214&gt;35),0,Q172*INDEX($E$17:$E$52,Q$183-$A214+1)/100)</f>
        <v/>
      </c>
      <c r="R214" s="13">
        <f>IF(OR(R$183-$A214&lt;0,R$183-$A214&gt;35),0,R172*INDEX($E$17:$E$52,R$183-$A214+1)/100)</f>
        <v/>
      </c>
    </row>
    <row r="215">
      <c r="A215" s="12">
        <f>A88</f>
        <v/>
      </c>
      <c r="B215" s="15">
        <f>B88</f>
        <v/>
      </c>
      <c r="D215" s="13">
        <f>IF(OR(D$183-$A215&lt;0,D$183-$A215&gt;35),0,D173*INDEX($E$17:$E$52,D$183-$A215+1)/100)</f>
        <v/>
      </c>
      <c r="E215" s="13">
        <f>IF(OR(E$183-$A215&lt;0,E$183-$A215&gt;35),0,E173*INDEX($E$17:$E$52,E$183-$A215+1)/100)</f>
        <v/>
      </c>
      <c r="F215" s="13">
        <f>IF(OR(F$183-$A215&lt;0,F$183-$A215&gt;35),0,F173*INDEX($E$17:$E$52,F$183-$A215+1)/100)</f>
        <v/>
      </c>
      <c r="G215" s="13">
        <f>IF(OR(G$183-$A215&lt;0,G$183-$A215&gt;35),0,G173*INDEX($E$17:$E$52,G$183-$A215+1)/100)</f>
        <v/>
      </c>
      <c r="H215" s="13">
        <f>IF(OR(H$183-$A215&lt;0,H$183-$A215&gt;35),0,H173*INDEX($E$17:$E$52,H$183-$A215+1)/100)</f>
        <v/>
      </c>
      <c r="I215" s="13">
        <f>IF(OR(I$183-$A215&lt;0,I$183-$A215&gt;35),0,I173*INDEX($E$17:$E$52,I$183-$A215+1)/100)</f>
        <v/>
      </c>
      <c r="J215" s="13">
        <f>IF(OR(J$183-$A215&lt;0,J$183-$A215&gt;35),0,J173*INDEX($E$17:$E$52,J$183-$A215+1)/100)</f>
        <v/>
      </c>
      <c r="K215" s="13">
        <f>IF(OR(K$183-$A215&lt;0,K$183-$A215&gt;35),0,K173*INDEX($E$17:$E$52,K$183-$A215+1)/100)</f>
        <v/>
      </c>
      <c r="L215" s="13">
        <f>IF(OR(L$183-$A215&lt;0,L$183-$A215&gt;35),0,L173*INDEX($E$17:$E$52,L$183-$A215+1)/100)</f>
        <v/>
      </c>
      <c r="M215" s="13">
        <f>IF(OR(M$183-$A215&lt;0,M$183-$A215&gt;35),0,M173*INDEX($E$17:$E$52,M$183-$A215+1)/100)</f>
        <v/>
      </c>
      <c r="N215" s="13">
        <f>IF(OR(N$183-$A215&lt;0,N$183-$A215&gt;35),0,N173*INDEX($E$17:$E$52,N$183-$A215+1)/100)</f>
        <v/>
      </c>
      <c r="O215" s="13">
        <f>IF(OR(O$183-$A215&lt;0,O$183-$A215&gt;35),0,O173*INDEX($E$17:$E$52,O$183-$A215+1)/100)</f>
        <v/>
      </c>
      <c r="P215" s="13">
        <f>IF(OR(P$183-$A215&lt;0,P$183-$A215&gt;35),0,P173*INDEX($E$17:$E$52,P$183-$A215+1)/100)</f>
        <v/>
      </c>
      <c r="Q215" s="13">
        <f>IF(OR(Q$183-$A215&lt;0,Q$183-$A215&gt;35),0,Q173*INDEX($E$17:$E$52,Q$183-$A215+1)/100)</f>
        <v/>
      </c>
      <c r="R215" s="13">
        <f>IF(OR(R$183-$A215&lt;0,R$183-$A215&gt;35),0,R173*INDEX($E$17:$E$52,R$183-$A215+1)/100)</f>
        <v/>
      </c>
    </row>
    <row r="216">
      <c r="A216" s="12">
        <f>A89</f>
        <v/>
      </c>
      <c r="B216" s="15">
        <f>B89</f>
        <v/>
      </c>
      <c r="D216" s="13">
        <f>IF(OR(D$183-$A216&lt;0,D$183-$A216&gt;35),0,D174*INDEX($E$17:$E$52,D$183-$A216+1)/100)</f>
        <v/>
      </c>
      <c r="E216" s="13">
        <f>IF(OR(E$183-$A216&lt;0,E$183-$A216&gt;35),0,E174*INDEX($E$17:$E$52,E$183-$A216+1)/100)</f>
        <v/>
      </c>
      <c r="F216" s="13">
        <f>IF(OR(F$183-$A216&lt;0,F$183-$A216&gt;35),0,F174*INDEX($E$17:$E$52,F$183-$A216+1)/100)</f>
        <v/>
      </c>
      <c r="G216" s="13">
        <f>IF(OR(G$183-$A216&lt;0,G$183-$A216&gt;35),0,G174*INDEX($E$17:$E$52,G$183-$A216+1)/100)</f>
        <v/>
      </c>
      <c r="H216" s="13">
        <f>IF(OR(H$183-$A216&lt;0,H$183-$A216&gt;35),0,H174*INDEX($E$17:$E$52,H$183-$A216+1)/100)</f>
        <v/>
      </c>
      <c r="I216" s="13">
        <f>IF(OR(I$183-$A216&lt;0,I$183-$A216&gt;35),0,I174*INDEX($E$17:$E$52,I$183-$A216+1)/100)</f>
        <v/>
      </c>
      <c r="J216" s="13">
        <f>IF(OR(J$183-$A216&lt;0,J$183-$A216&gt;35),0,J174*INDEX($E$17:$E$52,J$183-$A216+1)/100)</f>
        <v/>
      </c>
      <c r="K216" s="13">
        <f>IF(OR(K$183-$A216&lt;0,K$183-$A216&gt;35),0,K174*INDEX($E$17:$E$52,K$183-$A216+1)/100)</f>
        <v/>
      </c>
      <c r="L216" s="13">
        <f>IF(OR(L$183-$A216&lt;0,L$183-$A216&gt;35),0,L174*INDEX($E$17:$E$52,L$183-$A216+1)/100)</f>
        <v/>
      </c>
      <c r="M216" s="13">
        <f>IF(OR(M$183-$A216&lt;0,M$183-$A216&gt;35),0,M174*INDEX($E$17:$E$52,M$183-$A216+1)/100)</f>
        <v/>
      </c>
      <c r="N216" s="13">
        <f>IF(OR(N$183-$A216&lt;0,N$183-$A216&gt;35),0,N174*INDEX($E$17:$E$52,N$183-$A216+1)/100)</f>
        <v/>
      </c>
      <c r="O216" s="13">
        <f>IF(OR(O$183-$A216&lt;0,O$183-$A216&gt;35),0,O174*INDEX($E$17:$E$52,O$183-$A216+1)/100)</f>
        <v/>
      </c>
      <c r="P216" s="13">
        <f>IF(OR(P$183-$A216&lt;0,P$183-$A216&gt;35),0,P174*INDEX($E$17:$E$52,P$183-$A216+1)/100)</f>
        <v/>
      </c>
      <c r="Q216" s="13">
        <f>IF(OR(Q$183-$A216&lt;0,Q$183-$A216&gt;35),0,Q174*INDEX($E$17:$E$52,Q$183-$A216+1)/100)</f>
        <v/>
      </c>
      <c r="R216" s="13">
        <f>IF(OR(R$183-$A216&lt;0,R$183-$A216&gt;35),0,R174*INDEX($E$17:$E$52,R$183-$A216+1)/100)</f>
        <v/>
      </c>
    </row>
    <row r="217">
      <c r="A217" s="12">
        <f>A90</f>
        <v/>
      </c>
      <c r="B217" s="15">
        <f>B90</f>
        <v/>
      </c>
      <c r="D217" s="13">
        <f>IF(OR(D$183-$A217&lt;0,D$183-$A217&gt;35),0,D175*INDEX($E$17:$E$52,D$183-$A217+1)/100)</f>
        <v/>
      </c>
      <c r="E217" s="13">
        <f>IF(OR(E$183-$A217&lt;0,E$183-$A217&gt;35),0,E175*INDEX($E$17:$E$52,E$183-$A217+1)/100)</f>
        <v/>
      </c>
      <c r="F217" s="13">
        <f>IF(OR(F$183-$A217&lt;0,F$183-$A217&gt;35),0,F175*INDEX($E$17:$E$52,F$183-$A217+1)/100)</f>
        <v/>
      </c>
      <c r="G217" s="13">
        <f>IF(OR(G$183-$A217&lt;0,G$183-$A217&gt;35),0,G175*INDEX($E$17:$E$52,G$183-$A217+1)/100)</f>
        <v/>
      </c>
      <c r="H217" s="13">
        <f>IF(OR(H$183-$A217&lt;0,H$183-$A217&gt;35),0,H175*INDEX($E$17:$E$52,H$183-$A217+1)/100)</f>
        <v/>
      </c>
      <c r="I217" s="13">
        <f>IF(OR(I$183-$A217&lt;0,I$183-$A217&gt;35),0,I175*INDEX($E$17:$E$52,I$183-$A217+1)/100)</f>
        <v/>
      </c>
      <c r="J217" s="13">
        <f>IF(OR(J$183-$A217&lt;0,J$183-$A217&gt;35),0,J175*INDEX($E$17:$E$52,J$183-$A217+1)/100)</f>
        <v/>
      </c>
      <c r="K217" s="13">
        <f>IF(OR(K$183-$A217&lt;0,K$183-$A217&gt;35),0,K175*INDEX($E$17:$E$52,K$183-$A217+1)/100)</f>
        <v/>
      </c>
      <c r="L217" s="13">
        <f>IF(OR(L$183-$A217&lt;0,L$183-$A217&gt;35),0,L175*INDEX($E$17:$E$52,L$183-$A217+1)/100)</f>
        <v/>
      </c>
      <c r="M217" s="13">
        <f>IF(OR(M$183-$A217&lt;0,M$183-$A217&gt;35),0,M175*INDEX($E$17:$E$52,M$183-$A217+1)/100)</f>
        <v/>
      </c>
      <c r="N217" s="13">
        <f>IF(OR(N$183-$A217&lt;0,N$183-$A217&gt;35),0,N175*INDEX($E$17:$E$52,N$183-$A217+1)/100)</f>
        <v/>
      </c>
      <c r="O217" s="13">
        <f>IF(OR(O$183-$A217&lt;0,O$183-$A217&gt;35),0,O175*INDEX($E$17:$E$52,O$183-$A217+1)/100)</f>
        <v/>
      </c>
      <c r="P217" s="13">
        <f>IF(OR(P$183-$A217&lt;0,P$183-$A217&gt;35),0,P175*INDEX($E$17:$E$52,P$183-$A217+1)/100)</f>
        <v/>
      </c>
      <c r="Q217" s="13">
        <f>IF(OR(Q$183-$A217&lt;0,Q$183-$A217&gt;35),0,Q175*INDEX($E$17:$E$52,Q$183-$A217+1)/100)</f>
        <v/>
      </c>
      <c r="R217" s="13">
        <f>IF(OR(R$183-$A217&lt;0,R$183-$A217&gt;35),0,R175*INDEX($E$17:$E$52,R$183-$A217+1)/100)</f>
        <v/>
      </c>
    </row>
    <row r="218">
      <c r="A218" s="12">
        <f>A91</f>
        <v/>
      </c>
      <c r="B218" s="15">
        <f>B91</f>
        <v/>
      </c>
      <c r="D218" s="13">
        <f>IF(OR(D$183-$A218&lt;0,D$183-$A218&gt;35),0,D176*INDEX($E$17:$E$52,D$183-$A218+1)/100)</f>
        <v/>
      </c>
      <c r="E218" s="13">
        <f>IF(OR(E$183-$A218&lt;0,E$183-$A218&gt;35),0,E176*INDEX($E$17:$E$52,E$183-$A218+1)/100)</f>
        <v/>
      </c>
      <c r="F218" s="13">
        <f>IF(OR(F$183-$A218&lt;0,F$183-$A218&gt;35),0,F176*INDEX($E$17:$E$52,F$183-$A218+1)/100)</f>
        <v/>
      </c>
      <c r="G218" s="13">
        <f>IF(OR(G$183-$A218&lt;0,G$183-$A218&gt;35),0,G176*INDEX($E$17:$E$52,G$183-$A218+1)/100)</f>
        <v/>
      </c>
      <c r="H218" s="13">
        <f>IF(OR(H$183-$A218&lt;0,H$183-$A218&gt;35),0,H176*INDEX($E$17:$E$52,H$183-$A218+1)/100)</f>
        <v/>
      </c>
      <c r="I218" s="13">
        <f>IF(OR(I$183-$A218&lt;0,I$183-$A218&gt;35),0,I176*INDEX($E$17:$E$52,I$183-$A218+1)/100)</f>
        <v/>
      </c>
      <c r="J218" s="13">
        <f>IF(OR(J$183-$A218&lt;0,J$183-$A218&gt;35),0,J176*INDEX($E$17:$E$52,J$183-$A218+1)/100)</f>
        <v/>
      </c>
      <c r="K218" s="13">
        <f>IF(OR(K$183-$A218&lt;0,K$183-$A218&gt;35),0,K176*INDEX($E$17:$E$52,K$183-$A218+1)/100)</f>
        <v/>
      </c>
      <c r="L218" s="13">
        <f>IF(OR(L$183-$A218&lt;0,L$183-$A218&gt;35),0,L176*INDEX($E$17:$E$52,L$183-$A218+1)/100)</f>
        <v/>
      </c>
      <c r="M218" s="13">
        <f>IF(OR(M$183-$A218&lt;0,M$183-$A218&gt;35),0,M176*INDEX($E$17:$E$52,M$183-$A218+1)/100)</f>
        <v/>
      </c>
      <c r="N218" s="13">
        <f>IF(OR(N$183-$A218&lt;0,N$183-$A218&gt;35),0,N176*INDEX($E$17:$E$52,N$183-$A218+1)/100)</f>
        <v/>
      </c>
      <c r="O218" s="13">
        <f>IF(OR(O$183-$A218&lt;0,O$183-$A218&gt;35),0,O176*INDEX($E$17:$E$52,O$183-$A218+1)/100)</f>
        <v/>
      </c>
      <c r="P218" s="13">
        <f>IF(OR(P$183-$A218&lt;0,P$183-$A218&gt;35),0,P176*INDEX($E$17:$E$52,P$183-$A218+1)/100)</f>
        <v/>
      </c>
      <c r="Q218" s="13">
        <f>IF(OR(Q$183-$A218&lt;0,Q$183-$A218&gt;35),0,Q176*INDEX($E$17:$E$52,Q$183-$A218+1)/100)</f>
        <v/>
      </c>
      <c r="R218" s="13">
        <f>IF(OR(R$183-$A218&lt;0,R$183-$A218&gt;35),0,R176*INDEX($E$17:$E$52,R$183-$A218+1)/100)</f>
        <v/>
      </c>
    </row>
    <row r="219">
      <c r="A219" s="12">
        <f>A92</f>
        <v/>
      </c>
      <c r="B219" s="15">
        <f>B92</f>
        <v/>
      </c>
      <c r="D219" s="13">
        <f>IF(OR(D$183-$A219&lt;0,D$183-$A219&gt;35),0,D177*INDEX($E$17:$E$52,D$183-$A219+1)/100)</f>
        <v/>
      </c>
      <c r="E219" s="13">
        <f>IF(OR(E$183-$A219&lt;0,E$183-$A219&gt;35),0,E177*INDEX($E$17:$E$52,E$183-$A219+1)/100)</f>
        <v/>
      </c>
      <c r="F219" s="13">
        <f>IF(OR(F$183-$A219&lt;0,F$183-$A219&gt;35),0,F177*INDEX($E$17:$E$52,F$183-$A219+1)/100)</f>
        <v/>
      </c>
      <c r="G219" s="13">
        <f>IF(OR(G$183-$A219&lt;0,G$183-$A219&gt;35),0,G177*INDEX($E$17:$E$52,G$183-$A219+1)/100)</f>
        <v/>
      </c>
      <c r="H219" s="13">
        <f>IF(OR(H$183-$A219&lt;0,H$183-$A219&gt;35),0,H177*INDEX($E$17:$E$52,H$183-$A219+1)/100)</f>
        <v/>
      </c>
      <c r="I219" s="13">
        <f>IF(OR(I$183-$A219&lt;0,I$183-$A219&gt;35),0,I177*INDEX($E$17:$E$52,I$183-$A219+1)/100)</f>
        <v/>
      </c>
      <c r="J219" s="13">
        <f>IF(OR(J$183-$A219&lt;0,J$183-$A219&gt;35),0,J177*INDEX($E$17:$E$52,J$183-$A219+1)/100)</f>
        <v/>
      </c>
      <c r="K219" s="13">
        <f>IF(OR(K$183-$A219&lt;0,K$183-$A219&gt;35),0,K177*INDEX($E$17:$E$52,K$183-$A219+1)/100)</f>
        <v/>
      </c>
      <c r="L219" s="13">
        <f>IF(OR(L$183-$A219&lt;0,L$183-$A219&gt;35),0,L177*INDEX($E$17:$E$52,L$183-$A219+1)/100)</f>
        <v/>
      </c>
      <c r="M219" s="13">
        <f>IF(OR(M$183-$A219&lt;0,M$183-$A219&gt;35),0,M177*INDEX($E$17:$E$52,M$183-$A219+1)/100)</f>
        <v/>
      </c>
      <c r="N219" s="13">
        <f>IF(OR(N$183-$A219&lt;0,N$183-$A219&gt;35),0,N177*INDEX($E$17:$E$52,N$183-$A219+1)/100)</f>
        <v/>
      </c>
      <c r="O219" s="13">
        <f>IF(OR(O$183-$A219&lt;0,O$183-$A219&gt;35),0,O177*INDEX($E$17:$E$52,O$183-$A219+1)/100)</f>
        <v/>
      </c>
      <c r="P219" s="13">
        <f>IF(OR(P$183-$A219&lt;0,P$183-$A219&gt;35),0,P177*INDEX($E$17:$E$52,P$183-$A219+1)/100)</f>
        <v/>
      </c>
      <c r="Q219" s="13">
        <f>IF(OR(Q$183-$A219&lt;0,Q$183-$A219&gt;35),0,Q177*INDEX($E$17:$E$52,Q$183-$A219+1)/100)</f>
        <v/>
      </c>
      <c r="R219" s="13">
        <f>IF(OR(R$183-$A219&lt;0,R$183-$A219&gt;35),0,R177*INDEX($E$17:$E$52,R$183-$A219+1)/100)</f>
        <v/>
      </c>
    </row>
    <row r="220">
      <c r="A220" s="12">
        <f>A93</f>
        <v/>
      </c>
      <c r="B220" s="15">
        <f>B93</f>
        <v/>
      </c>
      <c r="D220" s="13">
        <f>IF(OR(D$183-$A220&lt;0,D$183-$A220&gt;35),0,D178*INDEX($E$17:$E$52,D$183-$A220+1)/100)</f>
        <v/>
      </c>
      <c r="E220" s="13">
        <f>IF(OR(E$183-$A220&lt;0,E$183-$A220&gt;35),0,E178*INDEX($E$17:$E$52,E$183-$A220+1)/100)</f>
        <v/>
      </c>
      <c r="F220" s="13">
        <f>IF(OR(F$183-$A220&lt;0,F$183-$A220&gt;35),0,F178*INDEX($E$17:$E$52,F$183-$A220+1)/100)</f>
        <v/>
      </c>
      <c r="G220" s="13">
        <f>IF(OR(G$183-$A220&lt;0,G$183-$A220&gt;35),0,G178*INDEX($E$17:$E$52,G$183-$A220+1)/100)</f>
        <v/>
      </c>
      <c r="H220" s="13">
        <f>IF(OR(H$183-$A220&lt;0,H$183-$A220&gt;35),0,H178*INDEX($E$17:$E$52,H$183-$A220+1)/100)</f>
        <v/>
      </c>
      <c r="I220" s="13">
        <f>IF(OR(I$183-$A220&lt;0,I$183-$A220&gt;35),0,I178*INDEX($E$17:$E$52,I$183-$A220+1)/100)</f>
        <v/>
      </c>
      <c r="J220" s="13">
        <f>IF(OR(J$183-$A220&lt;0,J$183-$A220&gt;35),0,J178*INDEX($E$17:$E$52,J$183-$A220+1)/100)</f>
        <v/>
      </c>
      <c r="K220" s="13">
        <f>IF(OR(K$183-$A220&lt;0,K$183-$A220&gt;35),0,K178*INDEX($E$17:$E$52,K$183-$A220+1)/100)</f>
        <v/>
      </c>
      <c r="L220" s="13">
        <f>IF(OR(L$183-$A220&lt;0,L$183-$A220&gt;35),0,L178*INDEX($E$17:$E$52,L$183-$A220+1)/100)</f>
        <v/>
      </c>
      <c r="M220" s="13">
        <f>IF(OR(M$183-$A220&lt;0,M$183-$A220&gt;35),0,M178*INDEX($E$17:$E$52,M$183-$A220+1)/100)</f>
        <v/>
      </c>
      <c r="N220" s="13">
        <f>IF(OR(N$183-$A220&lt;0,N$183-$A220&gt;35),0,N178*INDEX($E$17:$E$52,N$183-$A220+1)/100)</f>
        <v/>
      </c>
      <c r="O220" s="13">
        <f>IF(OR(O$183-$A220&lt;0,O$183-$A220&gt;35),0,O178*INDEX($E$17:$E$52,O$183-$A220+1)/100)</f>
        <v/>
      </c>
      <c r="P220" s="13">
        <f>IF(OR(P$183-$A220&lt;0,P$183-$A220&gt;35),0,P178*INDEX($E$17:$E$52,P$183-$A220+1)/100)</f>
        <v/>
      </c>
      <c r="Q220" s="13">
        <f>IF(OR(Q$183-$A220&lt;0,Q$183-$A220&gt;35),0,Q178*INDEX($E$17:$E$52,Q$183-$A220+1)/100)</f>
        <v/>
      </c>
      <c r="R220" s="13">
        <f>IF(OR(R$183-$A220&lt;0,R$183-$A220&gt;35),0,R178*INDEX($E$17:$E$52,R$183-$A220+1)/100)</f>
        <v/>
      </c>
    </row>
    <row r="221">
      <c r="A221" s="12">
        <f>A94</f>
        <v/>
      </c>
      <c r="B221" s="15">
        <f>B94</f>
        <v/>
      </c>
      <c r="D221" s="13">
        <f>IF(OR(D$183-$A221&lt;0,D$183-$A221&gt;35),0,D179*INDEX($E$17:$E$52,D$183-$A221+1)/100)</f>
        <v/>
      </c>
      <c r="E221" s="13">
        <f>IF(OR(E$183-$A221&lt;0,E$183-$A221&gt;35),0,E179*INDEX($E$17:$E$52,E$183-$A221+1)/100)</f>
        <v/>
      </c>
      <c r="F221" s="13">
        <f>IF(OR(F$183-$A221&lt;0,F$183-$A221&gt;35),0,F179*INDEX($E$17:$E$52,F$183-$A221+1)/100)</f>
        <v/>
      </c>
      <c r="G221" s="13">
        <f>IF(OR(G$183-$A221&lt;0,G$183-$A221&gt;35),0,G179*INDEX($E$17:$E$52,G$183-$A221+1)/100)</f>
        <v/>
      </c>
      <c r="H221" s="13">
        <f>IF(OR(H$183-$A221&lt;0,H$183-$A221&gt;35),0,H179*INDEX($E$17:$E$52,H$183-$A221+1)/100)</f>
        <v/>
      </c>
      <c r="I221" s="13">
        <f>IF(OR(I$183-$A221&lt;0,I$183-$A221&gt;35),0,I179*INDEX($E$17:$E$52,I$183-$A221+1)/100)</f>
        <v/>
      </c>
      <c r="J221" s="13">
        <f>IF(OR(J$183-$A221&lt;0,J$183-$A221&gt;35),0,J179*INDEX($E$17:$E$52,J$183-$A221+1)/100)</f>
        <v/>
      </c>
      <c r="K221" s="13">
        <f>IF(OR(K$183-$A221&lt;0,K$183-$A221&gt;35),0,K179*INDEX($E$17:$E$52,K$183-$A221+1)/100)</f>
        <v/>
      </c>
      <c r="L221" s="13">
        <f>IF(OR(L$183-$A221&lt;0,L$183-$A221&gt;35),0,L179*INDEX($E$17:$E$52,L$183-$A221+1)/100)</f>
        <v/>
      </c>
      <c r="M221" s="13">
        <f>IF(OR(M$183-$A221&lt;0,M$183-$A221&gt;35),0,M179*INDEX($E$17:$E$52,M$183-$A221+1)/100)</f>
        <v/>
      </c>
      <c r="N221" s="13">
        <f>IF(OR(N$183-$A221&lt;0,N$183-$A221&gt;35),0,N179*INDEX($E$17:$E$52,N$183-$A221+1)/100)</f>
        <v/>
      </c>
      <c r="O221" s="13">
        <f>IF(OR(O$183-$A221&lt;0,O$183-$A221&gt;35),0,O179*INDEX($E$17:$E$52,O$183-$A221+1)/100)</f>
        <v/>
      </c>
      <c r="P221" s="13">
        <f>IF(OR(P$183-$A221&lt;0,P$183-$A221&gt;35),0,P179*INDEX($E$17:$E$52,P$183-$A221+1)/100)</f>
        <v/>
      </c>
      <c r="Q221" s="13">
        <f>IF(OR(Q$183-$A221&lt;0,Q$183-$A221&gt;35),0,Q179*INDEX($E$17:$E$52,Q$183-$A221+1)/100)</f>
        <v/>
      </c>
      <c r="R221" s="13">
        <f>IF(OR(R$183-$A221&lt;0,R$183-$A221&gt;35),0,R179*INDEX($E$17:$E$52,R$183-$A221+1)/100)</f>
        <v/>
      </c>
    </row>
    <row r="224">
      <c r="A224" s="3" t="inlineStr">
        <is>
          <t>OUTPUT  (the cells other tabs reference)</t>
        </is>
      </c>
    </row>
    <row r="225">
      <c r="A225" s="11" t="inlineStr">
        <is>
          <t>Calendar year</t>
        </is>
      </c>
      <c r="D225" s="17" t="n">
        <v>2018</v>
      </c>
      <c r="E225" s="17" t="n">
        <v>2019</v>
      </c>
      <c r="F225" s="17" t="n">
        <v>2020</v>
      </c>
      <c r="G225" s="17" t="n">
        <v>2021</v>
      </c>
      <c r="H225" s="17" t="n">
        <v>2022</v>
      </c>
      <c r="I225" s="17" t="n">
        <v>2023</v>
      </c>
      <c r="J225" s="17" t="n">
        <v>2024</v>
      </c>
      <c r="K225" s="17" t="n">
        <v>2025</v>
      </c>
      <c r="L225" s="17" t="n">
        <v>2026</v>
      </c>
      <c r="M225" s="17" t="n">
        <v>2027</v>
      </c>
      <c r="N225" s="17" t="n">
        <v>2028</v>
      </c>
      <c r="O225" s="17" t="n">
        <v>2029</v>
      </c>
      <c r="P225" s="17" t="n">
        <v>2030</v>
      </c>
      <c r="Q225" s="17" t="n">
        <v>2031</v>
      </c>
      <c r="R225" s="17" t="n">
        <v>2032</v>
      </c>
    </row>
    <row r="226">
      <c r="A226" s="4" t="inlineStr">
        <is>
          <t>Fleet on road (M)</t>
        </is>
      </c>
      <c r="D226" s="18">
        <f>SUM(D100:D137)</f>
        <v/>
      </c>
      <c r="E226" s="18">
        <f>SUM(E100:E137)</f>
        <v/>
      </c>
      <c r="F226" s="18">
        <f>SUM(F100:F137)</f>
        <v/>
      </c>
      <c r="G226" s="18">
        <f>SUM(G100:G137)</f>
        <v/>
      </c>
      <c r="H226" s="18">
        <f>SUM(H100:H137)</f>
        <v/>
      </c>
      <c r="I226" s="18">
        <f>SUM(I100:I137)</f>
        <v/>
      </c>
      <c r="J226" s="18">
        <f>SUM(J100:J137)</f>
        <v/>
      </c>
      <c r="K226" s="18">
        <f>SUM(K100:K137)</f>
        <v/>
      </c>
      <c r="L226" s="18">
        <f>SUM(L100:L137)</f>
        <v/>
      </c>
      <c r="M226" s="18">
        <f>SUM(M100:M137)</f>
        <v/>
      </c>
      <c r="N226" s="18">
        <f>SUM(N100:N137)</f>
        <v/>
      </c>
      <c r="O226" s="18">
        <f>SUM(O100:O137)</f>
        <v/>
      </c>
      <c r="P226" s="18">
        <f>SUM(P100:P137)</f>
        <v/>
      </c>
      <c r="Q226" s="18">
        <f>SUM(Q100:Q137)</f>
        <v/>
      </c>
      <c r="R226" s="18">
        <f>SUM(R100:R137)</f>
        <v/>
      </c>
    </row>
    <row r="227">
      <c r="A227" s="4" t="inlineStr">
        <is>
          <t>Insured-claim weight (M)</t>
        </is>
      </c>
      <c r="D227" s="18">
        <f>SUM(D142:D179)</f>
        <v/>
      </c>
      <c r="E227" s="18">
        <f>SUM(E142:E179)</f>
        <v/>
      </c>
      <c r="F227" s="18">
        <f>SUM(F142:F179)</f>
        <v/>
      </c>
      <c r="G227" s="18">
        <f>SUM(G142:G179)</f>
        <v/>
      </c>
      <c r="H227" s="18">
        <f>SUM(H142:H179)</f>
        <v/>
      </c>
      <c r="I227" s="18">
        <f>SUM(I142:I179)</f>
        <v/>
      </c>
      <c r="J227" s="18">
        <f>SUM(J142:J179)</f>
        <v/>
      </c>
      <c r="K227" s="18">
        <f>SUM(K142:K179)</f>
        <v/>
      </c>
      <c r="L227" s="18">
        <f>SUM(L142:L179)</f>
        <v/>
      </c>
      <c r="M227" s="18">
        <f>SUM(M142:M179)</f>
        <v/>
      </c>
      <c r="N227" s="18">
        <f>SUM(N142:N179)</f>
        <v/>
      </c>
      <c r="O227" s="18">
        <f>SUM(O142:O179)</f>
        <v/>
      </c>
      <c r="P227" s="18">
        <f>SUM(P142:P179)</f>
        <v/>
      </c>
      <c r="Q227" s="18">
        <f>SUM(Q142:Q179)</f>
        <v/>
      </c>
      <c r="R227" s="18">
        <f>SUM(R142:R179)</f>
        <v/>
      </c>
    </row>
    <row r="228">
      <c r="A228" s="4" t="inlineStr">
        <is>
          <t>Total-loss weight (M)</t>
        </is>
      </c>
      <c r="D228" s="15">
        <f>SUM(D184:D221)</f>
        <v/>
      </c>
      <c r="E228" s="15">
        <f>SUM(E184:E221)</f>
        <v/>
      </c>
      <c r="F228" s="15">
        <f>SUM(F184:F221)</f>
        <v/>
      </c>
      <c r="G228" s="15">
        <f>SUM(G184:G221)</f>
        <v/>
      </c>
      <c r="H228" s="15">
        <f>SUM(H184:H221)</f>
        <v/>
      </c>
      <c r="I228" s="15">
        <f>SUM(I184:I221)</f>
        <v/>
      </c>
      <c r="J228" s="15">
        <f>SUM(J184:J221)</f>
        <v/>
      </c>
      <c r="K228" s="15">
        <f>SUM(K184:K221)</f>
        <v/>
      </c>
      <c r="L228" s="15">
        <f>SUM(L184:L221)</f>
        <v/>
      </c>
      <c r="M228" s="15">
        <f>SUM(M184:M221)</f>
        <v/>
      </c>
      <c r="N228" s="15">
        <f>SUM(N184:N221)</f>
        <v/>
      </c>
      <c r="O228" s="15">
        <f>SUM(O184:O221)</f>
        <v/>
      </c>
      <c r="P228" s="15">
        <f>SUM(P184:P221)</f>
        <v/>
      </c>
      <c r="Q228" s="15">
        <f>SUM(Q184:Q221)</f>
        <v/>
      </c>
      <c r="R228" s="15">
        <f>SUM(R184:R221)</f>
        <v/>
      </c>
    </row>
    <row r="229">
      <c r="A229" s="19" t="inlineStr">
        <is>
          <t>BASELINE TLF — demographics only (%)</t>
        </is>
      </c>
      <c r="D229" s="20">
        <f>IF(D227=0,0,D228/D227*100)</f>
        <v/>
      </c>
      <c r="E229" s="20">
        <f>IF(E227=0,0,E228/E227*100)</f>
        <v/>
      </c>
      <c r="F229" s="20">
        <f>IF(F227=0,0,F228/F227*100)</f>
        <v/>
      </c>
      <c r="G229" s="20">
        <f>IF(G227=0,0,G228/G227*100)</f>
        <v/>
      </c>
      <c r="H229" s="20">
        <f>IF(H227=0,0,H228/H227*100)</f>
        <v/>
      </c>
      <c r="I229" s="20">
        <f>IF(I227=0,0,I228/I227*100)</f>
        <v/>
      </c>
      <c r="J229" s="20">
        <f>IF(J227=0,0,J228/J227*100)</f>
        <v/>
      </c>
      <c r="K229" s="20">
        <f>IF(K227=0,0,K228/K227*100)</f>
        <v/>
      </c>
      <c r="L229" s="20">
        <f>IF(L227=0,0,L228/L227*100)</f>
        <v/>
      </c>
      <c r="M229" s="20">
        <f>IF(M227=0,0,M228/M227*100)</f>
        <v/>
      </c>
      <c r="N229" s="20">
        <f>IF(N227=0,0,N228/N227*100)</f>
        <v/>
      </c>
      <c r="O229" s="20">
        <f>IF(O227=0,0,O228/O227*100)</f>
        <v/>
      </c>
      <c r="P229" s="20">
        <f>IF(P227=0,0,P228/P227*100)</f>
        <v/>
      </c>
      <c r="Q229" s="20">
        <f>IF(Q227=0,0,Q228/Q227*100)</f>
        <v/>
      </c>
      <c r="R229" s="20">
        <f>IF(R227=0,0,R228/R227*100)</f>
        <v/>
      </c>
    </row>
    <row r="230">
      <c r="A230" s="4" t="inlineStr">
        <is>
          <t>Δ baseline TLF YoY (pp)</t>
        </is>
      </c>
      <c r="D230" s="21" t="n"/>
      <c r="E230" s="21">
        <f>E229-D229</f>
        <v/>
      </c>
      <c r="F230" s="21">
        <f>F229-E229</f>
        <v/>
      </c>
      <c r="G230" s="21">
        <f>G229-F229</f>
        <v/>
      </c>
      <c r="H230" s="21">
        <f>H229-G229</f>
        <v/>
      </c>
      <c r="I230" s="21">
        <f>I229-H229</f>
        <v/>
      </c>
      <c r="J230" s="21">
        <f>J229-I229</f>
        <v/>
      </c>
      <c r="K230" s="21">
        <f>K229-J229</f>
        <v/>
      </c>
      <c r="L230" s="21">
        <f>L229-K229</f>
        <v/>
      </c>
      <c r="M230" s="21">
        <f>M229-L229</f>
        <v/>
      </c>
      <c r="N230" s="21">
        <f>N229-M229</f>
        <v/>
      </c>
      <c r="O230" s="21">
        <f>O229-N229</f>
        <v/>
      </c>
      <c r="P230" s="21">
        <f>P229-O229</f>
        <v/>
      </c>
      <c r="Q230" s="21">
        <f>Q229-P229</f>
        <v/>
      </c>
      <c r="R230" s="21">
        <f>R229-Q229</f>
        <v/>
      </c>
    </row>
    <row r="231">
      <c r="A231" s="4" t="inlineStr">
        <is>
          <t>Avg fleet age (yrs)</t>
        </is>
      </c>
      <c r="D231" s="15">
        <f>SUMPRODUCT((D$225-$A$100:$A$137)*D100:D137)/D226</f>
        <v/>
      </c>
      <c r="E231" s="15">
        <f>SUMPRODUCT((E$225-$A$100:$A$137)*E100:E137)/E226</f>
        <v/>
      </c>
      <c r="F231" s="15">
        <f>SUMPRODUCT((F$225-$A$100:$A$137)*F100:F137)/F226</f>
        <v/>
      </c>
      <c r="G231" s="15">
        <f>SUMPRODUCT((G$225-$A$100:$A$137)*G100:G137)/G226</f>
        <v/>
      </c>
      <c r="H231" s="15">
        <f>SUMPRODUCT((H$225-$A$100:$A$137)*H100:H137)/H226</f>
        <v/>
      </c>
      <c r="I231" s="15">
        <f>SUMPRODUCT((I$225-$A$100:$A$137)*I100:I137)/I226</f>
        <v/>
      </c>
      <c r="J231" s="15">
        <f>SUMPRODUCT((J$225-$A$100:$A$137)*J100:J137)/J226</f>
        <v/>
      </c>
      <c r="K231" s="15">
        <f>SUMPRODUCT((K$225-$A$100:$A$137)*K100:K137)/K226</f>
        <v/>
      </c>
      <c r="L231" s="15">
        <f>SUMPRODUCT((L$225-$A$100:$A$137)*L100:L137)/L226</f>
        <v/>
      </c>
      <c r="M231" s="15">
        <f>SUMPRODUCT((M$225-$A$100:$A$137)*M100:M137)/M226</f>
        <v/>
      </c>
      <c r="N231" s="15">
        <f>SUMPRODUCT((N$225-$A$100:$A$137)*N100:N137)/N226</f>
        <v/>
      </c>
      <c r="O231" s="15">
        <f>SUMPRODUCT((O$225-$A$100:$A$137)*O100:O137)/O226</f>
        <v/>
      </c>
      <c r="P231" s="15">
        <f>SUMPRODUCT((P$225-$A$100:$A$137)*P100:P137)/P226</f>
        <v/>
      </c>
      <c r="Q231" s="15">
        <f>SUMPRODUCT((Q$225-$A$100:$A$137)*Q100:Q137)/Q226</f>
        <v/>
      </c>
      <c r="R231" s="15">
        <f>SUMPRODUCT((R$225-$A$100:$A$137)*R100:R137)/R226</f>
        <v/>
      </c>
    </row>
    <row r="232">
      <c r="A232" s="4" t="inlineStr">
        <is>
          <t>7–12-yr cohort size (M)</t>
        </is>
      </c>
      <c r="D232" s="18">
        <f>SUMPRODUCT(($A$57:$A$94&gt;=D$225-12)*($A$57:$A$94&lt;=D$225-7)*$B$57:$B$94)</f>
        <v/>
      </c>
      <c r="E232" s="18">
        <f>SUMPRODUCT(($A$57:$A$94&gt;=E$225-12)*($A$57:$A$94&lt;=E$225-7)*$B$57:$B$94)</f>
        <v/>
      </c>
      <c r="F232" s="18">
        <f>SUMPRODUCT(($A$57:$A$94&gt;=F$225-12)*($A$57:$A$94&lt;=F$225-7)*$B$57:$B$94)</f>
        <v/>
      </c>
      <c r="G232" s="18">
        <f>SUMPRODUCT(($A$57:$A$94&gt;=G$225-12)*($A$57:$A$94&lt;=G$225-7)*$B$57:$B$94)</f>
        <v/>
      </c>
      <c r="H232" s="18">
        <f>SUMPRODUCT(($A$57:$A$94&gt;=H$225-12)*($A$57:$A$94&lt;=H$225-7)*$B$57:$B$94)</f>
        <v/>
      </c>
      <c r="I232" s="18">
        <f>SUMPRODUCT(($A$57:$A$94&gt;=I$225-12)*($A$57:$A$94&lt;=I$225-7)*$B$57:$B$94)</f>
        <v/>
      </c>
      <c r="J232" s="18">
        <f>SUMPRODUCT(($A$57:$A$94&gt;=J$225-12)*($A$57:$A$94&lt;=J$225-7)*$B$57:$B$94)</f>
        <v/>
      </c>
      <c r="K232" s="18">
        <f>SUMPRODUCT(($A$57:$A$94&gt;=K$225-12)*($A$57:$A$94&lt;=K$225-7)*$B$57:$B$94)</f>
        <v/>
      </c>
      <c r="L232" s="18">
        <f>SUMPRODUCT(($A$57:$A$94&gt;=L$225-12)*($A$57:$A$94&lt;=L$225-7)*$B$57:$B$94)</f>
        <v/>
      </c>
      <c r="M232" s="18">
        <f>SUMPRODUCT(($A$57:$A$94&gt;=M$225-12)*($A$57:$A$94&lt;=M$225-7)*$B$57:$B$94)</f>
        <v/>
      </c>
      <c r="N232" s="18">
        <f>SUMPRODUCT(($A$57:$A$94&gt;=N$225-12)*($A$57:$A$94&lt;=N$225-7)*$B$57:$B$94)</f>
        <v/>
      </c>
      <c r="O232" s="18">
        <f>SUMPRODUCT(($A$57:$A$94&gt;=O$225-12)*($A$57:$A$94&lt;=O$225-7)*$B$57:$B$94)</f>
        <v/>
      </c>
      <c r="P232" s="18">
        <f>SUMPRODUCT(($A$57:$A$94&gt;=P$225-12)*($A$57:$A$94&lt;=P$225-7)*$B$57:$B$94)</f>
        <v/>
      </c>
      <c r="Q232" s="18">
        <f>SUMPRODUCT(($A$57:$A$94&gt;=Q$225-12)*($A$57:$A$94&lt;=Q$225-7)*$B$57:$B$94)</f>
        <v/>
      </c>
      <c r="R232" s="18">
        <f>SUMPRODUCT(($A$57:$A$94&gt;=R$225-12)*($A$57:$A$94&lt;=R$225-7)*$B$57:$B$94)</f>
        <v/>
      </c>
    </row>
    <row r="233">
      <c r="A233" s="4" t="inlineStr">
        <is>
          <t>Share of TL weight from age ≥7</t>
        </is>
      </c>
      <c r="D233" s="22">
        <f>SUMPRODUCT(($A$184:$A$221&lt;=D$225-7)*D184:D221)/D228</f>
        <v/>
      </c>
      <c r="E233" s="22">
        <f>SUMPRODUCT(($A$184:$A$221&lt;=E$225-7)*E184:E221)/E228</f>
        <v/>
      </c>
      <c r="F233" s="22">
        <f>SUMPRODUCT(($A$184:$A$221&lt;=F$225-7)*F184:F221)/F228</f>
        <v/>
      </c>
      <c r="G233" s="22">
        <f>SUMPRODUCT(($A$184:$A$221&lt;=G$225-7)*G184:G221)/G228</f>
        <v/>
      </c>
      <c r="H233" s="22">
        <f>SUMPRODUCT(($A$184:$A$221&lt;=H$225-7)*H184:H221)/H228</f>
        <v/>
      </c>
      <c r="I233" s="22">
        <f>SUMPRODUCT(($A$184:$A$221&lt;=I$225-7)*I184:I221)/I228</f>
        <v/>
      </c>
      <c r="J233" s="22">
        <f>SUMPRODUCT(($A$184:$A$221&lt;=J$225-7)*J184:J221)/J228</f>
        <v/>
      </c>
      <c r="K233" s="22">
        <f>SUMPRODUCT(($A$184:$A$221&lt;=K$225-7)*K184:K221)/K228</f>
        <v/>
      </c>
      <c r="L233" s="22">
        <f>SUMPRODUCT(($A$184:$A$221&lt;=L$225-7)*L184:L221)/L228</f>
        <v/>
      </c>
      <c r="M233" s="22">
        <f>SUMPRODUCT(($A$184:$A$221&lt;=M$225-7)*M184:M221)/M228</f>
        <v/>
      </c>
      <c r="N233" s="22">
        <f>SUMPRODUCT(($A$184:$A$221&lt;=N$225-7)*N184:N221)/N228</f>
        <v/>
      </c>
      <c r="O233" s="22">
        <f>SUMPRODUCT(($A$184:$A$221&lt;=O$225-7)*O184:O221)/O228</f>
        <v/>
      </c>
      <c r="P233" s="22">
        <f>SUMPRODUCT(($A$184:$A$221&lt;=P$225-7)*P184:P221)/P228</f>
        <v/>
      </c>
      <c r="Q233" s="22">
        <f>SUMPRODUCT(($A$184:$A$221&lt;=Q$225-7)*Q184:Q221)/Q228</f>
        <v/>
      </c>
      <c r="R233" s="22">
        <f>SUMPRODUCT(($A$184:$A$221&lt;=R$225-7)*R184:R221)/R228</f>
        <v/>
      </c>
    </row>
    <row r="234">
      <c r="A234" s="4" t="inlineStr">
        <is>
          <t>ACTUAL TLF, CCC all-loss (%)</t>
        </is>
      </c>
      <c r="D234" s="5" t="n">
        <v>18.5</v>
      </c>
      <c r="E234" s="5" t="n">
        <v>19.2</v>
      </c>
      <c r="F234" s="5" t="n">
        <v>20.6</v>
      </c>
      <c r="G234" s="5" t="n">
        <v>19.7</v>
      </c>
      <c r="H234" s="5" t="n">
        <v>18.8</v>
      </c>
      <c r="I234" s="5" t="n">
        <v>20.2</v>
      </c>
      <c r="J234" s="5" t="n">
        <v>22.3</v>
      </c>
      <c r="K234" s="5" t="n">
        <v>23.1</v>
      </c>
    </row>
    <row r="235">
      <c r="A235" s="19" t="inlineStr">
        <is>
          <t>RESIDUAL = actual − baseline (pp)  → technology + repair-cost cycle + denominator artifact</t>
        </is>
      </c>
      <c r="D235" s="23">
        <f>D234-D229</f>
        <v/>
      </c>
      <c r="E235" s="23">
        <f>E234-E229</f>
        <v/>
      </c>
      <c r="F235" s="23">
        <f>F234-F229</f>
        <v/>
      </c>
      <c r="G235" s="23">
        <f>G234-G229</f>
        <v/>
      </c>
      <c r="H235" s="23">
        <f>H234-H229</f>
        <v/>
      </c>
      <c r="I235" s="23">
        <f>I234-I229</f>
        <v/>
      </c>
      <c r="J235" s="23">
        <f>J234-J229</f>
        <v/>
      </c>
      <c r="K235" s="23">
        <f>K234-K229</f>
        <v/>
      </c>
      <c r="L235" s="23" t="n"/>
      <c r="M235" s="23" t="n"/>
      <c r="N235" s="23" t="n"/>
      <c r="O235" s="23" t="n"/>
      <c r="P235" s="23" t="n"/>
      <c r="Q235" s="23" t="n"/>
      <c r="R235" s="23" t="n"/>
    </row>
    <row r="238">
      <c r="A238" s="3" t="inlineStr">
        <is>
          <t>CHECKS  (every tab has these; a FAIL means stop and look before building the next tab)</t>
        </is>
      </c>
    </row>
    <row r="239">
      <c r="B239" s="4" t="inlineStr">
        <is>
          <t>Anchor: baseline TLF in anchor year = CCC anchor (±0.3pp)</t>
        </is>
      </c>
      <c r="E239" s="11">
        <f>IF(ABS(INDEX($D$229:$R$229,MATCH($C$10,$D$225:$R$225,0))-$C$11)&lt;0.3,"OK","FAIL")</f>
        <v/>
      </c>
    </row>
    <row r="240">
      <c r="B240" s="4" t="inlineStr">
        <is>
          <t>Avg fleet age 2025 within 1 yr of S&amp;P 12.7</t>
        </is>
      </c>
      <c r="E240" s="11">
        <f>IF(ABS(INDEX($D$231:$R$231,MATCH(2025,$D$225:$R$225,0))-$C$12)&lt;1,"OK","FAIL")</f>
        <v/>
      </c>
    </row>
    <row r="241">
      <c r="B241" s="4" t="inlineStr">
        <is>
          <t>Share of TLs from 7+ yr vehicles within 10pp of CCC 70%</t>
        </is>
      </c>
      <c r="E241" s="11">
        <f>IF(ABS(INDEX($D$233:$R$233,MATCH(2025,$D$225:$R$225,0))-$C$13)&lt;0.10,"OK","FAIL")</f>
        <v/>
      </c>
    </row>
    <row r="242">
      <c r="B242" s="4" t="inlineStr">
        <is>
          <t>Age-curve rows = 36 (0–35)</t>
        </is>
      </c>
      <c r="E242" s="11">
        <f>IF(COUNT($A$17:$A$52)=36,"OK","FAIL")</f>
        <v/>
      </c>
    </row>
    <row r="243">
      <c r="B243" s="4" t="inlineStr">
        <is>
          <t>Informational: demographic drift, avg Δbaseline 2019→2028 (pp / yr)</t>
        </is>
      </c>
      <c r="E243" s="24">
        <f>(INDEX($D$229:$R$229,MATCH(2028,$D$225:$R$225,0))-INDEX($D$229:$R$229,MATCH(2019,$D$225:$R$225,0)))/9</f>
        <v/>
      </c>
    </row>
    <row r="244">
      <c r="B244" s="4" t="inlineStr">
        <is>
          <t>Informational: intercept of the CCC spread regression (pp / yr), for comparison</t>
        </is>
      </c>
      <c r="E244" s="24" t="n">
        <v>0.599</v>
      </c>
    </row>
    <row r="246" ht="30" customHeight="1">
      <c r="B246" s="25" t="inlineStr">
        <is>
          <t>READ-OUT: if the demographic drift (row above) is far below the regression intercept (0.6pp / yr), the fleet-cohort story explains only a small part of the secular TLF rise; the rest is technology (P(a) shifting up over time) and the repair-cost cycle. That is the finding this tab exists to make — and it is honest even though it is smaller than the popular version.</t>
        </is>
      </c>
    </row>
    <row r="247"/>
    <row r="248"/>
  </sheetData>
  <mergeCells count="13">
    <mergeCell ref="A3:R3"/>
    <mergeCell ref="A140:R140"/>
    <mergeCell ref="A2:R2"/>
    <mergeCell ref="A182:R182"/>
    <mergeCell ref="A5:F5"/>
    <mergeCell ref="A98:R98"/>
    <mergeCell ref="B246:L248"/>
    <mergeCell ref="A238:F238"/>
    <mergeCell ref="G17:L19"/>
    <mergeCell ref="G21:L25"/>
    <mergeCell ref="A55:F55"/>
    <mergeCell ref="A15:F15"/>
    <mergeCell ref="A224:R2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2026-09-14T02:27:44Z</dcterms:created>
  <dcterms:modified xmlns:dcterms="http://purl.org/dc/terms/" xmlns:xsi="http://www.w3.org/2001/XMLSchema-instance" xsi:type="dcterms:W3CDTF">2026-09-14T02:27:44Z</dcterms:modified>
</cp:coreProperties>
</file>