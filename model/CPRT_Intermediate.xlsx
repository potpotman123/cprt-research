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Data_Sales" sheetId="3" state="visible" r:id="rId3"/>
    <sheet xmlns:r="http://schemas.openxmlformats.org/officeDocument/2006/relationships" name="Data_EPA_Survival" sheetId="4" state="visible" r:id="rId4"/>
    <sheet xmlns:r="http://schemas.openxmlformats.org/officeDocument/2006/relationships" name="Data_CCC_Targets" sheetId="5" state="visible" r:id="rId5"/>
    <sheet xmlns:r="http://schemas.openxmlformats.org/officeDocument/2006/relationships" name="Survival" sheetId="6" state="visible" r:id="rId6"/>
    <sheet xmlns:r="http://schemas.openxmlformats.org/officeDocument/2006/relationships" name="Fleet" sheetId="7" state="visible" r:id="rId7"/>
    <sheet xmlns:r="http://schemas.openxmlformats.org/officeDocument/2006/relationships" name="FleetByAge" sheetId="8" state="visible" r:id="rId8"/>
    <sheet xmlns:r="http://schemas.openxmlformats.org/officeDocument/2006/relationships" name="Curves" sheetId="9" state="visible" r:id="rId9"/>
    <sheet xmlns:r="http://schemas.openxmlformats.org/officeDocument/2006/relationships" name="Calibration" sheetId="10" state="visible" r:id="rId10"/>
    <sheet xmlns:r="http://schemas.openxmlformats.org/officeDocument/2006/relationships" name="TLF_Roll" sheetId="11" state="visible" r:id="rId11"/>
    <sheet xmlns:r="http://schemas.openxmlformats.org/officeDocument/2006/relationships" name="Spread_Reg" sheetId="12" state="visible" r:id="rId12"/>
    <sheet xmlns:r="http://schemas.openxmlformats.org/officeDocument/2006/relationships" name="RPU_Reg" sheetId="13" state="visible" r:id="rId13"/>
    <sheet xmlns:r="http://schemas.openxmlformats.org/officeDocument/2006/relationships" name="Checks" sheetId="14" state="visible" r:id="rId14"/>
    <sheet xmlns:r="http://schemas.openxmlformats.org/officeDocument/2006/relationships" name="Data_ReportedUnits" sheetId="15" state="visible" r:id="rId15"/>
    <sheet xmlns:r="http://schemas.openxmlformats.org/officeDocument/2006/relationships" name="Data_QuarterlyPL" sheetId="16" state="visible" r:id="rId16"/>
    <sheet xmlns:r="http://schemas.openxmlformats.org/officeDocument/2006/relationships" name="Data_QuarterlyMargin" sheetId="17" state="visible" r:id="rId17"/>
    <sheet xmlns:r="http://schemas.openxmlformats.org/officeDocument/2006/relationships" name="Data_Segments" sheetId="18" state="visible" r:id="rId18"/>
    <sheet xmlns:r="http://schemas.openxmlformats.org/officeDocument/2006/relationships" name="Data_SegmentSvc8K" sheetId="19" state="visible" r:id="rId19"/>
    <sheet xmlns:r="http://schemas.openxmlformats.org/officeDocument/2006/relationships" name="Data_FacilityOps" sheetId="20" state="visible" r:id="rId20"/>
    <sheet xmlns:r="http://schemas.openxmlformats.org/officeDocument/2006/relationships" name="Data_SECAnnual" sheetId="21" state="visible" r:id="rId21"/>
    <sheet xmlns:r="http://schemas.openxmlformats.org/officeDocument/2006/relationships" name="Data_Elasticity" sheetId="22" state="visible" r:id="rId22"/>
    <sheet xmlns:r="http://schemas.openxmlformats.org/officeDocument/2006/relationships" name="Data_CCC_TLF_Annual" sheetId="23" state="visible" r:id="rId23"/>
    <sheet xmlns:r="http://schemas.openxmlformats.org/officeDocument/2006/relationships" name="Data_CCC_TLF_Quarterly" sheetId="24" state="visible" r:id="rId24"/>
    <sheet xmlns:r="http://schemas.openxmlformats.org/officeDocument/2006/relationships" name="Data_CPI" sheetId="25" state="visible" r:id="rId25"/>
    <sheet xmlns:r="http://schemas.openxmlformats.org/officeDocument/2006/relationships" name="Data_Spread" sheetId="26" state="visible" r:id="rId26"/>
    <sheet xmlns:r="http://schemas.openxmlformats.org/officeDocument/2006/relationships" name="Data_TLFCalibration" sheetId="27" state="visible" r:id="rId27"/>
    <sheet xmlns:r="http://schemas.openxmlformats.org/officeDocument/2006/relationships" name="Data_UnitsPanel" sheetId="28" state="visible" r:id="rId28"/>
    <sheet xmlns:r="http://schemas.openxmlformats.org/officeDocument/2006/relationships" name="Data_Decomposition" sheetId="29" state="visible" r:id="rId29"/>
    <sheet xmlns:r="http://schemas.openxmlformats.org/officeDocument/2006/relationships" name="Data_FastTrack" sheetId="30" state="visible" r:id="rId30"/>
    <sheet xmlns:r="http://schemas.openxmlformats.org/officeDocument/2006/relationships" name="Data_PGR_PIF" sheetId="31" state="visible" r:id="rId31"/>
    <sheet xmlns:r="http://schemas.openxmlformats.org/officeDocument/2006/relationships" name="Data_GEICO" sheetId="32" state="visible" r:id="rId32"/>
    <sheet xmlns:r="http://schemas.openxmlformats.org/officeDocument/2006/relationships" name="Data_RBA" sheetId="33" state="visible" r:id="rId33"/>
    <sheet xmlns:r="http://schemas.openxmlformats.org/officeDocument/2006/relationships" name="Data_DuopolyCompare" sheetId="34" state="visible" r:id="rId34"/>
    <sheet xmlns:r="http://schemas.openxmlformats.org/officeDocument/2006/relationships" name="Data_DuopolyDaily" sheetId="35" state="visible" r:id="rId35"/>
    <sheet xmlns:r="http://schemas.openxmlformats.org/officeDocument/2006/relationships" name="Data_Yards" sheetId="36" state="visible" r:id="rId36"/>
    <sheet xmlns:r="http://schemas.openxmlformats.org/officeDocument/2006/relationships" name="Data_Cadence" sheetId="37" state="visible" r:id="rId37"/>
    <sheet xmlns:r="http://schemas.openxmlformats.org/officeDocument/2006/relationships" name="Data_LotsPerEvent" sheetId="38" state="visible" r:id="rId38"/>
    <sheet xmlns:r="http://schemas.openxmlformats.org/officeDocument/2006/relationships" name="Data_BacktestInv" sheetId="39" state="visible" r:id="rId39"/>
    <sheet xmlns:r="http://schemas.openxmlformats.org/officeDocument/2006/relationships" name="Data_FRED_TOTALNSA" sheetId="40" state="visible" r:id="rId40"/>
    <sheet xmlns:r="http://schemas.openxmlformats.org/officeDocument/2006/relationships" name="Data_FRED_LTRUCKNSA" sheetId="41" state="visible" r:id="rId41"/>
    <sheet xmlns:r="http://schemas.openxmlformats.org/officeDocument/2006/relationships" name="Data_FRED_HTRUCKSNSA" sheetId="42" state="visible" r:id="rId42"/>
    <sheet xmlns:r="http://schemas.openxmlformats.org/officeDocument/2006/relationships" name="Data_EPA_Miles" sheetId="43" state="visible" r:id="rId43"/>
    <sheet xmlns:r="http://schemas.openxmlformats.org/officeDocument/2006/relationships" name="Data_AgeCurvesPy" sheetId="44" state="visible" r:id="rId44"/>
    <sheet xmlns:r="http://schemas.openxmlformats.org/officeDocument/2006/relationships" name="Data_AgeCurvesValid" sheetId="45" state="visible" r:id="rId45"/>
    <sheet xmlns:r="http://schemas.openxmlformats.org/officeDocument/2006/relationships" name="Data_Capex" sheetId="46" state="visible" r:id="rId46"/>
    <sheet xmlns:r="http://schemas.openxmlformats.org/officeDocument/2006/relationships" name="Data_OwnerEarnings" sheetId="47" state="visible" r:id="rId47"/>
  </sheets>
  <definedNames/>
  <calcPr calcId="124519" fullCalcOnLoad="1"/>
</workbook>
</file>

<file path=xl/styles.xml><?xml version="1.0" encoding="utf-8"?>
<styleSheet xmlns="http://schemas.openxmlformats.org/spreadsheetml/2006/main">
  <numFmts count="9">
    <numFmt numFmtId="164" formatCode="0.000"/>
    <numFmt numFmtId="165" formatCode="0.0000"/>
    <numFmt numFmtId="166" formatCode="0.0%"/>
    <numFmt numFmtId="167" formatCode="0.0"/>
    <numFmt numFmtId="168" formatCode="#,##0.0"/>
    <numFmt numFmtId="169" formatCode="+0.00;-0.00"/>
    <numFmt numFmtId="170" formatCode="+0.0;-0.0"/>
    <numFmt numFmtId="171" formatCode="+0.0&quot;pp&quot;;-0.0&quot;pp&quot;"/>
    <numFmt numFmtId="172" formatCode="+0.00"/>
  </numFmts>
  <fonts count="7">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
      <name val="Arial"/>
      <color rgb="00008000"/>
      <sz val="10"/>
    </font>
  </fonts>
  <fills count="5">
    <fill>
      <patternFill/>
    </fill>
    <fill>
      <patternFill patternType="gray125"/>
    </fill>
    <fill>
      <patternFill patternType="solid">
        <fgColor rgb="00DDE4F0"/>
      </patternFill>
    </fill>
    <fill>
      <patternFill patternType="solid">
        <fgColor rgb="00FFFF00"/>
      </patternFill>
    </fill>
    <fill>
      <patternFill patternType="solid">
        <fgColor rgb="00EEEEEE"/>
      </patternFill>
    </fill>
  </fills>
  <borders count="1">
    <border>
      <left/>
      <right/>
      <top/>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3" fillId="2" borderId="0" pivotButton="0" quotePrefix="0" xfId="0"/>
    <xf numFmtId="164" fontId="5" fillId="3" borderId="0" pivotButton="0" quotePrefix="0" xfId="0"/>
    <xf numFmtId="1" fontId="5" fillId="0" borderId="0" pivotButton="0" quotePrefix="0" xfId="0"/>
    <xf numFmtId="2" fontId="5" fillId="0" borderId="0" pivotButton="0" quotePrefix="0" xfId="0"/>
    <xf numFmtId="165" fontId="5" fillId="3" borderId="0" pivotButton="0" quotePrefix="0" xfId="0"/>
    <xf numFmtId="2" fontId="5" fillId="3" borderId="0" pivotButton="0" quotePrefix="0" xfId="0"/>
    <xf numFmtId="3" fontId="5" fillId="0" borderId="0" pivotButton="0" quotePrefix="0" xfId="0"/>
    <xf numFmtId="166" fontId="5" fillId="0" borderId="0" pivotButton="0" quotePrefix="0" xfId="0"/>
    <xf numFmtId="0" fontId="3" fillId="4" borderId="0" pivotButton="0" quotePrefix="0" xfId="0"/>
    <xf numFmtId="1" fontId="5" fillId="4" borderId="0" pivotButton="0" quotePrefix="0" xfId="0"/>
    <xf numFmtId="165" fontId="4" fillId="0" borderId="0" pivotButton="0" quotePrefix="0" xfId="0"/>
    <xf numFmtId="0" fontId="3" fillId="2" borderId="0" applyAlignment="1" pivotButton="0" quotePrefix="0" xfId="0">
      <alignment vertical="top" wrapText="1"/>
    </xf>
    <xf numFmtId="3" fontId="6" fillId="0" borderId="0" pivotButton="0" quotePrefix="0" xfId="0"/>
    <xf numFmtId="164" fontId="5" fillId="0" borderId="0" pivotButton="0" quotePrefix="0" xfId="0"/>
    <xf numFmtId="10" fontId="5" fillId="0" borderId="0" pivotButton="0" quotePrefix="0" xfId="0"/>
    <xf numFmtId="167" fontId="5" fillId="0" borderId="0" pivotButton="0" quotePrefix="0" xfId="0"/>
    <xf numFmtId="1" fontId="6" fillId="4" borderId="0" pivotButton="0" quotePrefix="0" xfId="0"/>
    <xf numFmtId="165" fontId="6" fillId="0" borderId="0" pivotButton="0" quotePrefix="0" xfId="0"/>
    <xf numFmtId="1" fontId="4" fillId="4" borderId="0" pivotButton="0" quotePrefix="0" xfId="0"/>
    <xf numFmtId="164" fontId="4" fillId="0" borderId="0" pivotButton="0" quotePrefix="0" xfId="0"/>
    <xf numFmtId="3" fontId="4" fillId="0" borderId="0" pivotButton="0" quotePrefix="0" xfId="0"/>
    <xf numFmtId="3" fontId="3" fillId="0" borderId="0" pivotButton="0" quotePrefix="0" xfId="0"/>
    <xf numFmtId="167" fontId="4" fillId="0" borderId="0" pivotButton="0" quotePrefix="0" xfId="0"/>
    <xf numFmtId="168" fontId="3" fillId="0" borderId="0" pivotButton="0" quotePrefix="0" xfId="0"/>
    <xf numFmtId="166" fontId="4" fillId="0" borderId="0" pivotButton="0" quotePrefix="0" xfId="0"/>
    <xf numFmtId="168" fontId="4" fillId="0" borderId="0" pivotButton="0" quotePrefix="0" xfId="0"/>
    <xf numFmtId="164" fontId="6" fillId="0" borderId="0" pivotButton="0" quotePrefix="0" xfId="0"/>
    <xf numFmtId="1" fontId="4" fillId="0" borderId="0" pivotButton="0" quotePrefix="0" xfId="0"/>
    <xf numFmtId="2" fontId="6" fillId="0" borderId="0" pivotButton="0" quotePrefix="0" xfId="0"/>
    <xf numFmtId="1" fontId="6" fillId="0" borderId="0" pivotButton="0" quotePrefix="0" xfId="0"/>
    <xf numFmtId="166" fontId="6" fillId="0" borderId="0" pivotButton="0" quotePrefix="0" xfId="0"/>
    <xf numFmtId="10" fontId="6" fillId="0" borderId="0" pivotButton="0" quotePrefix="0" xfId="0"/>
    <xf numFmtId="0" fontId="6" fillId="0" borderId="0" pivotButton="0" quotePrefix="0" xfId="0"/>
    <xf numFmtId="2" fontId="4" fillId="0" borderId="0" pivotButton="0" quotePrefix="0" xfId="0"/>
    <xf numFmtId="164" fontId="3" fillId="3" borderId="0" pivotButton="0" quotePrefix="0" xfId="0"/>
    <xf numFmtId="10" fontId="3" fillId="3" borderId="0" pivotButton="0" quotePrefix="0" xfId="0"/>
    <xf numFmtId="169" fontId="3" fillId="0" borderId="0" pivotButton="0" quotePrefix="0" xfId="0"/>
    <xf numFmtId="168" fontId="6" fillId="0" borderId="0" pivotButton="0" quotePrefix="0" xfId="0"/>
    <xf numFmtId="167" fontId="6" fillId="0" borderId="0" pivotButton="0" quotePrefix="0" xfId="0"/>
    <xf numFmtId="170" fontId="4" fillId="0" borderId="0" pivotButton="0" quotePrefix="0" xfId="0"/>
    <xf numFmtId="171" fontId="4" fillId="0" borderId="0" pivotButton="0" quotePrefix="0" xfId="0"/>
    <xf numFmtId="172" fontId="4" fillId="3" borderId="0" pivotButton="0" quotePrefix="0" xfId="0"/>
    <xf numFmtId="172" fontId="4" fillId="0" borderId="0" pivotButton="0" quotePrefix="0" xfId="0"/>
    <xf numFmtId="0" fontId="5" fillId="0" borderId="0" pivotButton="0" quotePrefix="0" xfId="0"/>
    <xf numFmtId="165" fontId="4" fillId="3" borderId="0" pivotButton="0" quotePrefix="0" xfId="0"/>
    <xf numFmtId="164" fontId="4" fillId="3" borderId="0" pivotButton="0" quotePrefix="0" xfId="0"/>
    <xf numFmtId="172" fontId="5" fillId="0" borderId="0" pivotButton="0" quotePrefix="0" xfId="0"/>
    <xf numFmtId="170" fontId="6" fillId="0" borderId="0" pivotButton="0" quotePrefix="0" xfId="0"/>
    <xf numFmtId="2" fontId="4" fillId="3" borderId="0" pivotButton="0" quotePrefix="0" xfId="0"/>
    <xf numFmtId="164" fontId="6" fillId="3" borderId="0" pivotButton="0" quotePrefix="0" xfId="0"/>
    <xf numFmtId="2" fontId="6" fillId="3" borderId="0" pivotButton="0" quotePrefix="0" xfId="0"/>
    <xf numFmtId="170" fontId="5" fillId="0" borderId="0" pivotButton="0" quotePrefix="0" xfId="0"/>
    <xf numFmtId="170" fontId="4" fillId="3" borderId="0" pivotButton="0" quotePrefix="0" xfId="0"/>
    <xf numFmtId="165" fontId="5"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20" customWidth="1" min="2" max="2"/>
  </cols>
  <sheetData>
    <row r="1">
      <c r="A1" s="1" t="inlineStr">
        <is>
          <t>CPRT Intermediate — data and formulas to copy into "CPRT Model"</t>
        </is>
      </c>
    </row>
    <row r="2">
      <c r="A2" s="2" t="inlineStr">
        <is>
          <t>Built 2026-09-15 by scripts/build_intermediate_xlsx.py from the committed CSVs in data/csv/. Rebuild after any data update; do not hand-edit Data_* tabs.</t>
        </is>
      </c>
    </row>
    <row r="4">
      <c r="A4" s="3" t="inlineStr">
        <is>
          <t>HOW TO USE</t>
        </is>
      </c>
      <c r="B4" s="4" t="inlineStr"/>
    </row>
    <row r="5" ht="60" customHeight="1">
      <c r="A5" s="5" t="inlineStr">
        <is>
          <t>Copy whole sheets, not cells</t>
        </is>
      </c>
      <c r="B5" s="4" t="inlineStr">
        <is>
          <t>Right-click a tab → Move or Copy → To book: CPRT Model → tick Create a copy. Copy the tabs a formula sheet depends on FIRST (Inputs, Data_Sales, Data_EPA_Survival, Data_EPA_Miles, Data_CCC_Targets, then Survival, Fleet, FleetByAge, Curves, then TLF_Roll / Calibration). References are explicit sheet names, no named ranges, so they survive the copy as long as the tab names are unchanged.</t>
        </is>
      </c>
    </row>
    <row r="6" ht="30" customHeight="1">
      <c r="A6" s="5" t="inlineStr">
        <is>
          <t>Colour legend</t>
        </is>
      </c>
      <c r="B6" s="4" t="inlineStr">
        <is>
          <t>BLUE = hard-coded input · BLACK = formula · GREEN = link to another sheet · YELLOW fill = calibrated parameter (fitted; reproducible on Calibration / Spread_Reg / RPU_Reg).</t>
        </is>
      </c>
    </row>
    <row r="7" ht="30" customHeight="1">
      <c r="A7" s="5" t="inlineStr">
        <is>
          <t>One assumption per cell</t>
        </is>
      </c>
      <c r="B7" s="4" t="inlineStr">
        <is>
          <t>Every parameter lives once, on Inputs. Formula tabs never contain a typed number except the fixed 2024 cross-section on Calibration and Curves I:K.</t>
        </is>
      </c>
    </row>
    <row r="8" ht="30" customHeight="1">
      <c r="A8" s="5" t="inlineStr">
        <is>
          <t>Check before you trust</t>
        </is>
      </c>
      <c r="B8" s="4" t="inlineStr">
        <is>
          <t>Checks tab must read OK everywhere after Excel recalculates (it does on open). If a check FAILs, a reference broke in the copy.</t>
        </is>
      </c>
    </row>
    <row r="9">
      <c r="A9" s="5" t="inlineStr"/>
      <c r="B9" s="4" t="inlineStr"/>
    </row>
    <row r="10">
      <c r="A10" s="3" t="inlineStr">
        <is>
          <t>TAB INDEX</t>
        </is>
      </c>
      <c r="B10" s="4" t="inlineStr"/>
    </row>
    <row r="11" ht="15" customHeight="1">
      <c r="A11" s="5" t="inlineStr">
        <is>
          <t>Inputs</t>
        </is>
      </c>
      <c r="B11" s="4" t="inlineStr">
        <is>
          <t>All parameters (survival stretch, R/P, exposure, future sales, anchors) + the k(t) path by year.</t>
        </is>
      </c>
    </row>
    <row r="12" ht="15" customHeight="1">
      <c r="A12" s="5" t="inlineStr">
        <is>
          <t>Data_Sales</t>
        </is>
      </c>
      <c r="B12" s="4" t="inlineStr">
        <is>
          <t>Cohort sizes: new light-vehicle sales by model year, cars and light trucks, 1970–2030 (2026+ from Inputs).</t>
        </is>
      </c>
    </row>
    <row r="13" ht="15" customHeight="1">
      <c r="A13" s="5" t="inlineStr">
        <is>
          <t>Data_EPA_Survival</t>
        </is>
      </c>
      <c r="B13" s="4" t="inlineStr">
        <is>
          <t>EPA survival schedule by age (ORNL TEDB Ed.40 T3.15). Data_EPA_Miles: EPA miles by age (T3.14).</t>
        </is>
      </c>
    </row>
    <row r="14" ht="30" customHeight="1">
      <c r="A14" s="5" t="inlineStr">
        <is>
          <t>Data_CCC_Targets</t>
        </is>
      </c>
      <c r="B14" s="4" t="inlineStr">
        <is>
          <t>The CCC statistics R and P are fitted to (FIT), tested against (OOS), and the fleet-count anchors (S), each with its verbatim quote and page.</t>
        </is>
      </c>
    </row>
    <row r="15" ht="15" customHeight="1">
      <c r="A15" s="5" t="inlineStr">
        <is>
          <t>Survival</t>
        </is>
      </c>
      <c r="B15" s="4" t="inlineStr">
        <is>
          <t>S(a,t) = EPA(a/k(t)) for cars and light trucks, ages 0–45 × years 2013–2030.</t>
        </is>
      </c>
    </row>
    <row r="16" ht="15" customHeight="1">
      <c r="A16" s="5" t="inlineStr">
        <is>
          <t>Fleet</t>
        </is>
      </c>
      <c r="B16" s="4" t="inlineStr">
        <is>
          <t>Vehicles on the road by model year × calendar year (thousands). Row 68 = VIO.</t>
        </is>
      </c>
    </row>
    <row r="17" ht="15" customHeight="1">
      <c r="A17" s="5" t="inlineStr">
        <is>
          <t>FleetByAge</t>
        </is>
      </c>
      <c r="B17" s="4" t="inlineStr">
        <is>
          <t>Same fleet re-indexed by age; VIO, share 7+/15+, count ≤6, average age.</t>
        </is>
      </c>
    </row>
    <row r="18" ht="15" customHeight="1">
      <c r="A18" s="5" t="inlineStr">
        <is>
          <t>Curves</t>
        </is>
      </c>
      <c r="B18" s="4" t="inlineStr">
        <is>
          <t>R(a), P(a), miles by age, flags; the 7+ vs 0–6 miles/coverage decomposition.</t>
        </is>
      </c>
    </row>
    <row r="19" ht="15" customHeight="1">
      <c r="A19" s="5" t="inlineStr">
        <is>
          <t>Calibration</t>
        </is>
      </c>
      <c r="B19" s="4" t="inlineStr">
        <is>
          <t>Solver set-up: five parameters → eight CCC 2024 statistics → LOSS. Instructions on the sheet.</t>
        </is>
      </c>
    </row>
    <row r="20" ht="30" customHeight="1">
      <c r="A20" s="5" t="inlineStr">
        <is>
          <t>TLF_Roll</t>
        </is>
      </c>
      <c r="B20" s="4" t="inlineStr">
        <is>
          <t>Baseline TLF from demographics by year, its YoY drift, claim/TL age mix, and the out-of-sample checks vs CCC 2019/2020/2025.</t>
        </is>
      </c>
    </row>
    <row r="21" ht="30" customHeight="1">
      <c r="A21" s="5" t="inlineStr">
        <is>
          <t>Spread_Reg</t>
        </is>
      </c>
      <c r="B21" s="4" t="inlineStr">
        <is>
          <t>ΔTLF = a + b·spread(t−1): pairs built by formula from Data_Spread and Data_CCC_TLF_Quarterly; SLOPE/INTERCEPT/RSQ; prediction and the live 2Q26 test.</t>
        </is>
      </c>
    </row>
    <row r="22" ht="30" customHeight="1">
      <c r="A22" s="5" t="inlineStr">
        <is>
          <t>RPU_Reg</t>
        </is>
      </c>
      <c r="B22" s="4" t="inlineStr">
        <is>
          <t>ASP ~ used-car CPI by fiscal quarter (formulas on Data_CPI, Data_ReportedUnits); service and total RPU ~ ASP (Data_Elasticity); the chain calculator.</t>
        </is>
      </c>
    </row>
    <row r="23" ht="15" customHeight="1">
      <c r="A23" s="5" t="inlineStr">
        <is>
          <t>Checks</t>
        </is>
      </c>
      <c r="B23" s="4" t="inlineStr">
        <is>
          <t>OK/FAIL on the key outputs and the reference regression values.</t>
        </is>
      </c>
    </row>
    <row r="24" ht="30" customHeight="1">
      <c r="A24" s="5" t="inlineStr">
        <is>
          <t>Data_* (everything else)</t>
        </is>
      </c>
      <c r="B24" s="4" t="inlineStr">
        <is>
          <t>Every committed CSV in data/csv/, one tab each, provenance in row 2. Copart transcript series are Tier 2 (hand-transcribed); SEC filings Tier 1; sitemap-derived series Tier 3.</t>
        </is>
      </c>
    </row>
    <row r="25">
      <c r="A25" s="5" t="inlineStr"/>
      <c r="B25" s="4" t="inlineStr"/>
    </row>
    <row r="26" ht="30" customHeight="1">
      <c r="A26" s="5" t="inlineStr">
        <is>
          <t>WHERE THE METHOD IS WRITTEN UP</t>
        </is>
      </c>
      <c r="B26" s="4" t="inlineStr">
        <is>
          <t>docs/AGE_CURVES.md (S, R, P: evidence, fit, validation, manual pulls) · MODEL_BLUEPRINT.md (architecture, mechanisms A–E, build order) · findings.md Addenda 14–16 · PROVENANCE.md §5 (every host and file).</t>
        </is>
      </c>
    </row>
    <row r="27" ht="45" customHeight="1">
      <c r="A27" s="5" t="inlineStr">
        <is>
          <t>NOT IN THIS WORKBOOK</t>
        </is>
      </c>
      <c r="B27" s="4" t="inlineStr">
        <is>
          <t>Licensed material (S&amp;P transcripts, Stephens preview, SOLS model) and the IHS-sourced ORNL tables (3.11/3.12/3.13, "further reproduction prohibited") — cited by table number only. Lot-level sitemap rows (1.3M) — in data/cprt.db.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90" customWidth="1" min="3" max="3"/>
  </cols>
  <sheetData>
    <row r="1">
      <c r="A1" s="1" t="inlineStr">
        <is>
          <t>Inputs — every parameter of the fleet roll in one place</t>
        </is>
      </c>
    </row>
    <row r="2" ht="30" customHeight="1">
      <c r="A2" s="6" t="inlineStr">
        <is>
          <t>BLUE = hard-coded input (change freely) · YELLOW = calibrated (fitted on the Calibration tab / scripts/age_curves.py; copy new Solver results here) · model tabs reference ONLY this sheet for parameters.</t>
        </is>
      </c>
    </row>
    <row r="3">
      <c r="A3" s="7" t="inlineStr">
        <is>
          <t>Parameter</t>
        </is>
      </c>
      <c r="B3" s="7" t="inlineStr">
        <is>
          <t>Value</t>
        </is>
      </c>
      <c r="C3" s="7" t="inlineStr">
        <is>
          <t>Source / note</t>
        </is>
      </c>
    </row>
    <row r="4">
      <c r="A4" s="5" t="inlineStr">
        <is>
          <t>Survival stretch k, cars, 2013</t>
        </is>
      </c>
      <c r="B4" s="8" t="n">
        <v>1.064</v>
      </c>
      <c r="C4" s="6" t="inlineStr">
        <is>
          <t>fitted to the IHS/Polk 2013 census of cars by single year of age (ORNL TEDB40 T3.11); S_k(a)=S_EPA(a/k). docs/AGE_CURVES.md §2.2</t>
        </is>
      </c>
    </row>
    <row r="5">
      <c r="A5" s="5" t="inlineStr">
        <is>
          <t>Survival stretch k, light trucks, 2013</t>
        </is>
      </c>
      <c r="B5" s="8" t="n">
        <v>0.92</v>
      </c>
      <c r="C5" s="6" t="inlineStr">
        <is>
          <t>fitted to the IHS 2013 census of trucks (T3.12, includes heavy). §2.2</t>
        </is>
      </c>
    </row>
    <row r="6">
      <c r="A6" s="5" t="inlineStr">
        <is>
          <t>k multiplier by drift-end year</t>
        </is>
      </c>
      <c r="B6" s="8" t="n">
        <v>1.194</v>
      </c>
      <c r="C6" s="6" t="inlineStr">
        <is>
          <t>fitted so the 2024 roll hits VIO anchor and 66% aged 7+. 289M anchor is unverified (from memory); Experian 292.1M (on disk) gives 1.204 — same downstream. §2.4</t>
        </is>
      </c>
    </row>
    <row r="7">
      <c r="A7" s="5" t="inlineStr">
        <is>
          <t>Drift start year</t>
        </is>
      </c>
      <c r="B7" s="9" t="n">
        <v>2013</v>
      </c>
      <c r="C7" s="6" t="inlineStr">
        <is>
          <t>k = 2013 value up to here</t>
        </is>
      </c>
    </row>
    <row r="8">
      <c r="A8" s="5" t="inlineStr">
        <is>
          <t>Drift end year</t>
        </is>
      </c>
      <c r="B8" s="9" t="n">
        <v>2024</v>
      </c>
      <c r="C8" s="6" t="inlineStr">
        <is>
          <t>k reaches k_2013 × multiplier here; FLAT after (base case). Sensitivity: keep drifting</t>
        </is>
      </c>
    </row>
    <row r="9">
      <c r="A9" s="5" t="inlineStr">
        <is>
          <t>Exposure factor, age 0</t>
        </is>
      </c>
      <c r="B9" s="10" t="n">
        <v>0.5</v>
      </c>
      <c r="C9" s="6" t="inlineStr">
        <is>
          <t>a model-year-t vehicle is on the road ~half of calendar year t. Necessary: without it the ≤3-yr repairable share fits at 36% vs CCC ~30%. §3.2</t>
        </is>
      </c>
    </row>
    <row r="10">
      <c r="A10" s="5" t="inlineStr">
        <is>
          <t>R kink age</t>
        </is>
      </c>
      <c r="B10" s="9" t="n">
        <v>6</v>
      </c>
      <c r="C10" s="6" t="inlineStr">
        <is>
          <t>R is flat through this age (a free 0–6 slope is not identified by the CCC targets). §3.3</t>
        </is>
      </c>
    </row>
    <row r="11">
      <c r="A11" s="5" t="inlineStr">
        <is>
          <t>R slope after kink (per year of age)</t>
        </is>
      </c>
      <c r="B11" s="11" t="n">
        <v>0.09027</v>
      </c>
      <c r="C11" s="6" t="inlineStr">
        <is>
          <t>R(a) = e(a)·exp(−slope·max(a−kink,0)). Solver-fitted on Calibration tab. §3.3</t>
        </is>
      </c>
    </row>
    <row r="12">
      <c r="A12" s="5" t="inlineStr">
        <is>
          <t>P floor (pmin)</t>
        </is>
      </c>
      <c r="B12" s="8" t="n">
        <v>0.0483</v>
      </c>
      <c r="C12" s="6" t="inlineStr">
        <is>
          <t>P(a) = pmin + (pmax−pmin)/(1+exp(−(a−mid)/width)). Solver-fitted. §4.3</t>
        </is>
      </c>
    </row>
    <row r="13">
      <c r="A13" s="5" t="inlineStr">
        <is>
          <t>P ceiling (pmax)</t>
        </is>
      </c>
      <c r="B13" s="8" t="n">
        <v>0.4804</v>
      </c>
      <c r="C13" s="6" t="inlineStr"/>
    </row>
    <row r="14">
      <c r="A14" s="5" t="inlineStr">
        <is>
          <t>P midpoint age (mid)</t>
        </is>
      </c>
      <c r="B14" s="12" t="n">
        <v>9.215999999999999</v>
      </c>
      <c r="C14" s="6" t="inlineStr"/>
    </row>
    <row r="15">
      <c r="A15" s="5" t="inlineStr">
        <is>
          <t>P width (yrs)</t>
        </is>
      </c>
      <c r="B15" s="12" t="n">
        <v>3.726</v>
      </c>
      <c r="C15" s="6" t="inlineStr"/>
    </row>
    <row r="16">
      <c r="A16" s="5" t="inlineStr">
        <is>
          <t>Future new-vehicle sales, cars (thousands per year, 2026+)</t>
        </is>
      </c>
      <c r="B16" s="13" t="n">
        <v>2764.4</v>
      </c>
      <c r="C16" s="6" t="inlineStr">
        <is>
          <t>ASSUMED = 2025 level (Data_Sales). Flex for a sales-recovery case</t>
        </is>
      </c>
    </row>
    <row r="17">
      <c r="A17" s="5" t="inlineStr">
        <is>
          <t>Future new-vehicle sales, light trucks (thousands per year, 2026+)</t>
        </is>
      </c>
      <c r="B17" s="13" t="n">
        <v>13090.5</v>
      </c>
      <c r="C17" s="6" t="inlineStr">
        <is>
          <t>ASSUMED = 2025 level</t>
        </is>
      </c>
    </row>
    <row r="18">
      <c r="A18" s="5" t="inlineStr">
        <is>
          <t>VIO anchor, end-2024 (M light vehicles)</t>
        </is>
      </c>
      <c r="B18" s="13" t="n">
        <v>289</v>
      </c>
      <c r="C18" s="6" t="inlineStr">
        <is>
          <t>S&amp;P Global Mobility 2025 avg-age release — NOT ON DISK, confirm; Experian Q3-2024 = 292.1M (Crash Course 2025/Q1)</t>
        </is>
      </c>
    </row>
    <row r="19">
      <c r="A19" s="5" t="inlineStr">
        <is>
          <t>Share aged 7+ anchor, 2024</t>
        </is>
      </c>
      <c r="B19" s="14" t="n">
        <v>0.66</v>
      </c>
      <c r="C19" s="6" t="inlineStr">
        <is>
          <t>'66% of vehicles in operation are seven years or older' — S&amp;P via CCC Crash Course 2024/Q4</t>
        </is>
      </c>
    </row>
    <row r="22">
      <c r="A22" s="3" t="inlineStr">
        <is>
          <t>Survival stretch by calendar year (formulas)</t>
        </is>
      </c>
    </row>
    <row r="23">
      <c r="A23" s="15" t="inlineStr">
        <is>
          <t>Year</t>
        </is>
      </c>
      <c r="C23" s="16" t="n">
        <v>2013</v>
      </c>
      <c r="D23" s="16" t="n">
        <v>2014</v>
      </c>
      <c r="E23" s="16" t="n">
        <v>2015</v>
      </c>
      <c r="F23" s="16" t="n">
        <v>2016</v>
      </c>
      <c r="G23" s="16" t="n">
        <v>2017</v>
      </c>
      <c r="H23" s="16" t="n">
        <v>2018</v>
      </c>
      <c r="I23" s="16" t="n">
        <v>2019</v>
      </c>
      <c r="J23" s="16" t="n">
        <v>2020</v>
      </c>
      <c r="K23" s="16" t="n">
        <v>2021</v>
      </c>
      <c r="L23" s="16" t="n">
        <v>2022</v>
      </c>
      <c r="M23" s="16" t="n">
        <v>2023</v>
      </c>
      <c r="N23" s="16" t="n">
        <v>2024</v>
      </c>
      <c r="O23" s="16" t="n">
        <v>2025</v>
      </c>
      <c r="P23" s="16" t="n">
        <v>2026</v>
      </c>
      <c r="Q23" s="16" t="n">
        <v>2027</v>
      </c>
      <c r="R23" s="16" t="n">
        <v>2028</v>
      </c>
      <c r="S23" s="16" t="n">
        <v>2029</v>
      </c>
      <c r="T23" s="16" t="n">
        <v>2030</v>
      </c>
    </row>
    <row r="24">
      <c r="A24" s="5" t="inlineStr">
        <is>
          <t>k multiplier</t>
        </is>
      </c>
      <c r="C24" s="17">
        <f>1+($B$6-1)*MIN(MAX(C23-$B$7,0),$B$8-$B$7)/($B$8-$B$7)</f>
        <v/>
      </c>
      <c r="D24" s="17">
        <f>1+($B$6-1)*MIN(MAX(D23-$B$7,0),$B$8-$B$7)/($B$8-$B$7)</f>
        <v/>
      </c>
      <c r="E24" s="17">
        <f>1+($B$6-1)*MIN(MAX(E23-$B$7,0),$B$8-$B$7)/($B$8-$B$7)</f>
        <v/>
      </c>
      <c r="F24" s="17">
        <f>1+($B$6-1)*MIN(MAX(F23-$B$7,0),$B$8-$B$7)/($B$8-$B$7)</f>
        <v/>
      </c>
      <c r="G24" s="17">
        <f>1+($B$6-1)*MIN(MAX(G23-$B$7,0),$B$8-$B$7)/($B$8-$B$7)</f>
        <v/>
      </c>
      <c r="H24" s="17">
        <f>1+($B$6-1)*MIN(MAX(H23-$B$7,0),$B$8-$B$7)/($B$8-$B$7)</f>
        <v/>
      </c>
      <c r="I24" s="17">
        <f>1+($B$6-1)*MIN(MAX(I23-$B$7,0),$B$8-$B$7)/($B$8-$B$7)</f>
        <v/>
      </c>
      <c r="J24" s="17">
        <f>1+($B$6-1)*MIN(MAX(J23-$B$7,0),$B$8-$B$7)/($B$8-$B$7)</f>
        <v/>
      </c>
      <c r="K24" s="17">
        <f>1+($B$6-1)*MIN(MAX(K23-$B$7,0),$B$8-$B$7)/($B$8-$B$7)</f>
        <v/>
      </c>
      <c r="L24" s="17">
        <f>1+($B$6-1)*MIN(MAX(L23-$B$7,0),$B$8-$B$7)/($B$8-$B$7)</f>
        <v/>
      </c>
      <c r="M24" s="17">
        <f>1+($B$6-1)*MIN(MAX(M23-$B$7,0),$B$8-$B$7)/($B$8-$B$7)</f>
        <v/>
      </c>
      <c r="N24" s="17">
        <f>1+($B$6-1)*MIN(MAX(N23-$B$7,0),$B$8-$B$7)/($B$8-$B$7)</f>
        <v/>
      </c>
      <c r="O24" s="17">
        <f>1+($B$6-1)*MIN(MAX(O23-$B$7,0),$B$8-$B$7)/($B$8-$B$7)</f>
        <v/>
      </c>
      <c r="P24" s="17">
        <f>1+($B$6-1)*MIN(MAX(P23-$B$7,0),$B$8-$B$7)/($B$8-$B$7)</f>
        <v/>
      </c>
      <c r="Q24" s="17">
        <f>1+($B$6-1)*MIN(MAX(Q23-$B$7,0),$B$8-$B$7)/($B$8-$B$7)</f>
        <v/>
      </c>
      <c r="R24" s="17">
        <f>1+($B$6-1)*MIN(MAX(R23-$B$7,0),$B$8-$B$7)/($B$8-$B$7)</f>
        <v/>
      </c>
      <c r="S24" s="17">
        <f>1+($B$6-1)*MIN(MAX(S23-$B$7,0),$B$8-$B$7)/($B$8-$B$7)</f>
        <v/>
      </c>
      <c r="T24" s="17">
        <f>1+($B$6-1)*MIN(MAX(T23-$B$7,0),$B$8-$B$7)/($B$8-$B$7)</f>
        <v/>
      </c>
    </row>
    <row r="25">
      <c r="A25" s="5" t="inlineStr">
        <is>
          <t>k cars</t>
        </is>
      </c>
      <c r="C25" s="17">
        <f>$B$4*C24</f>
        <v/>
      </c>
      <c r="D25" s="17">
        <f>$B$4*D24</f>
        <v/>
      </c>
      <c r="E25" s="17">
        <f>$B$4*E24</f>
        <v/>
      </c>
      <c r="F25" s="17">
        <f>$B$4*F24</f>
        <v/>
      </c>
      <c r="G25" s="17">
        <f>$B$4*G24</f>
        <v/>
      </c>
      <c r="H25" s="17">
        <f>$B$4*H24</f>
        <v/>
      </c>
      <c r="I25" s="17">
        <f>$B$4*I24</f>
        <v/>
      </c>
      <c r="J25" s="17">
        <f>$B$4*J24</f>
        <v/>
      </c>
      <c r="K25" s="17">
        <f>$B$4*K24</f>
        <v/>
      </c>
      <c r="L25" s="17">
        <f>$B$4*L24</f>
        <v/>
      </c>
      <c r="M25" s="17">
        <f>$B$4*M24</f>
        <v/>
      </c>
      <c r="N25" s="17">
        <f>$B$4*N24</f>
        <v/>
      </c>
      <c r="O25" s="17">
        <f>$B$4*O24</f>
        <v/>
      </c>
      <c r="P25" s="17">
        <f>$B$4*P24</f>
        <v/>
      </c>
      <c r="Q25" s="17">
        <f>$B$4*Q24</f>
        <v/>
      </c>
      <c r="R25" s="17">
        <f>$B$4*R24</f>
        <v/>
      </c>
      <c r="S25" s="17">
        <f>$B$4*S24</f>
        <v/>
      </c>
      <c r="T25" s="17">
        <f>$B$4*T24</f>
        <v/>
      </c>
    </row>
    <row r="26">
      <c r="A26" s="5" t="inlineStr">
        <is>
          <t>k light trucks</t>
        </is>
      </c>
      <c r="C26" s="17">
        <f>$B$5*C24</f>
        <v/>
      </c>
      <c r="D26" s="17">
        <f>$B$5*D24</f>
        <v/>
      </c>
      <c r="E26" s="17">
        <f>$B$5*E24</f>
        <v/>
      </c>
      <c r="F26" s="17">
        <f>$B$5*F24</f>
        <v/>
      </c>
      <c r="G26" s="17">
        <f>$B$5*G24</f>
        <v/>
      </c>
      <c r="H26" s="17">
        <f>$B$5*H24</f>
        <v/>
      </c>
      <c r="I26" s="17">
        <f>$B$5*I24</f>
        <v/>
      </c>
      <c r="J26" s="17">
        <f>$B$5*J24</f>
        <v/>
      </c>
      <c r="K26" s="17">
        <f>$B$5*K24</f>
        <v/>
      </c>
      <c r="L26" s="17">
        <f>$B$5*L24</f>
        <v/>
      </c>
      <c r="M26" s="17">
        <f>$B$5*M24</f>
        <v/>
      </c>
      <c r="N26" s="17">
        <f>$B$5*N24</f>
        <v/>
      </c>
      <c r="O26" s="17">
        <f>$B$5*O24</f>
        <v/>
      </c>
      <c r="P26" s="17">
        <f>$B$5*P24</f>
        <v/>
      </c>
      <c r="Q26" s="17">
        <f>$B$5*Q24</f>
        <v/>
      </c>
      <c r="R26" s="17">
        <f>$B$5*R24</f>
        <v/>
      </c>
      <c r="S26" s="17">
        <f>$B$5*S24</f>
        <v/>
      </c>
      <c r="T26" s="17">
        <f>$B$5*T24</f>
        <v/>
      </c>
    </row>
    <row r="28" ht="30" customHeight="1">
      <c r="A28" s="6" t="inlineStr">
        <is>
          <t>Sensitivity idea: set B8 = 2030 to let survival keep improving; set B6 = 1.0 for the raw EPA schedule. Baseline TLF drift moves 0.05–0.18pp/yr across that range; P buckets do not move. §6</t>
        </is>
      </c>
    </row>
  </sheetData>
  <mergeCells count="2">
    <mergeCell ref="A2:F2"/>
    <mergeCell ref="A28:F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14" customWidth="1" min="4" max="4"/>
    <col width="44" customWidth="1" min="5" max="5"/>
  </cols>
  <sheetData>
    <row r="1">
      <c r="A1" s="1" t="inlineStr">
        <is>
          <t>Cohort sizes — new light-vehicle sales by model year (thousands of vehicles)</t>
        </is>
      </c>
    </row>
    <row r="2" ht="42" customHeight="1">
      <c r="A2" s="6" t="inlineStr">
        <is>
          <t>Cohort sizes for the fleet roll. 1970-2021 Ward's via ORNL TEDB Ed.40 Table 3.6; 2022-2025 FRED TOTALNSA (light vehicles) and LTRUCKNSA (light trucks), NSA monthly summed by calendar year (fetched 2026-09-14), | rescaled to Ward's basis using the 2021 overlap (cars x0.8789, light trucks x0.9675); heavy trucks 2022-25 = FRED HTRUCKSNSA (BEA, &gt;14,000 lb) x1.823 to Ward's &gt;10,000 lb basis — estimates, used only for the 2013 truck-census check.</t>
        </is>
      </c>
    </row>
    <row r="3" ht="42" customHeight="1">
      <c r="A3" s="6" t="inlineStr">
        <is>
          <t>Unit: thousands of vehicles (8,321 = 8,321,000 cars). Ward's reports to the single vehicle, so the source carries decimals (e.g. 8,720.3); they are kept in the cells and hidden by the format. Ward's via ORNL TEDB Ed.40 Table 3.6 for 1970–2021; FRED TOTALNSA / LTRUCKNSA / HTRUCKSNSA rescaled to Ward's basis on the 2021 overlap for 2022–2025 (estimates — the decimals there mean nothing); 2026+ = Inputs (green). Heavy trucks (&gt;10,000 lb) are NOT in the fleet roll; the column exists for the 2013 census check only. data/csv/light_vehicle_sales_by_year.csv</t>
        </is>
      </c>
    </row>
    <row r="4" ht="30" customHeight="1">
      <c r="A4" s="18" t="inlineStr">
        <is>
          <t>model year</t>
        </is>
      </c>
      <c r="B4" s="18" t="inlineStr">
        <is>
          <t>cars (thousands)</t>
        </is>
      </c>
      <c r="C4" s="18" t="inlineStr">
        <is>
          <t>light trucks (thousands)</t>
        </is>
      </c>
      <c r="D4" s="18" t="inlineStr">
        <is>
          <t>heavy trucks (thousands)</t>
        </is>
      </c>
      <c r="E4" s="18" t="inlineStr">
        <is>
          <t>source</t>
        </is>
      </c>
    </row>
    <row r="5">
      <c r="A5" s="9" t="n">
        <v>1970</v>
      </c>
      <c r="B5" s="13" t="n">
        <v>8321</v>
      </c>
      <c r="C5" s="13" t="n">
        <v>1457</v>
      </c>
      <c r="D5" s="13" t="n">
        <v>334</v>
      </c>
      <c r="E5" s="2" t="inlineStr">
        <is>
          <t>Ward's (ORNL TEDB40 T3.6)</t>
        </is>
      </c>
    </row>
    <row r="6">
      <c r="A6" s="9" t="n">
        <v>1971</v>
      </c>
      <c r="B6" s="13" t="n">
        <v>10144</v>
      </c>
      <c r="C6" s="13" t="n">
        <v>1673</v>
      </c>
      <c r="D6" s="13" t="n">
        <v>340</v>
      </c>
      <c r="E6" s="2" t="inlineStr">
        <is>
          <t>Ward's (ORNL TEDB40 T3.6)</t>
        </is>
      </c>
    </row>
    <row r="7">
      <c r="A7" s="9" t="n">
        <v>1972</v>
      </c>
      <c r="B7" s="13" t="n">
        <v>10800.6</v>
      </c>
      <c r="C7" s="13" t="n">
        <v>2097</v>
      </c>
      <c r="D7" s="13" t="n">
        <v>438</v>
      </c>
      <c r="E7" s="2" t="inlineStr">
        <is>
          <t>Ward's (ORNL TEDB40 T3.6)</t>
        </is>
      </c>
    </row>
    <row r="8">
      <c r="A8" s="9" t="n">
        <v>1973</v>
      </c>
      <c r="B8" s="13" t="n">
        <v>11276</v>
      </c>
      <c r="C8" s="13" t="n">
        <v>2512</v>
      </c>
      <c r="D8" s="13" t="n">
        <v>497</v>
      </c>
      <c r="E8" s="2" t="inlineStr">
        <is>
          <t>Ward's (ORNL TEDB40 T3.6)</t>
        </is>
      </c>
    </row>
    <row r="9">
      <c r="A9" s="9" t="n">
        <v>1974</v>
      </c>
      <c r="B9" s="13" t="n">
        <v>8720.299999999999</v>
      </c>
      <c r="C9" s="13" t="n">
        <v>2163</v>
      </c>
      <c r="D9" s="13" t="n">
        <v>424</v>
      </c>
      <c r="E9" s="2" t="inlineStr">
        <is>
          <t>Ward's (ORNL TEDB40 T3.6)</t>
        </is>
      </c>
    </row>
    <row r="10">
      <c r="A10" s="9" t="n">
        <v>1975</v>
      </c>
      <c r="B10" s="13" t="n">
        <v>8485.799999999999</v>
      </c>
      <c r="C10" s="13" t="n">
        <v>2053</v>
      </c>
      <c r="D10" s="13" t="n">
        <v>298</v>
      </c>
      <c r="E10" s="2" t="inlineStr">
        <is>
          <t>Ward's (ORNL TEDB40 T3.6)</t>
        </is>
      </c>
    </row>
    <row r="11">
      <c r="A11" s="9" t="n">
        <v>1976</v>
      </c>
      <c r="B11" s="13" t="n">
        <v>9956.799999999999</v>
      </c>
      <c r="C11" s="13" t="n">
        <v>2719</v>
      </c>
      <c r="D11" s="13" t="n">
        <v>324</v>
      </c>
      <c r="E11" s="2" t="inlineStr">
        <is>
          <t>Ward's (ORNL TEDB40 T3.6)</t>
        </is>
      </c>
    </row>
    <row r="12">
      <c r="A12" s="9" t="n">
        <v>1977</v>
      </c>
      <c r="B12" s="13" t="n">
        <v>11003.6</v>
      </c>
      <c r="C12" s="13" t="n">
        <v>3109</v>
      </c>
      <c r="D12" s="13" t="n">
        <v>376</v>
      </c>
      <c r="E12" s="2" t="inlineStr">
        <is>
          <t>Ward's (ORNL TEDB40 T3.6)</t>
        </is>
      </c>
    </row>
    <row r="13">
      <c r="A13" s="9" t="n">
        <v>1978</v>
      </c>
      <c r="B13" s="13" t="n">
        <v>11107</v>
      </c>
      <c r="C13" s="13" t="n">
        <v>3474</v>
      </c>
      <c r="D13" s="13" t="n">
        <v>441</v>
      </c>
      <c r="E13" s="2" t="inlineStr">
        <is>
          <t>Ward's (ORNL TEDB40 T3.6)</t>
        </is>
      </c>
    </row>
    <row r="14">
      <c r="A14" s="9" t="n">
        <v>1979</v>
      </c>
      <c r="B14" s="13" t="n">
        <v>10512</v>
      </c>
      <c r="C14" s="13" t="n">
        <v>2845</v>
      </c>
      <c r="D14" s="13" t="n">
        <v>391</v>
      </c>
      <c r="E14" s="2" t="inlineStr">
        <is>
          <t>Ward's (ORNL TEDB40 T3.6)</t>
        </is>
      </c>
    </row>
    <row r="15">
      <c r="A15" s="9" t="n">
        <v>1980</v>
      </c>
      <c r="B15" s="13" t="n">
        <v>8948.799999999999</v>
      </c>
      <c r="C15" s="13" t="n">
        <v>1960</v>
      </c>
      <c r="D15" s="13" t="n">
        <v>271</v>
      </c>
      <c r="E15" s="2" t="inlineStr">
        <is>
          <t>Ward's (ORNL TEDB40 T3.6)</t>
        </is>
      </c>
    </row>
    <row r="16">
      <c r="A16" s="9" t="n">
        <v>1981</v>
      </c>
      <c r="B16" s="13" t="n">
        <v>8488.4</v>
      </c>
      <c r="C16" s="13" t="n">
        <v>1746</v>
      </c>
      <c r="D16" s="13" t="n">
        <v>226</v>
      </c>
      <c r="E16" s="2" t="inlineStr">
        <is>
          <t>Ward's (ORNL TEDB40 T3.6)</t>
        </is>
      </c>
    </row>
    <row r="17">
      <c r="A17" s="9" t="n">
        <v>1982</v>
      </c>
      <c r="B17" s="13" t="n">
        <v>7956.5</v>
      </c>
      <c r="C17" s="13" t="n">
        <v>2063</v>
      </c>
      <c r="D17" s="13" t="n">
        <v>184</v>
      </c>
      <c r="E17" s="2" t="inlineStr">
        <is>
          <t>Ward's (ORNL TEDB40 T3.6)</t>
        </is>
      </c>
    </row>
    <row r="18">
      <c r="A18" s="9" t="n">
        <v>1983</v>
      </c>
      <c r="B18" s="13" t="n">
        <v>9148</v>
      </c>
      <c r="C18" s="13" t="n">
        <v>2521</v>
      </c>
      <c r="D18" s="13" t="n">
        <v>189</v>
      </c>
      <c r="E18" s="2" t="inlineStr">
        <is>
          <t>Ward's (ORNL TEDB40 T3.6)</t>
        </is>
      </c>
    </row>
    <row r="19">
      <c r="A19" s="9" t="n">
        <v>1984</v>
      </c>
      <c r="B19" s="13" t="n">
        <v>10323.7</v>
      </c>
      <c r="C19" s="13" t="n">
        <v>3255</v>
      </c>
      <c r="D19" s="13" t="n">
        <v>282</v>
      </c>
      <c r="E19" s="2" t="inlineStr">
        <is>
          <t>Ward's (ORNL TEDB40 T3.6)</t>
        </is>
      </c>
    </row>
    <row r="20">
      <c r="A20" s="9" t="n">
        <v>1985</v>
      </c>
      <c r="B20" s="13" t="n">
        <v>10979.2</v>
      </c>
      <c r="C20" s="13" t="n">
        <v>3688</v>
      </c>
      <c r="D20" s="13" t="n">
        <v>295</v>
      </c>
      <c r="E20" s="2" t="inlineStr">
        <is>
          <t>Ward's (ORNL TEDB40 T3.6)</t>
        </is>
      </c>
    </row>
    <row r="21">
      <c r="A21" s="9" t="n">
        <v>1986</v>
      </c>
      <c r="B21" s="13" t="n">
        <v>11404.1</v>
      </c>
      <c r="C21" s="13" t="n">
        <v>4594</v>
      </c>
      <c r="D21" s="13" t="n">
        <v>277</v>
      </c>
      <c r="E21" s="2" t="inlineStr">
        <is>
          <t>Ward's (ORNL TEDB40 T3.6)</t>
        </is>
      </c>
    </row>
    <row r="22">
      <c r="A22" s="9" t="n">
        <v>1987</v>
      </c>
      <c r="B22" s="13" t="n">
        <v>10187.5</v>
      </c>
      <c r="C22" s="13" t="n">
        <v>4610</v>
      </c>
      <c r="D22" s="13" t="n">
        <v>302</v>
      </c>
      <c r="E22" s="2" t="inlineStr">
        <is>
          <t>Ward's (ORNL TEDB40 T3.6)</t>
        </is>
      </c>
    </row>
    <row r="23">
      <c r="A23" s="9" t="n">
        <v>1988</v>
      </c>
      <c r="B23" s="13" t="n">
        <v>10543.6</v>
      </c>
      <c r="C23" s="13" t="n">
        <v>4800</v>
      </c>
      <c r="D23" s="13" t="n">
        <v>348</v>
      </c>
      <c r="E23" s="2" t="inlineStr">
        <is>
          <t>Ward's (ORNL TEDB40 T3.6)</t>
        </is>
      </c>
    </row>
    <row r="24">
      <c r="A24" s="9" t="n">
        <v>1989</v>
      </c>
      <c r="B24" s="13" t="n">
        <v>9775.9</v>
      </c>
      <c r="C24" s="13" t="n">
        <v>4610</v>
      </c>
      <c r="D24" s="13" t="n">
        <v>330</v>
      </c>
      <c r="E24" s="2" t="inlineStr">
        <is>
          <t>Ward's (ORNL TEDB40 T3.6)</t>
        </is>
      </c>
    </row>
    <row r="25">
      <c r="A25" s="9" t="n">
        <v>1990</v>
      </c>
      <c r="B25" s="13" t="n">
        <v>9301.200000000001</v>
      </c>
      <c r="C25" s="13" t="n">
        <v>4548</v>
      </c>
      <c r="D25" s="13" t="n">
        <v>297</v>
      </c>
      <c r="E25" s="2" t="inlineStr">
        <is>
          <t>Ward's (ORNL TEDB40 T3.6)</t>
        </is>
      </c>
    </row>
    <row r="26">
      <c r="A26" s="9" t="n">
        <v>1991</v>
      </c>
      <c r="B26" s="13" t="n">
        <v>8185</v>
      </c>
      <c r="C26" s="13" t="n">
        <v>4122</v>
      </c>
      <c r="D26" s="13" t="n">
        <v>242</v>
      </c>
      <c r="E26" s="2" t="inlineStr">
        <is>
          <t>Ward's (ORNL TEDB40 T3.6)</t>
        </is>
      </c>
    </row>
    <row r="27">
      <c r="A27" s="9" t="n">
        <v>1992</v>
      </c>
      <c r="B27" s="13" t="n">
        <v>8213.1</v>
      </c>
      <c r="C27" s="13" t="n">
        <v>4629</v>
      </c>
      <c r="D27" s="13" t="n">
        <v>276</v>
      </c>
      <c r="E27" s="2" t="inlineStr">
        <is>
          <t>Ward's (ORNL TEDB40 T3.6)</t>
        </is>
      </c>
    </row>
    <row r="28">
      <c r="A28" s="9" t="n">
        <v>1993</v>
      </c>
      <c r="B28" s="13" t="n">
        <v>8517.9</v>
      </c>
      <c r="C28" s="13" t="n">
        <v>5351</v>
      </c>
      <c r="D28" s="13" t="n">
        <v>330</v>
      </c>
      <c r="E28" s="2" t="inlineStr">
        <is>
          <t>Ward's (ORNL TEDB40 T3.6)</t>
        </is>
      </c>
    </row>
    <row r="29">
      <c r="A29" s="9" t="n">
        <v>1994</v>
      </c>
      <c r="B29" s="13" t="n">
        <v>8990.5</v>
      </c>
      <c r="C29" s="13" t="n">
        <v>6033</v>
      </c>
      <c r="D29" s="13" t="n">
        <v>387</v>
      </c>
      <c r="E29" s="2" t="inlineStr">
        <is>
          <t>Ward's (ORNL TEDB40 T3.6)</t>
        </is>
      </c>
    </row>
    <row r="30">
      <c r="A30" s="9" t="n">
        <v>1995</v>
      </c>
      <c r="B30" s="13" t="n">
        <v>8620.200000000001</v>
      </c>
      <c r="C30" s="13" t="n">
        <v>6053</v>
      </c>
      <c r="D30" s="13" t="n">
        <v>428</v>
      </c>
      <c r="E30" s="2" t="inlineStr">
        <is>
          <t>Ward's (ORNL TEDB40 T3.6)</t>
        </is>
      </c>
    </row>
    <row r="31">
      <c r="A31" s="9" t="n">
        <v>1996</v>
      </c>
      <c r="B31" s="13" t="n">
        <v>8478.5</v>
      </c>
      <c r="C31" s="13" t="n">
        <v>6519</v>
      </c>
      <c r="D31" s="13" t="n">
        <v>411</v>
      </c>
      <c r="E31" s="2" t="inlineStr">
        <is>
          <t>Ward's (ORNL TEDB40 T3.6)</t>
        </is>
      </c>
    </row>
    <row r="32">
      <c r="A32" s="9" t="n">
        <v>1997</v>
      </c>
      <c r="B32" s="13" t="n">
        <v>8217.5</v>
      </c>
      <c r="C32" s="13" t="n">
        <v>6797</v>
      </c>
      <c r="D32" s="13" t="n">
        <v>430</v>
      </c>
      <c r="E32" s="2" t="inlineStr">
        <is>
          <t>Ward's (ORNL TEDB40 T3.6)</t>
        </is>
      </c>
    </row>
    <row r="33">
      <c r="A33" s="9" t="n">
        <v>1998</v>
      </c>
      <c r="B33" s="13" t="n">
        <v>8085</v>
      </c>
      <c r="C33" s="13" t="n">
        <v>7299</v>
      </c>
      <c r="D33" s="13" t="n">
        <v>526</v>
      </c>
      <c r="E33" s="2" t="inlineStr">
        <is>
          <t>Ward's (ORNL TEDB40 T3.6)</t>
        </is>
      </c>
    </row>
    <row r="34">
      <c r="A34" s="9" t="n">
        <v>1999</v>
      </c>
      <c r="B34" s="13" t="n">
        <v>8637.700000000001</v>
      </c>
      <c r="C34" s="13" t="n">
        <v>8073</v>
      </c>
      <c r="D34" s="13" t="n">
        <v>641</v>
      </c>
      <c r="E34" s="2" t="inlineStr">
        <is>
          <t>Ward's (ORNL TEDB40 T3.6)</t>
        </is>
      </c>
    </row>
    <row r="35">
      <c r="A35" s="9" t="n">
        <v>2000</v>
      </c>
      <c r="B35" s="13" t="n">
        <v>8777.700000000001</v>
      </c>
      <c r="C35" s="13" t="n">
        <v>8386</v>
      </c>
      <c r="D35" s="13" t="n">
        <v>579</v>
      </c>
      <c r="E35" s="2" t="inlineStr">
        <is>
          <t>Ward's (ORNL TEDB40 T3.6)</t>
        </is>
      </c>
    </row>
    <row r="36">
      <c r="A36" s="9" t="n">
        <v>2001</v>
      </c>
      <c r="B36" s="13" t="n">
        <v>8352</v>
      </c>
      <c r="C36" s="13" t="n">
        <v>8598</v>
      </c>
      <c r="D36" s="13" t="n">
        <v>452</v>
      </c>
      <c r="E36" s="2" t="inlineStr">
        <is>
          <t>Ward's (ORNL TEDB40 T3.6)</t>
        </is>
      </c>
    </row>
    <row r="37">
      <c r="A37" s="9" t="n">
        <v>2002</v>
      </c>
      <c r="B37" s="13" t="n">
        <v>8042.3</v>
      </c>
      <c r="C37" s="13" t="n">
        <v>8633</v>
      </c>
      <c r="D37" s="13" t="n">
        <v>402</v>
      </c>
      <c r="E37" s="2" t="inlineStr">
        <is>
          <t>Ward's (ORNL TEDB40 T3.6)</t>
        </is>
      </c>
    </row>
    <row r="38">
      <c r="A38" s="9" t="n">
        <v>2003</v>
      </c>
      <c r="B38" s="13" t="n">
        <v>7555.6</v>
      </c>
      <c r="C38" s="13" t="n">
        <v>8938</v>
      </c>
      <c r="D38" s="13" t="n">
        <v>420</v>
      </c>
      <c r="E38" s="2" t="inlineStr">
        <is>
          <t>Ward's (ORNL TEDB40 T3.6)</t>
        </is>
      </c>
    </row>
    <row r="39">
      <c r="A39" s="9" t="n">
        <v>2004</v>
      </c>
      <c r="B39" s="13" t="n">
        <v>7482.6</v>
      </c>
      <c r="C39" s="13" t="n">
        <v>9254</v>
      </c>
      <c r="D39" s="13" t="n">
        <v>538</v>
      </c>
      <c r="E39" s="2" t="inlineStr">
        <is>
          <t>Ward's (ORNL TEDB40 T3.6)</t>
        </is>
      </c>
    </row>
    <row r="40">
      <c r="A40" s="9" t="n">
        <v>2005</v>
      </c>
      <c r="B40" s="13" t="n">
        <v>7660</v>
      </c>
      <c r="C40" s="13" t="n">
        <v>9114</v>
      </c>
      <c r="D40" s="13" t="n">
        <v>664</v>
      </c>
      <c r="E40" s="2" t="inlineStr">
        <is>
          <t>Ward's (ORNL TEDB40 T3.6)</t>
        </is>
      </c>
    </row>
    <row r="41">
      <c r="A41" s="9" t="n">
        <v>2006</v>
      </c>
      <c r="B41" s="13" t="n">
        <v>7761.6</v>
      </c>
      <c r="C41" s="13" t="n">
        <v>8574</v>
      </c>
      <c r="D41" s="13" t="n">
        <v>694</v>
      </c>
      <c r="E41" s="2" t="inlineStr">
        <is>
          <t>Ward's (ORNL TEDB40 T3.6)</t>
        </is>
      </c>
    </row>
    <row r="42">
      <c r="A42" s="9" t="n">
        <v>2007</v>
      </c>
      <c r="B42" s="13" t="n">
        <v>7562.3</v>
      </c>
      <c r="C42" s="13" t="n">
        <v>8305</v>
      </c>
      <c r="D42" s="13" t="n">
        <v>537</v>
      </c>
      <c r="E42" s="2" t="inlineStr">
        <is>
          <t>Ward's (ORNL TEDB40 T3.6)</t>
        </is>
      </c>
    </row>
    <row r="43">
      <c r="A43" s="9" t="n">
        <v>2008</v>
      </c>
      <c r="B43" s="13" t="n">
        <v>6769.1</v>
      </c>
      <c r="C43" s="13" t="n">
        <v>6246</v>
      </c>
      <c r="D43" s="13" t="n">
        <v>432</v>
      </c>
      <c r="E43" s="2" t="inlineStr">
        <is>
          <t>Ward's (ORNL TEDB40 T3.6)</t>
        </is>
      </c>
    </row>
    <row r="44">
      <c r="A44" s="9" t="n">
        <v>2009</v>
      </c>
      <c r="B44" s="13" t="n">
        <v>5401.6</v>
      </c>
      <c r="C44" s="13" t="n">
        <v>4834</v>
      </c>
      <c r="D44" s="13" t="n">
        <v>312</v>
      </c>
      <c r="E44" s="2" t="inlineStr">
        <is>
          <t>Ward's (ORNL TEDB40 T3.6)</t>
        </is>
      </c>
    </row>
    <row r="45">
      <c r="A45" s="9" t="n">
        <v>2010</v>
      </c>
      <c r="B45" s="13" t="n">
        <v>5635.7</v>
      </c>
      <c r="C45" s="13" t="n">
        <v>5758</v>
      </c>
      <c r="D45" s="13" t="n">
        <v>378</v>
      </c>
      <c r="E45" s="2" t="inlineStr">
        <is>
          <t>Ward's (ORNL TEDB40 T3.6)</t>
        </is>
      </c>
    </row>
    <row r="46">
      <c r="A46" s="9" t="n">
        <v>2011</v>
      </c>
      <c r="B46" s="13" t="n">
        <v>6092.9</v>
      </c>
      <c r="C46" s="13" t="n">
        <v>6449</v>
      </c>
      <c r="D46" s="13" t="n">
        <v>500</v>
      </c>
      <c r="E46" s="2" t="inlineStr">
        <is>
          <t>Ward's (ORNL TEDB40 T3.6)</t>
        </is>
      </c>
    </row>
    <row r="47">
      <c r="A47" s="9" t="n">
        <v>2012</v>
      </c>
      <c r="B47" s="13" t="n">
        <v>7245.2</v>
      </c>
      <c r="C47" s="13" t="n">
        <v>6974.8</v>
      </c>
      <c r="D47" s="13" t="n">
        <v>569.2</v>
      </c>
      <c r="E47" s="2" t="inlineStr">
        <is>
          <t>Ward's (ORNL TEDB40 T3.6)</t>
        </is>
      </c>
    </row>
    <row r="48">
      <c r="A48" s="9" t="n">
        <v>2013</v>
      </c>
      <c r="B48" s="13" t="n">
        <v>7586.3</v>
      </c>
      <c r="C48" s="13" t="n">
        <v>7692.6</v>
      </c>
      <c r="D48" s="13" t="n">
        <v>605.5</v>
      </c>
      <c r="E48" s="2" t="inlineStr">
        <is>
          <t>Ward's (ORNL TEDB40 T3.6)</t>
        </is>
      </c>
    </row>
    <row r="49">
      <c r="A49" s="9" t="n">
        <v>2014</v>
      </c>
      <c r="B49" s="13" t="n">
        <v>7708</v>
      </c>
      <c r="C49" s="13" t="n">
        <v>8483.799999999999</v>
      </c>
      <c r="D49" s="13" t="n">
        <v>670.6</v>
      </c>
      <c r="E49" s="2" t="inlineStr">
        <is>
          <t>Ward's (ORNL TEDB40 T3.6)</t>
        </is>
      </c>
    </row>
    <row r="50">
      <c r="A50" s="9" t="n">
        <v>2015</v>
      </c>
      <c r="B50" s="13" t="n">
        <v>7528.5</v>
      </c>
      <c r="C50" s="13" t="n">
        <v>9578.4</v>
      </c>
      <c r="D50" s="13" t="n">
        <v>732.1</v>
      </c>
      <c r="E50" s="2" t="inlineStr">
        <is>
          <t>Ward's (ORNL TEDB40 T3.6)</t>
        </is>
      </c>
    </row>
    <row r="51">
      <c r="A51" s="9" t="n">
        <v>2016</v>
      </c>
      <c r="B51" s="13" t="n">
        <v>6883.3</v>
      </c>
      <c r="C51" s="13" t="n">
        <v>10296</v>
      </c>
      <c r="D51" s="13" t="n">
        <v>697.1</v>
      </c>
      <c r="E51" s="2" t="inlineStr">
        <is>
          <t>Ward's (ORNL TEDB40 T3.6)</t>
        </is>
      </c>
    </row>
    <row r="52">
      <c r="A52" s="9" t="n">
        <v>2017</v>
      </c>
      <c r="B52" s="13" t="n">
        <v>6089.2</v>
      </c>
      <c r="C52" s="13" t="n">
        <v>10738</v>
      </c>
      <c r="D52" s="13" t="n">
        <v>732.3</v>
      </c>
      <c r="E52" s="2" t="inlineStr">
        <is>
          <t>Ward's (ORNL TEDB40 T3.6)</t>
        </is>
      </c>
    </row>
    <row r="53">
      <c r="A53" s="9" t="n">
        <v>2018</v>
      </c>
      <c r="B53" s="13" t="n">
        <v>5310.3</v>
      </c>
      <c r="C53" s="13" t="n">
        <v>11609.2</v>
      </c>
      <c r="D53" s="13" t="n">
        <v>788.6</v>
      </c>
      <c r="E53" s="2" t="inlineStr">
        <is>
          <t>Ward's (ORNL TEDB40 T3.6)</t>
        </is>
      </c>
    </row>
    <row r="54">
      <c r="A54" s="9" t="n">
        <v>2019</v>
      </c>
      <c r="B54" s="13" t="n">
        <v>4719.7</v>
      </c>
      <c r="C54" s="13" t="n">
        <v>11910.5</v>
      </c>
      <c r="D54" s="13" t="n">
        <v>854.5</v>
      </c>
      <c r="E54" s="2" t="inlineStr">
        <is>
          <t>Ward's (ORNL TEDB40 T3.6)</t>
        </is>
      </c>
    </row>
    <row r="55">
      <c r="A55" s="9" t="n">
        <v>2020</v>
      </c>
      <c r="B55" s="13" t="n">
        <v>3401.8</v>
      </c>
      <c r="C55" s="13" t="n">
        <v>10721.2</v>
      </c>
      <c r="D55" s="13" t="n">
        <v>758.4</v>
      </c>
      <c r="E55" s="2" t="inlineStr">
        <is>
          <t>Ward's (ORNL TEDB40 T3.6)</t>
        </is>
      </c>
    </row>
    <row r="56">
      <c r="A56" s="9" t="n">
        <v>2021</v>
      </c>
      <c r="B56" s="13" t="n">
        <v>3350.1</v>
      </c>
      <c r="C56" s="13" t="n">
        <v>11220.1</v>
      </c>
      <c r="D56" s="13" t="n">
        <v>841.5</v>
      </c>
      <c r="E56" s="2" t="inlineStr">
        <is>
          <t>Ward's (ORNL TEDB40 T3.6)</t>
        </is>
      </c>
    </row>
    <row r="57">
      <c r="A57" s="9" t="n">
        <v>2022</v>
      </c>
      <c r="B57" s="13" t="n">
        <v>2930.7</v>
      </c>
      <c r="C57" s="13" t="n">
        <v>10541.7</v>
      </c>
      <c r="D57" s="13" t="n">
        <v>867.8</v>
      </c>
      <c r="E57" s="2" t="inlineStr">
        <is>
          <t>FRED TOTALNSA/LTRUCKNSA/HTRUCKSNSA x Ward's-basis scale</t>
        </is>
      </c>
    </row>
    <row r="58">
      <c r="A58" s="9" t="n">
        <v>2023</v>
      </c>
      <c r="B58" s="13" t="n">
        <v>3184.6</v>
      </c>
      <c r="C58" s="13" t="n">
        <v>11983.4</v>
      </c>
      <c r="D58" s="13" t="n">
        <v>923.9</v>
      </c>
      <c r="E58" s="2" t="inlineStr">
        <is>
          <t>FRED TOTALNSA/LTRUCKNSA/HTRUCKSNSA x Ward's-basis scale</t>
        </is>
      </c>
    </row>
    <row r="59">
      <c r="A59" s="9" t="n">
        <v>2024</v>
      </c>
      <c r="B59" s="13" t="n">
        <v>3040.5</v>
      </c>
      <c r="C59" s="13" t="n">
        <v>12455.7</v>
      </c>
      <c r="D59" s="13" t="n">
        <v>878.8</v>
      </c>
      <c r="E59" s="2" t="inlineStr">
        <is>
          <t>FRED TOTALNSA/LTRUCKNSA/HTRUCKSNSA x Ward's-basis scale</t>
        </is>
      </c>
    </row>
    <row r="60">
      <c r="A60" s="9" t="n">
        <v>2025</v>
      </c>
      <c r="B60" s="13" t="n">
        <v>2764.4</v>
      </c>
      <c r="C60" s="13" t="n">
        <v>13090.5</v>
      </c>
      <c r="D60" s="13" t="n">
        <v>758.9</v>
      </c>
      <c r="E60" s="2" t="inlineStr">
        <is>
          <t>FRED TOTALNSA/LTRUCKNSA/HTRUCKSNSA x Ward's-basis scale</t>
        </is>
      </c>
    </row>
    <row r="61">
      <c r="A61" s="9" t="n">
        <v>2026</v>
      </c>
      <c r="B61" s="19">
        <f>Inputs!$B$16</f>
        <v/>
      </c>
      <c r="C61" s="19">
        <f>Inputs!$B$17</f>
        <v/>
      </c>
      <c r="D61" s="13" t="n"/>
      <c r="E61" s="2" t="inlineStr">
        <is>
          <t>ASSUMED — Inputs B16/B17; heavy trucks not modelled (outside the light-vehicle roll)</t>
        </is>
      </c>
    </row>
    <row r="62">
      <c r="A62" s="9" t="n">
        <v>2027</v>
      </c>
      <c r="B62" s="19">
        <f>Inputs!$B$16</f>
        <v/>
      </c>
      <c r="C62" s="19">
        <f>Inputs!$B$17</f>
        <v/>
      </c>
      <c r="D62" s="13" t="n"/>
      <c r="E62" s="2" t="inlineStr">
        <is>
          <t>ASSUMED — Inputs B16/B17; heavy trucks not modelled (outside the light-vehicle roll)</t>
        </is>
      </c>
    </row>
    <row r="63">
      <c r="A63" s="9" t="n">
        <v>2028</v>
      </c>
      <c r="B63" s="19">
        <f>Inputs!$B$16</f>
        <v/>
      </c>
      <c r="C63" s="19">
        <f>Inputs!$B$17</f>
        <v/>
      </c>
      <c r="D63" s="13" t="n"/>
      <c r="E63" s="2" t="inlineStr">
        <is>
          <t>ASSUMED — Inputs B16/B17; heavy trucks not modelled (outside the light-vehicle roll)</t>
        </is>
      </c>
    </row>
    <row r="64">
      <c r="A64" s="9" t="n">
        <v>2029</v>
      </c>
      <c r="B64" s="19">
        <f>Inputs!$B$16</f>
        <v/>
      </c>
      <c r="C64" s="19">
        <f>Inputs!$B$17</f>
        <v/>
      </c>
      <c r="D64" s="13" t="n"/>
      <c r="E64" s="2" t="inlineStr">
        <is>
          <t>ASSUMED — Inputs B16/B17; heavy trucks not modelled (outside the light-vehicle roll)</t>
        </is>
      </c>
    </row>
    <row r="65">
      <c r="A65" s="9" t="n">
        <v>2030</v>
      </c>
      <c r="B65" s="19">
        <f>Inputs!$B$16</f>
        <v/>
      </c>
      <c r="C65" s="19">
        <f>Inputs!$B$17</f>
        <v/>
      </c>
      <c r="D65" s="13" t="n"/>
      <c r="E65" s="2" t="inlineStr">
        <is>
          <t>ASSUMED — Inputs B16/B17; heavy trucks not modelled (outside the light-vehicle roll)</t>
        </is>
      </c>
    </row>
  </sheetData>
  <mergeCells count="2">
    <mergeCell ref="A3:F3"/>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22" customWidth="1" min="3" max="3"/>
  </cols>
  <sheetData>
    <row r="1">
      <c r="A1" s="1" t="inlineStr">
        <is>
          <t>EPA survival rates by vehicle age — cars and light trucks</t>
        </is>
      </c>
    </row>
    <row r="2" ht="42" customHeight="1">
      <c r="A2" s="6" t="inlineStr">
        <is>
          <t>ORNL Transportation Energy Data Book Ed.40 (June 2022) spreadsheets, https://tedb.ornl.gov/wp-content/uploads/2022/06/TEDB_40_Spreadsheets_06012022.zip (robots-open, fetched 2026-09-14) | Table 3.15 (Table3_15_01312022.xlsx): EPA estimated survival rates by vehicle age, cars and light trucks (MY2015 rulemaking schedules)</t>
        </is>
      </c>
    </row>
    <row r="3">
      <c r="A3" s="2" t="inlineStr">
        <is>
          <t>Primary: U.S. EPA, Draft Technical Assessment Report, Midterm Evaluation of LD GHG / CAFE Standards MY2022–2025, EPA-420-D-16-900, July 2016 — republished as ORNL Transportation Energy Data Book Ed.40 Table 3.15. Values verbatim.</t>
        </is>
      </c>
    </row>
    <row r="4">
      <c r="A4" s="7" t="inlineStr">
        <is>
          <t>age</t>
        </is>
      </c>
      <c r="B4" s="7" t="inlineStr">
        <is>
          <t>survival_cars</t>
        </is>
      </c>
      <c r="C4" s="7" t="inlineStr">
        <is>
          <t>survival_light_trucks</t>
        </is>
      </c>
    </row>
    <row r="5">
      <c r="A5" s="9" t="n">
        <v>0</v>
      </c>
      <c r="B5" s="20" t="n">
        <v>1</v>
      </c>
      <c r="C5" s="20" t="n">
        <v>1</v>
      </c>
    </row>
    <row r="6">
      <c r="A6" s="9" t="n">
        <v>1</v>
      </c>
      <c r="B6" s="20" t="n">
        <v>0.997</v>
      </c>
      <c r="C6" s="20" t="n">
        <v>0.991</v>
      </c>
    </row>
    <row r="7">
      <c r="A7" s="9" t="n">
        <v>2</v>
      </c>
      <c r="B7" s="20" t="n">
        <v>0.994</v>
      </c>
      <c r="C7" s="20" t="n">
        <v>0.982</v>
      </c>
    </row>
    <row r="8">
      <c r="A8" s="9" t="n">
        <v>3</v>
      </c>
      <c r="B8" s="20" t="n">
        <v>0.991</v>
      </c>
      <c r="C8" s="20" t="n">
        <v>0.973</v>
      </c>
    </row>
    <row r="9">
      <c r="A9" s="9" t="n">
        <v>4</v>
      </c>
      <c r="B9" s="20" t="n">
        <v>0.984</v>
      </c>
      <c r="C9" s="20" t="n">
        <v>0.96</v>
      </c>
    </row>
    <row r="10">
      <c r="A10" s="9" t="n">
        <v>5</v>
      </c>
      <c r="B10" s="20" t="n">
        <v>0.974</v>
      </c>
      <c r="C10" s="20" t="n">
        <v>0.9409999999999999</v>
      </c>
    </row>
    <row r="11">
      <c r="A11" s="9" t="n">
        <v>6</v>
      </c>
      <c r="B11" s="20" t="n">
        <v>0.961</v>
      </c>
      <c r="C11" s="20" t="n">
        <v>0.919</v>
      </c>
    </row>
    <row r="12">
      <c r="A12" s="9" t="n">
        <v>7</v>
      </c>
      <c r="B12" s="20" t="n">
        <v>0.9419999999999999</v>
      </c>
      <c r="C12" s="20" t="n">
        <v>0.891</v>
      </c>
    </row>
    <row r="13">
      <c r="A13" s="9" t="n">
        <v>8</v>
      </c>
      <c r="B13" s="20" t="n">
        <v>0.92</v>
      </c>
      <c r="C13" s="20" t="n">
        <v>0.859</v>
      </c>
    </row>
    <row r="14">
      <c r="A14" s="9" t="n">
        <v>9</v>
      </c>
      <c r="B14" s="20" t="n">
        <v>0.893</v>
      </c>
      <c r="C14" s="20" t="n">
        <v>0.823</v>
      </c>
    </row>
    <row r="15">
      <c r="A15" s="9" t="n">
        <v>10</v>
      </c>
      <c r="B15" s="20" t="n">
        <v>0.862</v>
      </c>
      <c r="C15" s="20" t="n">
        <v>0.784</v>
      </c>
    </row>
    <row r="16">
      <c r="A16" s="9" t="n">
        <v>11</v>
      </c>
      <c r="B16" s="20" t="n">
        <v>0.826</v>
      </c>
      <c r="C16" s="20" t="n">
        <v>0.741</v>
      </c>
    </row>
    <row r="17">
      <c r="A17" s="9" t="n">
        <v>12</v>
      </c>
      <c r="B17" s="20" t="n">
        <v>0.788</v>
      </c>
      <c r="C17" s="20" t="n">
        <v>0.697</v>
      </c>
    </row>
    <row r="18">
      <c r="A18" s="9" t="n">
        <v>13</v>
      </c>
      <c r="B18" s="20" t="n">
        <v>0.718</v>
      </c>
      <c r="C18" s="20" t="n">
        <v>0.651</v>
      </c>
    </row>
    <row r="19">
      <c r="A19" s="9" t="n">
        <v>14</v>
      </c>
      <c r="B19" s="20" t="n">
        <v>0.613</v>
      </c>
      <c r="C19" s="20" t="n">
        <v>0.605</v>
      </c>
    </row>
    <row r="20">
      <c r="A20" s="9" t="n">
        <v>15</v>
      </c>
      <c r="B20" s="20" t="n">
        <v>0.51</v>
      </c>
      <c r="C20" s="20" t="n">
        <v>0.553</v>
      </c>
    </row>
    <row r="21">
      <c r="A21" s="9" t="n">
        <v>16</v>
      </c>
      <c r="B21" s="20" t="n">
        <v>0.415</v>
      </c>
      <c r="C21" s="20" t="n">
        <v>0.502</v>
      </c>
    </row>
    <row r="22">
      <c r="A22" s="9" t="n">
        <v>17</v>
      </c>
      <c r="B22" s="20" t="n">
        <v>0.332</v>
      </c>
      <c r="C22" s="20" t="n">
        <v>0.453</v>
      </c>
    </row>
    <row r="23">
      <c r="A23" s="9" t="n">
        <v>18</v>
      </c>
      <c r="B23" s="20" t="n">
        <v>0.261</v>
      </c>
      <c r="C23" s="20" t="n">
        <v>0.407</v>
      </c>
    </row>
    <row r="24">
      <c r="A24" s="9" t="n">
        <v>19</v>
      </c>
      <c r="B24" s="20" t="n">
        <v>0.203</v>
      </c>
      <c r="C24" s="20" t="n">
        <v>0.364</v>
      </c>
    </row>
    <row r="25">
      <c r="A25" s="9" t="n">
        <v>20</v>
      </c>
      <c r="B25" s="20" t="n">
        <v>0.157</v>
      </c>
      <c r="C25" s="20" t="n">
        <v>0.324</v>
      </c>
    </row>
    <row r="26">
      <c r="A26" s="9" t="n">
        <v>21</v>
      </c>
      <c r="B26" s="20" t="n">
        <v>0.12</v>
      </c>
      <c r="C26" s="20" t="n">
        <v>0.288</v>
      </c>
    </row>
    <row r="27">
      <c r="A27" s="9" t="n">
        <v>22</v>
      </c>
      <c r="B27" s="20" t="n">
        <v>0.092</v>
      </c>
      <c r="C27" s="20" t="n">
        <v>0.255</v>
      </c>
    </row>
    <row r="28">
      <c r="A28" s="9" t="n">
        <v>23</v>
      </c>
      <c r="B28" s="20" t="n">
        <v>0.07000000000000001</v>
      </c>
      <c r="C28" s="20" t="n">
        <v>0.225</v>
      </c>
    </row>
    <row r="29">
      <c r="A29" s="9" t="n">
        <v>24</v>
      </c>
      <c r="B29" s="20" t="n">
        <v>0.053</v>
      </c>
      <c r="C29" s="20" t="n">
        <v>0.198</v>
      </c>
    </row>
    <row r="30">
      <c r="A30" s="9" t="n">
        <v>25</v>
      </c>
      <c r="B30" s="20" t="n">
        <v>0.04</v>
      </c>
      <c r="C30" s="20" t="n">
        <v>0.174</v>
      </c>
    </row>
    <row r="31">
      <c r="A31" s="9" t="n">
        <v>26</v>
      </c>
      <c r="B31" s="20" t="n">
        <v>0.03</v>
      </c>
      <c r="C31" s="20" t="n">
        <v>0.153</v>
      </c>
    </row>
    <row r="32">
      <c r="A32" s="9" t="n">
        <v>27</v>
      </c>
      <c r="B32" s="20" t="n">
        <v>0.023</v>
      </c>
      <c r="C32" s="20" t="n">
        <v>0.133</v>
      </c>
    </row>
    <row r="33">
      <c r="A33" s="9" t="n">
        <v>28</v>
      </c>
      <c r="B33" s="20" t="n">
        <v>0.013</v>
      </c>
      <c r="C33" s="20" t="n">
        <v>0.117</v>
      </c>
    </row>
    <row r="34">
      <c r="A34" s="9" t="n">
        <v>29</v>
      </c>
      <c r="B34" s="20" t="n">
        <v>0.01</v>
      </c>
      <c r="C34" s="20" t="n">
        <v>0.102</v>
      </c>
    </row>
    <row r="35">
      <c r="A35" s="9" t="n">
        <v>30</v>
      </c>
      <c r="B35" s="20" t="n">
        <v>0.007</v>
      </c>
      <c r="C35" s="20" t="n">
        <v>0.089</v>
      </c>
    </row>
    <row r="36">
      <c r="A36" s="9" t="n">
        <v>31</v>
      </c>
      <c r="B36" s="20" t="n">
        <v>0.002</v>
      </c>
      <c r="C36" s="20" t="n">
        <v>0.027</v>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8" customWidth="1" min="3" max="3"/>
    <col width="46" customWidth="1" min="4" max="4"/>
    <col width="9" customWidth="1" min="5" max="5"/>
    <col width="10" customWidth="1" min="6" max="6"/>
    <col width="80" customWidth="1" min="7" max="7"/>
    <col width="46" customWidth="1" min="8" max="8"/>
  </cols>
  <sheetData>
    <row r="1">
      <c r="A1" s="1" t="inlineStr">
        <is>
          <t>CCC Crash Course statistics used to fit and test R(age) and P(age)</t>
        </is>
      </c>
    </row>
    <row r="2" ht="30" customHeight="1">
      <c r="A2" s="6" t="inlineStr">
        <is>
          <t>Quotes verbatim from the ungated report pages (PROVENANCE.md §5). FIT rows are used by the Calibration tab; OOS rows are the out-of-sample tests on TLF_Roll. Tolerance = the error that costs one unit of Solver loss.</t>
        </is>
      </c>
    </row>
    <row r="4">
      <c r="A4" s="7" t="inlineStr">
        <is>
          <t>use</t>
        </is>
      </c>
      <c r="B4" s="7" t="inlineStr">
        <is>
          <t>year</t>
        </is>
      </c>
      <c r="C4" s="7" t="inlineStr">
        <is>
          <t>key</t>
        </is>
      </c>
      <c r="D4" s="7" t="inlineStr">
        <is>
          <t>statistic</t>
        </is>
      </c>
      <c r="E4" s="7" t="inlineStr">
        <is>
          <t>value</t>
        </is>
      </c>
      <c r="F4" s="7" t="inlineStr">
        <is>
          <t>tolerance</t>
        </is>
      </c>
      <c r="G4" s="7" t="inlineStr">
        <is>
          <t>quote</t>
        </is>
      </c>
      <c r="H4" s="7" t="inlineStr">
        <is>
          <t>page</t>
        </is>
      </c>
    </row>
    <row r="5">
      <c r="A5" s="5" t="inlineStr">
        <is>
          <t>FIT</t>
        </is>
      </c>
      <c r="B5" s="5" t="n">
        <v>2024</v>
      </c>
      <c r="C5" s="5" t="inlineStr">
        <is>
          <t>tlf</t>
        </is>
      </c>
      <c r="D5" s="5" t="inlineStr">
        <is>
          <t>Total-loss frequency, all loss categories</t>
        </is>
      </c>
      <c r="E5" s="14" t="n">
        <v>0.223</v>
      </c>
      <c r="F5" s="21" t="n">
        <v>0.005</v>
      </c>
      <c r="G5" s="4" t="inlineStr">
        <is>
          <t>printed data label, chart "Total Loss Frequency Remains High as Vehicle Values Trend Up" (2024 = 22.3%)</t>
        </is>
      </c>
      <c r="H5" s="5" t="inlineStr">
        <is>
          <t>https://www.cccis.com/reports/crash-course-2026</t>
        </is>
      </c>
    </row>
    <row r="6">
      <c r="A6" s="5" t="inlineStr">
        <is>
          <t>FIT</t>
        </is>
      </c>
      <c r="B6" s="5" t="n">
        <v>2024</v>
      </c>
      <c r="C6" s="5" t="inlineStr">
        <is>
          <t>tl7</t>
        </is>
      </c>
      <c r="D6" s="5" t="inlineStr">
        <is>
          <t>Share of total-loss valuations on vehicles 7+ yrs</t>
        </is>
      </c>
      <c r="E6" s="14" t="n">
        <v>0.72</v>
      </c>
      <c r="F6" s="21" t="n">
        <v>0.01</v>
      </c>
      <c r="G6" s="4" t="inlineStr">
        <is>
          <t>almost 72% of valuations across all loss categories are for vehicles 7 years or older</t>
        </is>
      </c>
      <c r="H6" s="5" t="inlineStr">
        <is>
          <t>https://www.cccis.com/reports/crash-course-2024/q4</t>
        </is>
      </c>
    </row>
    <row r="7">
      <c r="A7" s="5" t="inlineStr">
        <is>
          <t>FIT</t>
        </is>
      </c>
      <c r="B7" s="5" t="n">
        <v>2024</v>
      </c>
      <c r="C7" s="5" t="inlineStr">
        <is>
          <t>rp7</t>
        </is>
      </c>
      <c r="D7" s="5" t="inlineStr">
        <is>
          <t>Share of repairable claims on vehicles 7+ yrs</t>
        </is>
      </c>
      <c r="E7" s="14" t="n">
        <v>0.45</v>
      </c>
      <c r="F7" s="21" t="n">
        <v>0.01</v>
      </c>
      <c r="G7" s="4" t="inlineStr">
        <is>
          <t>vehicles seven years or older now make up nearly 45% of all repairable claims, up from 35% in 2019</t>
        </is>
      </c>
      <c r="H7" s="5" t="inlineStr">
        <is>
          <t>https://www.cccis.com/reports/crash-course-2024/q4</t>
        </is>
      </c>
    </row>
    <row r="8">
      <c r="A8" s="5" t="inlineStr">
        <is>
          <t>FIT</t>
        </is>
      </c>
      <c r="B8" s="5" t="n">
        <v>2024</v>
      </c>
      <c r="C8" s="5" t="inlineStr">
        <is>
          <t>rp3</t>
        </is>
      </c>
      <c r="D8" s="5" t="inlineStr">
        <is>
          <t>Share of repairable claims on vehicles ≤3 yrs (all fuel)</t>
        </is>
      </c>
      <c r="E8" s="14" t="n">
        <v>0.3</v>
      </c>
      <c r="F8" s="21" t="n">
        <v>0.02</v>
      </c>
      <c r="G8" s="4" t="inlineStr">
        <is>
          <t>Only 26.3% of repairable ICE vehicles are three years or newer (EVs 79.4% / hybrids 60.3% ≤3 yrs → all-fuel ≈30%)</t>
        </is>
      </c>
      <c r="H8" s="5" t="inlineStr">
        <is>
          <t>https://www.cccis.com/reports/crash-course-2024/q4</t>
        </is>
      </c>
    </row>
    <row r="9">
      <c r="A9" s="5" t="inlineStr">
        <is>
          <t>FIT</t>
        </is>
      </c>
      <c r="B9" s="5" t="n">
        <v>2024</v>
      </c>
      <c r="C9" s="5" t="inlineStr">
        <is>
          <t>age_cl</t>
        </is>
      </c>
      <c r="D9" s="5" t="inlineStr">
        <is>
          <t>Average age of vehicles in claims (yrs)</t>
        </is>
      </c>
      <c r="E9" s="22" t="n">
        <v>7.6</v>
      </c>
      <c r="F9" s="10" t="n">
        <v>0.15</v>
      </c>
      <c r="G9" s="4" t="inlineStr">
        <is>
          <t>For claims, the average age of vehicles has increased to 7.6 years – up from 6.9 years in 2020</t>
        </is>
      </c>
      <c r="H9" s="5" t="inlineStr">
        <is>
          <t>https://www.cccis.com/reports/crash-course-2025/q1</t>
        </is>
      </c>
    </row>
    <row r="10">
      <c r="A10" s="5" t="inlineStr">
        <is>
          <t>FIT</t>
        </is>
      </c>
      <c r="B10" s="5" t="n">
        <v>2024</v>
      </c>
      <c r="C10" s="5" t="inlineStr">
        <is>
          <t>age_rp</t>
        </is>
      </c>
      <c r="D10" s="5" t="inlineStr">
        <is>
          <t>Average age of repairable vehicles (yrs)</t>
        </is>
      </c>
      <c r="E10" s="22" t="n">
        <v>6.8</v>
      </c>
      <c r="F10" s="10" t="n">
        <v>0.15</v>
      </c>
      <c r="G10" s="4" t="inlineStr">
        <is>
          <t>The average age of repairable vehicles was 6.8 years in 2024 (up from 6.1 years old in 2020)</t>
        </is>
      </c>
      <c r="H10" s="5" t="inlineStr">
        <is>
          <t>https://www.cccis.com/reports/crash-course-2025/q1</t>
        </is>
      </c>
    </row>
    <row r="11">
      <c r="A11" s="5" t="inlineStr">
        <is>
          <t>FIT</t>
        </is>
      </c>
      <c r="B11" s="5" t="n">
        <v>2024</v>
      </c>
      <c r="C11" s="5" t="inlineStr">
        <is>
          <t>age_tl</t>
        </is>
      </c>
      <c r="D11" s="5" t="inlineStr">
        <is>
          <t>Average age of total-loss vehicles (yrs)</t>
        </is>
      </c>
      <c r="E11" s="22" t="n">
        <v>10.6</v>
      </c>
      <c r="F11" s="10" t="n">
        <v>0.15</v>
      </c>
      <c r="G11" s="4" t="inlineStr">
        <is>
          <t>... and 10.6 years for total loss vehicles (up from 10.0 years old in 2020)</t>
        </is>
      </c>
      <c r="H11" s="5" t="inlineStr">
        <is>
          <t>https://www.cccis.com/reports/crash-course-2025/q1</t>
        </is>
      </c>
    </row>
    <row r="12">
      <c r="A12" s="5" t="inlineStr">
        <is>
          <t>FIT</t>
        </is>
      </c>
      <c r="B12" s="5" t="n">
        <v>2024</v>
      </c>
      <c r="C12" s="5" t="inlineStr">
        <is>
          <t>p03</t>
        </is>
      </c>
      <c r="D12" s="5" t="inlineStr">
        <is>
          <t>Total-loss rate for claims on vehicles ≤3 yrs</t>
        </is>
      </c>
      <c r="E12" s="14" t="n">
        <v>0.1</v>
      </c>
      <c r="F12" s="21" t="n">
        <v>0.01</v>
      </c>
      <c r="G12" s="4" t="inlineStr">
        <is>
          <t>For claims that are three years old or newer, 1 in 10 are flagged as a total loss by the insurer</t>
        </is>
      </c>
      <c r="H12" s="5" t="inlineStr">
        <is>
          <t>https://www.cccis.com/reports/crash-course-2026</t>
        </is>
      </c>
    </row>
    <row r="13">
      <c r="A13" s="5" t="inlineStr">
        <is>
          <t>OOS</t>
        </is>
      </c>
      <c r="B13" s="5" t="n">
        <v>2019</v>
      </c>
      <c r="C13" s="5" t="inlineStr">
        <is>
          <t>rp7</t>
        </is>
      </c>
      <c r="D13" s="5" t="inlineStr">
        <is>
          <t>Share of repairable claims on vehicles 7+ yrs</t>
        </is>
      </c>
      <c r="E13" s="14" t="n">
        <v>0.35</v>
      </c>
      <c r="F13" s="21" t="n"/>
      <c r="G13" s="4" t="inlineStr">
        <is>
          <t>up from 35% in 2019</t>
        </is>
      </c>
      <c r="H13" s="5" t="inlineStr">
        <is>
          <t>https://www.cccis.com/reports/crash-course-2024/q4</t>
        </is>
      </c>
    </row>
    <row r="14">
      <c r="A14" s="5" t="inlineStr">
        <is>
          <t>OOS</t>
        </is>
      </c>
      <c r="B14" s="5" t="n">
        <v>2019</v>
      </c>
      <c r="C14" s="5" t="inlineStr">
        <is>
          <t>rp3</t>
        </is>
      </c>
      <c r="D14" s="5" t="inlineStr">
        <is>
          <t>Share of repairable claims on vehicles ≤3 yrs</t>
        </is>
      </c>
      <c r="E14" s="14" t="n">
        <v>0.385</v>
      </c>
      <c r="F14" s="21" t="n"/>
      <c r="G14" s="4" t="inlineStr">
        <is>
          <t>vehicles 3 years or newer represented 38.5% of the repairable mix in 2019</t>
        </is>
      </c>
      <c r="H14" s="5" t="inlineStr">
        <is>
          <t>https://www.cccis.com/reports/crash-course-2025/q1</t>
        </is>
      </c>
    </row>
    <row r="15">
      <c r="A15" s="5" t="inlineStr">
        <is>
          <t>OOS</t>
        </is>
      </c>
      <c r="B15" s="5" t="n">
        <v>2020</v>
      </c>
      <c r="C15" s="5" t="inlineStr">
        <is>
          <t>age_cl</t>
        </is>
      </c>
      <c r="D15" s="5" t="inlineStr">
        <is>
          <t>Average age of vehicles in claims (yrs)</t>
        </is>
      </c>
      <c r="E15" s="22" t="n">
        <v>6.9</v>
      </c>
      <c r="F15" s="10" t="n"/>
      <c r="G15" s="4" t="inlineStr">
        <is>
          <t>up from 6.9 years in 2020</t>
        </is>
      </c>
      <c r="H15" s="5" t="inlineStr">
        <is>
          <t>https://www.cccis.com/reports/crash-course-2025/q1</t>
        </is>
      </c>
    </row>
    <row r="16">
      <c r="A16" s="5" t="inlineStr">
        <is>
          <t>OOS</t>
        </is>
      </c>
      <c r="B16" s="5" t="n">
        <v>2020</v>
      </c>
      <c r="C16" s="5" t="inlineStr">
        <is>
          <t>age_rp</t>
        </is>
      </c>
      <c r="D16" s="5" t="inlineStr">
        <is>
          <t>Average age of repairable vehicles (yrs)</t>
        </is>
      </c>
      <c r="E16" s="22" t="n">
        <v>6.1</v>
      </c>
      <c r="F16" s="10" t="n"/>
      <c r="G16" s="4" t="inlineStr">
        <is>
          <t>up from 6.1 years old in 2020</t>
        </is>
      </c>
      <c r="H16" s="5" t="inlineStr">
        <is>
          <t>https://www.cccis.com/reports/crash-course-2025/q1</t>
        </is>
      </c>
    </row>
    <row r="17">
      <c r="A17" s="5" t="inlineStr">
        <is>
          <t>OOS</t>
        </is>
      </c>
      <c r="B17" s="5" t="n">
        <v>2020</v>
      </c>
      <c r="C17" s="5" t="inlineStr">
        <is>
          <t>age_tl</t>
        </is>
      </c>
      <c r="D17" s="5" t="inlineStr">
        <is>
          <t>Average age of total-loss vehicles (yrs)</t>
        </is>
      </c>
      <c r="E17" s="22" t="n">
        <v>10</v>
      </c>
      <c r="F17" s="10" t="n"/>
      <c r="G17" s="4" t="inlineStr">
        <is>
          <t>up from 10.0 years old in 2020</t>
        </is>
      </c>
      <c r="H17" s="5" t="inlineStr">
        <is>
          <t>https://www.cccis.com/reports/crash-course-2025/q1</t>
        </is>
      </c>
    </row>
    <row r="18">
      <c r="A18" s="5" t="inlineStr">
        <is>
          <t>OOS</t>
        </is>
      </c>
      <c r="B18" s="5" t="n">
        <v>2025</v>
      </c>
      <c r="C18" s="5" t="inlineStr">
        <is>
          <t>tl7</t>
        </is>
      </c>
      <c r="D18" s="5" t="inlineStr">
        <is>
          <t>Share of total-loss valuations on vehicles 7+ yrs</t>
        </is>
      </c>
      <c r="E18" s="14" t="n">
        <v>0.72</v>
      </c>
      <c r="F18" s="21" t="n"/>
      <c r="G18" s="4" t="inlineStr">
        <is>
          <t>over 72% of total loss valuations are on vehicles 7 years or older</t>
        </is>
      </c>
      <c r="H18" s="5" t="inlineStr">
        <is>
          <t>https://www.cccis.com/reports/crash-course-2025/q4</t>
        </is>
      </c>
    </row>
    <row r="19">
      <c r="A19" s="5" t="inlineStr">
        <is>
          <t>OOS</t>
        </is>
      </c>
      <c r="B19" s="5" t="n">
        <v>2025</v>
      </c>
      <c r="C19" s="5" t="inlineStr">
        <is>
          <t>rp7</t>
        </is>
      </c>
      <c r="D19" s="5" t="inlineStr">
        <is>
          <t>Share of repairable claims on vehicles 7+ yrs</t>
        </is>
      </c>
      <c r="E19" s="14" t="n">
        <v>0.46</v>
      </c>
      <c r="F19" s="21" t="n"/>
      <c r="G19" s="4" t="inlineStr">
        <is>
          <t>almost 46% of repairable vehicles are 7 years or older</t>
        </is>
      </c>
      <c r="H19" s="5" t="inlineStr">
        <is>
          <t>https://www.cccis.com/reports/crash-course-2025/q4</t>
        </is>
      </c>
    </row>
    <row r="20">
      <c r="A20" s="5" t="inlineStr">
        <is>
          <t>OOS</t>
        </is>
      </c>
      <c r="B20" s="5" t="n">
        <v>2019</v>
      </c>
      <c r="C20" s="5" t="inlineStr">
        <is>
          <t>tlf</t>
        </is>
      </c>
      <c r="D20" s="5" t="inlineStr">
        <is>
          <t>TLF all loss categories (demographics-only model vs actual)</t>
        </is>
      </c>
      <c r="E20" s="14" t="n">
        <v>0.192</v>
      </c>
      <c r="F20" s="21" t="n"/>
      <c r="G20" s="4" t="inlineStr">
        <is>
          <t>CCC annual 2019 = 19.2%; the gap is the non-demographic LEVEL (spread cycle, technology, filing)</t>
        </is>
      </c>
      <c r="H20" s="5" t="inlineStr">
        <is>
          <t>Data_CCC_TLF_Annual</t>
        </is>
      </c>
    </row>
    <row r="21">
      <c r="A21" s="5" t="inlineStr">
        <is>
          <t>OOS</t>
        </is>
      </c>
      <c r="B21" s="5" t="n">
        <v>2020</v>
      </c>
      <c r="C21" s="5" t="inlineStr">
        <is>
          <t>tlf</t>
        </is>
      </c>
      <c r="D21" s="5" t="inlineStr">
        <is>
          <t>TLF all loss categories</t>
        </is>
      </c>
      <c r="E21" s="14" t="n">
        <v>0.206</v>
      </c>
      <c r="F21" s="21" t="n"/>
      <c r="G21" s="4" t="inlineStr">
        <is>
          <t>CCC annual 2020 = 20.6%</t>
        </is>
      </c>
      <c r="H21" s="5" t="inlineStr">
        <is>
          <t>Data_CCC_TLF_Annual</t>
        </is>
      </c>
    </row>
    <row r="22">
      <c r="A22" s="5" t="inlineStr">
        <is>
          <t>OOS</t>
        </is>
      </c>
      <c r="B22" s="5" t="n">
        <v>2025</v>
      </c>
      <c r="C22" s="5" t="inlineStr">
        <is>
          <t>tlf</t>
        </is>
      </c>
      <c r="D22" s="5" t="inlineStr">
        <is>
          <t>TLF all loss categories</t>
        </is>
      </c>
      <c r="E22" s="14" t="n">
        <v>0.231</v>
      </c>
      <c r="F22" s="21" t="n"/>
      <c r="G22" s="4" t="inlineStr">
        <is>
          <t>CCC annual 2025 = 23.1%</t>
        </is>
      </c>
      <c r="H22" s="5" t="inlineStr">
        <is>
          <t>Data_CCC_TLF_Annual</t>
        </is>
      </c>
    </row>
    <row r="23">
      <c r="A23" s="5" t="inlineStr">
        <is>
          <t>S</t>
        </is>
      </c>
      <c r="B23" s="5" t="n">
        <v>2024</v>
      </c>
      <c r="C23" s="5" t="inlineStr">
        <is>
          <t>vio</t>
        </is>
      </c>
      <c r="D23" s="5" t="inlineStr">
        <is>
          <t>Light vehicles in operation (M)</t>
        </is>
      </c>
      <c r="E23" s="13" t="n">
        <v>289</v>
      </c>
      <c r="F23" s="21" t="n"/>
      <c r="G23" s="4" t="inlineStr">
        <is>
          <t>S&amp;P 2025 release — NOT on disk (from memory); Experian 292.1M at Q3-2024 is on disk (Crash Course 2025/Q1)</t>
        </is>
      </c>
      <c r="H23" s="5" t="inlineStr">
        <is>
          <t>https://www.cccis.com/reports/crash-course-2025/q1</t>
        </is>
      </c>
    </row>
    <row r="24">
      <c r="A24" s="5" t="inlineStr">
        <is>
          <t>S</t>
        </is>
      </c>
      <c r="B24" s="5" t="n">
        <v>2024</v>
      </c>
      <c r="C24" s="5" t="inlineStr">
        <is>
          <t>sh7</t>
        </is>
      </c>
      <c r="D24" s="5" t="inlineStr">
        <is>
          <t>Share of fleet aged 7+</t>
        </is>
      </c>
      <c r="E24" s="14" t="n">
        <v>0.66</v>
      </c>
      <c r="F24" s="21" t="n"/>
      <c r="G24" s="4" t="inlineStr">
        <is>
          <t>66% of vehicles in operation are seven years or older (S&amp;P Mobility)</t>
        </is>
      </c>
      <c r="H24" s="5" t="inlineStr">
        <is>
          <t>https://www.cccis.com/reports/crash-course-2024/q4</t>
        </is>
      </c>
    </row>
    <row r="25">
      <c r="A25" s="5" t="inlineStr">
        <is>
          <t>S</t>
        </is>
      </c>
      <c r="B25" s="5" t="n">
        <v>2025</v>
      </c>
      <c r="C25" s="5" t="inlineStr">
        <is>
          <t>viogr</t>
        </is>
      </c>
      <c r="D25" s="5" t="inlineStr">
        <is>
          <t>VIO growth 2020→Q3-2025</t>
        </is>
      </c>
      <c r="E25" s="14" t="n">
        <v>0.051</v>
      </c>
      <c r="F25" s="21" t="n"/>
      <c r="G25" s="4" t="inlineStr">
        <is>
          <t>Vehicles in operation reached almost 296 million as of Q3 2025 (Experian), +5.1% relative to 2020</t>
        </is>
      </c>
      <c r="H25" s="5" t="inlineStr">
        <is>
          <t>https://www.cccis.com/reports/crash-course-2026</t>
        </is>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s>
  <sheetData>
    <row r="1">
      <c r="A1" s="1" t="inlineStr">
        <is>
          <t>Survival by age and calendar year — EPA schedule stretched by k(t)</t>
        </is>
      </c>
    </row>
    <row r="2" ht="30" customHeight="1">
      <c r="A2" s="6" t="inlineStr">
        <is>
          <t>S(a,t) = S_EPA(a / k(t)), linearly interpolated between the table’s integer ages, zero beyond age 31·k. k(t) from Inputs row 25/26. Ages 0–45 (S is ~0 past 40).</t>
        </is>
      </c>
    </row>
    <row r="3">
      <c r="A3" s="15" t="inlineStr">
        <is>
          <t>Year →</t>
        </is>
      </c>
      <c r="C3" s="23">
        <f>Inputs!C23</f>
        <v/>
      </c>
      <c r="D3" s="23">
        <f>Inputs!D23</f>
        <v/>
      </c>
      <c r="E3" s="23">
        <f>Inputs!E23</f>
        <v/>
      </c>
      <c r="F3" s="23">
        <f>Inputs!F23</f>
        <v/>
      </c>
      <c r="G3" s="23">
        <f>Inputs!G23</f>
        <v/>
      </c>
      <c r="H3" s="23">
        <f>Inputs!H23</f>
        <v/>
      </c>
      <c r="I3" s="23">
        <f>Inputs!I23</f>
        <v/>
      </c>
      <c r="J3" s="23">
        <f>Inputs!J23</f>
        <v/>
      </c>
      <c r="K3" s="23">
        <f>Inputs!K23</f>
        <v/>
      </c>
      <c r="L3" s="23">
        <f>Inputs!L23</f>
        <v/>
      </c>
      <c r="M3" s="23">
        <f>Inputs!M23</f>
        <v/>
      </c>
      <c r="N3" s="23">
        <f>Inputs!N23</f>
        <v/>
      </c>
      <c r="O3" s="23">
        <f>Inputs!O23</f>
        <v/>
      </c>
      <c r="P3" s="23">
        <f>Inputs!P23</f>
        <v/>
      </c>
      <c r="Q3" s="23">
        <f>Inputs!Q23</f>
        <v/>
      </c>
      <c r="R3" s="23">
        <f>Inputs!R23</f>
        <v/>
      </c>
      <c r="S3" s="23">
        <f>Inputs!S23</f>
        <v/>
      </c>
      <c r="T3" s="23">
        <f>Inputs!T23</f>
        <v/>
      </c>
    </row>
    <row r="4">
      <c r="A4" s="3" t="inlineStr">
        <is>
          <t>k cars (Inputs)</t>
        </is>
      </c>
      <c r="C4" s="24">
        <f>Inputs!C25</f>
        <v/>
      </c>
      <c r="D4" s="24">
        <f>Inputs!D25</f>
        <v/>
      </c>
      <c r="E4" s="24">
        <f>Inputs!E25</f>
        <v/>
      </c>
      <c r="F4" s="24">
        <f>Inputs!F25</f>
        <v/>
      </c>
      <c r="G4" s="24">
        <f>Inputs!G25</f>
        <v/>
      </c>
      <c r="H4" s="24">
        <f>Inputs!H25</f>
        <v/>
      </c>
      <c r="I4" s="24">
        <f>Inputs!I25</f>
        <v/>
      </c>
      <c r="J4" s="24">
        <f>Inputs!J25</f>
        <v/>
      </c>
      <c r="K4" s="24">
        <f>Inputs!K25</f>
        <v/>
      </c>
      <c r="L4" s="24">
        <f>Inputs!L25</f>
        <v/>
      </c>
      <c r="M4" s="24">
        <f>Inputs!M25</f>
        <v/>
      </c>
      <c r="N4" s="24">
        <f>Inputs!N25</f>
        <v/>
      </c>
      <c r="O4" s="24">
        <f>Inputs!O25</f>
        <v/>
      </c>
      <c r="P4" s="24">
        <f>Inputs!P25</f>
        <v/>
      </c>
      <c r="Q4" s="24">
        <f>Inputs!Q25</f>
        <v/>
      </c>
      <c r="R4" s="24">
        <f>Inputs!R25</f>
        <v/>
      </c>
      <c r="S4" s="24">
        <f>Inputs!S25</f>
        <v/>
      </c>
      <c r="T4" s="24">
        <f>Inputs!T25</f>
        <v/>
      </c>
    </row>
    <row r="5">
      <c r="A5" s="15" t="inlineStr">
        <is>
          <t>CARS: age</t>
        </is>
      </c>
      <c r="C5" s="25">
        <f>C3</f>
        <v/>
      </c>
      <c r="D5" s="25">
        <f>D3</f>
        <v/>
      </c>
      <c r="E5" s="25">
        <f>E3</f>
        <v/>
      </c>
      <c r="F5" s="25">
        <f>F3</f>
        <v/>
      </c>
      <c r="G5" s="25">
        <f>G3</f>
        <v/>
      </c>
      <c r="H5" s="25">
        <f>H3</f>
        <v/>
      </c>
      <c r="I5" s="25">
        <f>I3</f>
        <v/>
      </c>
      <c r="J5" s="25">
        <f>J3</f>
        <v/>
      </c>
      <c r="K5" s="25">
        <f>K3</f>
        <v/>
      </c>
      <c r="L5" s="25">
        <f>L3</f>
        <v/>
      </c>
      <c r="M5" s="25">
        <f>M3</f>
        <v/>
      </c>
      <c r="N5" s="25">
        <f>N3</f>
        <v/>
      </c>
      <c r="O5" s="25">
        <f>O3</f>
        <v/>
      </c>
      <c r="P5" s="25">
        <f>P3</f>
        <v/>
      </c>
      <c r="Q5" s="25">
        <f>Q3</f>
        <v/>
      </c>
      <c r="R5" s="25">
        <f>R3</f>
        <v/>
      </c>
      <c r="S5" s="25">
        <f>S3</f>
        <v/>
      </c>
      <c r="T5" s="25">
        <f>T3</f>
        <v/>
      </c>
    </row>
    <row r="6">
      <c r="A6" s="9" t="n">
        <v>0</v>
      </c>
      <c r="C6" s="26">
        <f>IF(($A6/C$4)&gt;=31,0,INDEX(Data_EPA_Survival!$B$5:$B$36,INT(($A6/C$4))+1)+(($A6/C$4)-INT(($A6/C$4)))*(INDEX(Data_EPA_Survival!$B$5:$B$36,INT(($A6/C$4))+2)-INDEX(Data_EPA_Survival!$B$5:$B$36,INT(($A6/C$4))+1)))</f>
        <v/>
      </c>
      <c r="D6" s="26">
        <f>IF(($A6/D$4)&gt;=31,0,INDEX(Data_EPA_Survival!$B$5:$B$36,INT(($A6/D$4))+1)+(($A6/D$4)-INT(($A6/D$4)))*(INDEX(Data_EPA_Survival!$B$5:$B$36,INT(($A6/D$4))+2)-INDEX(Data_EPA_Survival!$B$5:$B$36,INT(($A6/D$4))+1)))</f>
        <v/>
      </c>
      <c r="E6" s="26">
        <f>IF(($A6/E$4)&gt;=31,0,INDEX(Data_EPA_Survival!$B$5:$B$36,INT(($A6/E$4))+1)+(($A6/E$4)-INT(($A6/E$4)))*(INDEX(Data_EPA_Survival!$B$5:$B$36,INT(($A6/E$4))+2)-INDEX(Data_EPA_Survival!$B$5:$B$36,INT(($A6/E$4))+1)))</f>
        <v/>
      </c>
      <c r="F6" s="26">
        <f>IF(($A6/F$4)&gt;=31,0,INDEX(Data_EPA_Survival!$B$5:$B$36,INT(($A6/F$4))+1)+(($A6/F$4)-INT(($A6/F$4)))*(INDEX(Data_EPA_Survival!$B$5:$B$36,INT(($A6/F$4))+2)-INDEX(Data_EPA_Survival!$B$5:$B$36,INT(($A6/F$4))+1)))</f>
        <v/>
      </c>
      <c r="G6" s="26">
        <f>IF(($A6/G$4)&gt;=31,0,INDEX(Data_EPA_Survival!$B$5:$B$36,INT(($A6/G$4))+1)+(($A6/G$4)-INT(($A6/G$4)))*(INDEX(Data_EPA_Survival!$B$5:$B$36,INT(($A6/G$4))+2)-INDEX(Data_EPA_Survival!$B$5:$B$36,INT(($A6/G$4))+1)))</f>
        <v/>
      </c>
      <c r="H6" s="26">
        <f>IF(($A6/H$4)&gt;=31,0,INDEX(Data_EPA_Survival!$B$5:$B$36,INT(($A6/H$4))+1)+(($A6/H$4)-INT(($A6/H$4)))*(INDEX(Data_EPA_Survival!$B$5:$B$36,INT(($A6/H$4))+2)-INDEX(Data_EPA_Survival!$B$5:$B$36,INT(($A6/H$4))+1)))</f>
        <v/>
      </c>
      <c r="I6" s="26">
        <f>IF(($A6/I$4)&gt;=31,0,INDEX(Data_EPA_Survival!$B$5:$B$36,INT(($A6/I$4))+1)+(($A6/I$4)-INT(($A6/I$4)))*(INDEX(Data_EPA_Survival!$B$5:$B$36,INT(($A6/I$4))+2)-INDEX(Data_EPA_Survival!$B$5:$B$36,INT(($A6/I$4))+1)))</f>
        <v/>
      </c>
      <c r="J6" s="26">
        <f>IF(($A6/J$4)&gt;=31,0,INDEX(Data_EPA_Survival!$B$5:$B$36,INT(($A6/J$4))+1)+(($A6/J$4)-INT(($A6/J$4)))*(INDEX(Data_EPA_Survival!$B$5:$B$36,INT(($A6/J$4))+2)-INDEX(Data_EPA_Survival!$B$5:$B$36,INT(($A6/J$4))+1)))</f>
        <v/>
      </c>
      <c r="K6" s="26">
        <f>IF(($A6/K$4)&gt;=31,0,INDEX(Data_EPA_Survival!$B$5:$B$36,INT(($A6/K$4))+1)+(($A6/K$4)-INT(($A6/K$4)))*(INDEX(Data_EPA_Survival!$B$5:$B$36,INT(($A6/K$4))+2)-INDEX(Data_EPA_Survival!$B$5:$B$36,INT(($A6/K$4))+1)))</f>
        <v/>
      </c>
      <c r="L6" s="26">
        <f>IF(($A6/L$4)&gt;=31,0,INDEX(Data_EPA_Survival!$B$5:$B$36,INT(($A6/L$4))+1)+(($A6/L$4)-INT(($A6/L$4)))*(INDEX(Data_EPA_Survival!$B$5:$B$36,INT(($A6/L$4))+2)-INDEX(Data_EPA_Survival!$B$5:$B$36,INT(($A6/L$4))+1)))</f>
        <v/>
      </c>
      <c r="M6" s="26">
        <f>IF(($A6/M$4)&gt;=31,0,INDEX(Data_EPA_Survival!$B$5:$B$36,INT(($A6/M$4))+1)+(($A6/M$4)-INT(($A6/M$4)))*(INDEX(Data_EPA_Survival!$B$5:$B$36,INT(($A6/M$4))+2)-INDEX(Data_EPA_Survival!$B$5:$B$36,INT(($A6/M$4))+1)))</f>
        <v/>
      </c>
      <c r="N6" s="26">
        <f>IF(($A6/N$4)&gt;=31,0,INDEX(Data_EPA_Survival!$B$5:$B$36,INT(($A6/N$4))+1)+(($A6/N$4)-INT(($A6/N$4)))*(INDEX(Data_EPA_Survival!$B$5:$B$36,INT(($A6/N$4))+2)-INDEX(Data_EPA_Survival!$B$5:$B$36,INT(($A6/N$4))+1)))</f>
        <v/>
      </c>
      <c r="O6" s="26">
        <f>IF(($A6/O$4)&gt;=31,0,INDEX(Data_EPA_Survival!$B$5:$B$36,INT(($A6/O$4))+1)+(($A6/O$4)-INT(($A6/O$4)))*(INDEX(Data_EPA_Survival!$B$5:$B$36,INT(($A6/O$4))+2)-INDEX(Data_EPA_Survival!$B$5:$B$36,INT(($A6/O$4))+1)))</f>
        <v/>
      </c>
      <c r="P6" s="26">
        <f>IF(($A6/P$4)&gt;=31,0,INDEX(Data_EPA_Survival!$B$5:$B$36,INT(($A6/P$4))+1)+(($A6/P$4)-INT(($A6/P$4)))*(INDEX(Data_EPA_Survival!$B$5:$B$36,INT(($A6/P$4))+2)-INDEX(Data_EPA_Survival!$B$5:$B$36,INT(($A6/P$4))+1)))</f>
        <v/>
      </c>
      <c r="Q6" s="26">
        <f>IF(($A6/Q$4)&gt;=31,0,INDEX(Data_EPA_Survival!$B$5:$B$36,INT(($A6/Q$4))+1)+(($A6/Q$4)-INT(($A6/Q$4)))*(INDEX(Data_EPA_Survival!$B$5:$B$36,INT(($A6/Q$4))+2)-INDEX(Data_EPA_Survival!$B$5:$B$36,INT(($A6/Q$4))+1)))</f>
        <v/>
      </c>
      <c r="R6" s="26">
        <f>IF(($A6/R$4)&gt;=31,0,INDEX(Data_EPA_Survival!$B$5:$B$36,INT(($A6/R$4))+1)+(($A6/R$4)-INT(($A6/R$4)))*(INDEX(Data_EPA_Survival!$B$5:$B$36,INT(($A6/R$4))+2)-INDEX(Data_EPA_Survival!$B$5:$B$36,INT(($A6/R$4))+1)))</f>
        <v/>
      </c>
      <c r="S6" s="26">
        <f>IF(($A6/S$4)&gt;=31,0,INDEX(Data_EPA_Survival!$B$5:$B$36,INT(($A6/S$4))+1)+(($A6/S$4)-INT(($A6/S$4)))*(INDEX(Data_EPA_Survival!$B$5:$B$36,INT(($A6/S$4))+2)-INDEX(Data_EPA_Survival!$B$5:$B$36,INT(($A6/S$4))+1)))</f>
        <v/>
      </c>
      <c r="T6" s="26">
        <f>IF(($A6/T$4)&gt;=31,0,INDEX(Data_EPA_Survival!$B$5:$B$36,INT(($A6/T$4))+1)+(($A6/T$4)-INT(($A6/T$4)))*(INDEX(Data_EPA_Survival!$B$5:$B$36,INT(($A6/T$4))+2)-INDEX(Data_EPA_Survival!$B$5:$B$36,INT(($A6/T$4))+1)))</f>
        <v/>
      </c>
    </row>
    <row r="7">
      <c r="A7" s="9" t="n">
        <v>1</v>
      </c>
      <c r="C7" s="26">
        <f>IF(($A7/C$4)&gt;=31,0,INDEX(Data_EPA_Survival!$B$5:$B$36,INT(($A7/C$4))+1)+(($A7/C$4)-INT(($A7/C$4)))*(INDEX(Data_EPA_Survival!$B$5:$B$36,INT(($A7/C$4))+2)-INDEX(Data_EPA_Survival!$B$5:$B$36,INT(($A7/C$4))+1)))</f>
        <v/>
      </c>
      <c r="D7" s="26">
        <f>IF(($A7/D$4)&gt;=31,0,INDEX(Data_EPA_Survival!$B$5:$B$36,INT(($A7/D$4))+1)+(($A7/D$4)-INT(($A7/D$4)))*(INDEX(Data_EPA_Survival!$B$5:$B$36,INT(($A7/D$4))+2)-INDEX(Data_EPA_Survival!$B$5:$B$36,INT(($A7/D$4))+1)))</f>
        <v/>
      </c>
      <c r="E7" s="26">
        <f>IF(($A7/E$4)&gt;=31,0,INDEX(Data_EPA_Survival!$B$5:$B$36,INT(($A7/E$4))+1)+(($A7/E$4)-INT(($A7/E$4)))*(INDEX(Data_EPA_Survival!$B$5:$B$36,INT(($A7/E$4))+2)-INDEX(Data_EPA_Survival!$B$5:$B$36,INT(($A7/E$4))+1)))</f>
        <v/>
      </c>
      <c r="F7" s="26">
        <f>IF(($A7/F$4)&gt;=31,0,INDEX(Data_EPA_Survival!$B$5:$B$36,INT(($A7/F$4))+1)+(($A7/F$4)-INT(($A7/F$4)))*(INDEX(Data_EPA_Survival!$B$5:$B$36,INT(($A7/F$4))+2)-INDEX(Data_EPA_Survival!$B$5:$B$36,INT(($A7/F$4))+1)))</f>
        <v/>
      </c>
      <c r="G7" s="26">
        <f>IF(($A7/G$4)&gt;=31,0,INDEX(Data_EPA_Survival!$B$5:$B$36,INT(($A7/G$4))+1)+(($A7/G$4)-INT(($A7/G$4)))*(INDEX(Data_EPA_Survival!$B$5:$B$36,INT(($A7/G$4))+2)-INDEX(Data_EPA_Survival!$B$5:$B$36,INT(($A7/G$4))+1)))</f>
        <v/>
      </c>
      <c r="H7" s="26">
        <f>IF(($A7/H$4)&gt;=31,0,INDEX(Data_EPA_Survival!$B$5:$B$36,INT(($A7/H$4))+1)+(($A7/H$4)-INT(($A7/H$4)))*(INDEX(Data_EPA_Survival!$B$5:$B$36,INT(($A7/H$4))+2)-INDEX(Data_EPA_Survival!$B$5:$B$36,INT(($A7/H$4))+1)))</f>
        <v/>
      </c>
      <c r="I7" s="26">
        <f>IF(($A7/I$4)&gt;=31,0,INDEX(Data_EPA_Survival!$B$5:$B$36,INT(($A7/I$4))+1)+(($A7/I$4)-INT(($A7/I$4)))*(INDEX(Data_EPA_Survival!$B$5:$B$36,INT(($A7/I$4))+2)-INDEX(Data_EPA_Survival!$B$5:$B$36,INT(($A7/I$4))+1)))</f>
        <v/>
      </c>
      <c r="J7" s="26">
        <f>IF(($A7/J$4)&gt;=31,0,INDEX(Data_EPA_Survival!$B$5:$B$36,INT(($A7/J$4))+1)+(($A7/J$4)-INT(($A7/J$4)))*(INDEX(Data_EPA_Survival!$B$5:$B$36,INT(($A7/J$4))+2)-INDEX(Data_EPA_Survival!$B$5:$B$36,INT(($A7/J$4))+1)))</f>
        <v/>
      </c>
      <c r="K7" s="26">
        <f>IF(($A7/K$4)&gt;=31,0,INDEX(Data_EPA_Survival!$B$5:$B$36,INT(($A7/K$4))+1)+(($A7/K$4)-INT(($A7/K$4)))*(INDEX(Data_EPA_Survival!$B$5:$B$36,INT(($A7/K$4))+2)-INDEX(Data_EPA_Survival!$B$5:$B$36,INT(($A7/K$4))+1)))</f>
        <v/>
      </c>
      <c r="L7" s="26">
        <f>IF(($A7/L$4)&gt;=31,0,INDEX(Data_EPA_Survival!$B$5:$B$36,INT(($A7/L$4))+1)+(($A7/L$4)-INT(($A7/L$4)))*(INDEX(Data_EPA_Survival!$B$5:$B$36,INT(($A7/L$4))+2)-INDEX(Data_EPA_Survival!$B$5:$B$36,INT(($A7/L$4))+1)))</f>
        <v/>
      </c>
      <c r="M7" s="26">
        <f>IF(($A7/M$4)&gt;=31,0,INDEX(Data_EPA_Survival!$B$5:$B$36,INT(($A7/M$4))+1)+(($A7/M$4)-INT(($A7/M$4)))*(INDEX(Data_EPA_Survival!$B$5:$B$36,INT(($A7/M$4))+2)-INDEX(Data_EPA_Survival!$B$5:$B$36,INT(($A7/M$4))+1)))</f>
        <v/>
      </c>
      <c r="N7" s="26">
        <f>IF(($A7/N$4)&gt;=31,0,INDEX(Data_EPA_Survival!$B$5:$B$36,INT(($A7/N$4))+1)+(($A7/N$4)-INT(($A7/N$4)))*(INDEX(Data_EPA_Survival!$B$5:$B$36,INT(($A7/N$4))+2)-INDEX(Data_EPA_Survival!$B$5:$B$36,INT(($A7/N$4))+1)))</f>
        <v/>
      </c>
      <c r="O7" s="26">
        <f>IF(($A7/O$4)&gt;=31,0,INDEX(Data_EPA_Survival!$B$5:$B$36,INT(($A7/O$4))+1)+(($A7/O$4)-INT(($A7/O$4)))*(INDEX(Data_EPA_Survival!$B$5:$B$36,INT(($A7/O$4))+2)-INDEX(Data_EPA_Survival!$B$5:$B$36,INT(($A7/O$4))+1)))</f>
        <v/>
      </c>
      <c r="P7" s="26">
        <f>IF(($A7/P$4)&gt;=31,0,INDEX(Data_EPA_Survival!$B$5:$B$36,INT(($A7/P$4))+1)+(($A7/P$4)-INT(($A7/P$4)))*(INDEX(Data_EPA_Survival!$B$5:$B$36,INT(($A7/P$4))+2)-INDEX(Data_EPA_Survival!$B$5:$B$36,INT(($A7/P$4))+1)))</f>
        <v/>
      </c>
      <c r="Q7" s="26">
        <f>IF(($A7/Q$4)&gt;=31,0,INDEX(Data_EPA_Survival!$B$5:$B$36,INT(($A7/Q$4))+1)+(($A7/Q$4)-INT(($A7/Q$4)))*(INDEX(Data_EPA_Survival!$B$5:$B$36,INT(($A7/Q$4))+2)-INDEX(Data_EPA_Survival!$B$5:$B$36,INT(($A7/Q$4))+1)))</f>
        <v/>
      </c>
      <c r="R7" s="26">
        <f>IF(($A7/R$4)&gt;=31,0,INDEX(Data_EPA_Survival!$B$5:$B$36,INT(($A7/R$4))+1)+(($A7/R$4)-INT(($A7/R$4)))*(INDEX(Data_EPA_Survival!$B$5:$B$36,INT(($A7/R$4))+2)-INDEX(Data_EPA_Survival!$B$5:$B$36,INT(($A7/R$4))+1)))</f>
        <v/>
      </c>
      <c r="S7" s="26">
        <f>IF(($A7/S$4)&gt;=31,0,INDEX(Data_EPA_Survival!$B$5:$B$36,INT(($A7/S$4))+1)+(($A7/S$4)-INT(($A7/S$4)))*(INDEX(Data_EPA_Survival!$B$5:$B$36,INT(($A7/S$4))+2)-INDEX(Data_EPA_Survival!$B$5:$B$36,INT(($A7/S$4))+1)))</f>
        <v/>
      </c>
      <c r="T7" s="26">
        <f>IF(($A7/T$4)&gt;=31,0,INDEX(Data_EPA_Survival!$B$5:$B$36,INT(($A7/T$4))+1)+(($A7/T$4)-INT(($A7/T$4)))*(INDEX(Data_EPA_Survival!$B$5:$B$36,INT(($A7/T$4))+2)-INDEX(Data_EPA_Survival!$B$5:$B$36,INT(($A7/T$4))+1)))</f>
        <v/>
      </c>
    </row>
    <row r="8">
      <c r="A8" s="9" t="n">
        <v>2</v>
      </c>
      <c r="C8" s="26">
        <f>IF(($A8/C$4)&gt;=31,0,INDEX(Data_EPA_Survival!$B$5:$B$36,INT(($A8/C$4))+1)+(($A8/C$4)-INT(($A8/C$4)))*(INDEX(Data_EPA_Survival!$B$5:$B$36,INT(($A8/C$4))+2)-INDEX(Data_EPA_Survival!$B$5:$B$36,INT(($A8/C$4))+1)))</f>
        <v/>
      </c>
      <c r="D8" s="26">
        <f>IF(($A8/D$4)&gt;=31,0,INDEX(Data_EPA_Survival!$B$5:$B$36,INT(($A8/D$4))+1)+(($A8/D$4)-INT(($A8/D$4)))*(INDEX(Data_EPA_Survival!$B$5:$B$36,INT(($A8/D$4))+2)-INDEX(Data_EPA_Survival!$B$5:$B$36,INT(($A8/D$4))+1)))</f>
        <v/>
      </c>
      <c r="E8" s="26">
        <f>IF(($A8/E$4)&gt;=31,0,INDEX(Data_EPA_Survival!$B$5:$B$36,INT(($A8/E$4))+1)+(($A8/E$4)-INT(($A8/E$4)))*(INDEX(Data_EPA_Survival!$B$5:$B$36,INT(($A8/E$4))+2)-INDEX(Data_EPA_Survival!$B$5:$B$36,INT(($A8/E$4))+1)))</f>
        <v/>
      </c>
      <c r="F8" s="26">
        <f>IF(($A8/F$4)&gt;=31,0,INDEX(Data_EPA_Survival!$B$5:$B$36,INT(($A8/F$4))+1)+(($A8/F$4)-INT(($A8/F$4)))*(INDEX(Data_EPA_Survival!$B$5:$B$36,INT(($A8/F$4))+2)-INDEX(Data_EPA_Survival!$B$5:$B$36,INT(($A8/F$4))+1)))</f>
        <v/>
      </c>
      <c r="G8" s="26">
        <f>IF(($A8/G$4)&gt;=31,0,INDEX(Data_EPA_Survival!$B$5:$B$36,INT(($A8/G$4))+1)+(($A8/G$4)-INT(($A8/G$4)))*(INDEX(Data_EPA_Survival!$B$5:$B$36,INT(($A8/G$4))+2)-INDEX(Data_EPA_Survival!$B$5:$B$36,INT(($A8/G$4))+1)))</f>
        <v/>
      </c>
      <c r="H8" s="26">
        <f>IF(($A8/H$4)&gt;=31,0,INDEX(Data_EPA_Survival!$B$5:$B$36,INT(($A8/H$4))+1)+(($A8/H$4)-INT(($A8/H$4)))*(INDEX(Data_EPA_Survival!$B$5:$B$36,INT(($A8/H$4))+2)-INDEX(Data_EPA_Survival!$B$5:$B$36,INT(($A8/H$4))+1)))</f>
        <v/>
      </c>
      <c r="I8" s="26">
        <f>IF(($A8/I$4)&gt;=31,0,INDEX(Data_EPA_Survival!$B$5:$B$36,INT(($A8/I$4))+1)+(($A8/I$4)-INT(($A8/I$4)))*(INDEX(Data_EPA_Survival!$B$5:$B$36,INT(($A8/I$4))+2)-INDEX(Data_EPA_Survival!$B$5:$B$36,INT(($A8/I$4))+1)))</f>
        <v/>
      </c>
      <c r="J8" s="26">
        <f>IF(($A8/J$4)&gt;=31,0,INDEX(Data_EPA_Survival!$B$5:$B$36,INT(($A8/J$4))+1)+(($A8/J$4)-INT(($A8/J$4)))*(INDEX(Data_EPA_Survival!$B$5:$B$36,INT(($A8/J$4))+2)-INDEX(Data_EPA_Survival!$B$5:$B$36,INT(($A8/J$4))+1)))</f>
        <v/>
      </c>
      <c r="K8" s="26">
        <f>IF(($A8/K$4)&gt;=31,0,INDEX(Data_EPA_Survival!$B$5:$B$36,INT(($A8/K$4))+1)+(($A8/K$4)-INT(($A8/K$4)))*(INDEX(Data_EPA_Survival!$B$5:$B$36,INT(($A8/K$4))+2)-INDEX(Data_EPA_Survival!$B$5:$B$36,INT(($A8/K$4))+1)))</f>
        <v/>
      </c>
      <c r="L8" s="26">
        <f>IF(($A8/L$4)&gt;=31,0,INDEX(Data_EPA_Survival!$B$5:$B$36,INT(($A8/L$4))+1)+(($A8/L$4)-INT(($A8/L$4)))*(INDEX(Data_EPA_Survival!$B$5:$B$36,INT(($A8/L$4))+2)-INDEX(Data_EPA_Survival!$B$5:$B$36,INT(($A8/L$4))+1)))</f>
        <v/>
      </c>
      <c r="M8" s="26">
        <f>IF(($A8/M$4)&gt;=31,0,INDEX(Data_EPA_Survival!$B$5:$B$36,INT(($A8/M$4))+1)+(($A8/M$4)-INT(($A8/M$4)))*(INDEX(Data_EPA_Survival!$B$5:$B$36,INT(($A8/M$4))+2)-INDEX(Data_EPA_Survival!$B$5:$B$36,INT(($A8/M$4))+1)))</f>
        <v/>
      </c>
      <c r="N8" s="26">
        <f>IF(($A8/N$4)&gt;=31,0,INDEX(Data_EPA_Survival!$B$5:$B$36,INT(($A8/N$4))+1)+(($A8/N$4)-INT(($A8/N$4)))*(INDEX(Data_EPA_Survival!$B$5:$B$36,INT(($A8/N$4))+2)-INDEX(Data_EPA_Survival!$B$5:$B$36,INT(($A8/N$4))+1)))</f>
        <v/>
      </c>
      <c r="O8" s="26">
        <f>IF(($A8/O$4)&gt;=31,0,INDEX(Data_EPA_Survival!$B$5:$B$36,INT(($A8/O$4))+1)+(($A8/O$4)-INT(($A8/O$4)))*(INDEX(Data_EPA_Survival!$B$5:$B$36,INT(($A8/O$4))+2)-INDEX(Data_EPA_Survival!$B$5:$B$36,INT(($A8/O$4))+1)))</f>
        <v/>
      </c>
      <c r="P8" s="26">
        <f>IF(($A8/P$4)&gt;=31,0,INDEX(Data_EPA_Survival!$B$5:$B$36,INT(($A8/P$4))+1)+(($A8/P$4)-INT(($A8/P$4)))*(INDEX(Data_EPA_Survival!$B$5:$B$36,INT(($A8/P$4))+2)-INDEX(Data_EPA_Survival!$B$5:$B$36,INT(($A8/P$4))+1)))</f>
        <v/>
      </c>
      <c r="Q8" s="26">
        <f>IF(($A8/Q$4)&gt;=31,0,INDEX(Data_EPA_Survival!$B$5:$B$36,INT(($A8/Q$4))+1)+(($A8/Q$4)-INT(($A8/Q$4)))*(INDEX(Data_EPA_Survival!$B$5:$B$36,INT(($A8/Q$4))+2)-INDEX(Data_EPA_Survival!$B$5:$B$36,INT(($A8/Q$4))+1)))</f>
        <v/>
      </c>
      <c r="R8" s="26">
        <f>IF(($A8/R$4)&gt;=31,0,INDEX(Data_EPA_Survival!$B$5:$B$36,INT(($A8/R$4))+1)+(($A8/R$4)-INT(($A8/R$4)))*(INDEX(Data_EPA_Survival!$B$5:$B$36,INT(($A8/R$4))+2)-INDEX(Data_EPA_Survival!$B$5:$B$36,INT(($A8/R$4))+1)))</f>
        <v/>
      </c>
      <c r="S8" s="26">
        <f>IF(($A8/S$4)&gt;=31,0,INDEX(Data_EPA_Survival!$B$5:$B$36,INT(($A8/S$4))+1)+(($A8/S$4)-INT(($A8/S$4)))*(INDEX(Data_EPA_Survival!$B$5:$B$36,INT(($A8/S$4))+2)-INDEX(Data_EPA_Survival!$B$5:$B$36,INT(($A8/S$4))+1)))</f>
        <v/>
      </c>
      <c r="T8" s="26">
        <f>IF(($A8/T$4)&gt;=31,0,INDEX(Data_EPA_Survival!$B$5:$B$36,INT(($A8/T$4))+1)+(($A8/T$4)-INT(($A8/T$4)))*(INDEX(Data_EPA_Survival!$B$5:$B$36,INT(($A8/T$4))+2)-INDEX(Data_EPA_Survival!$B$5:$B$36,INT(($A8/T$4))+1)))</f>
        <v/>
      </c>
    </row>
    <row r="9">
      <c r="A9" s="9" t="n">
        <v>3</v>
      </c>
      <c r="C9" s="26">
        <f>IF(($A9/C$4)&gt;=31,0,INDEX(Data_EPA_Survival!$B$5:$B$36,INT(($A9/C$4))+1)+(($A9/C$4)-INT(($A9/C$4)))*(INDEX(Data_EPA_Survival!$B$5:$B$36,INT(($A9/C$4))+2)-INDEX(Data_EPA_Survival!$B$5:$B$36,INT(($A9/C$4))+1)))</f>
        <v/>
      </c>
      <c r="D9" s="26">
        <f>IF(($A9/D$4)&gt;=31,0,INDEX(Data_EPA_Survival!$B$5:$B$36,INT(($A9/D$4))+1)+(($A9/D$4)-INT(($A9/D$4)))*(INDEX(Data_EPA_Survival!$B$5:$B$36,INT(($A9/D$4))+2)-INDEX(Data_EPA_Survival!$B$5:$B$36,INT(($A9/D$4))+1)))</f>
        <v/>
      </c>
      <c r="E9" s="26">
        <f>IF(($A9/E$4)&gt;=31,0,INDEX(Data_EPA_Survival!$B$5:$B$36,INT(($A9/E$4))+1)+(($A9/E$4)-INT(($A9/E$4)))*(INDEX(Data_EPA_Survival!$B$5:$B$36,INT(($A9/E$4))+2)-INDEX(Data_EPA_Survival!$B$5:$B$36,INT(($A9/E$4))+1)))</f>
        <v/>
      </c>
      <c r="F9" s="26">
        <f>IF(($A9/F$4)&gt;=31,0,INDEX(Data_EPA_Survival!$B$5:$B$36,INT(($A9/F$4))+1)+(($A9/F$4)-INT(($A9/F$4)))*(INDEX(Data_EPA_Survival!$B$5:$B$36,INT(($A9/F$4))+2)-INDEX(Data_EPA_Survival!$B$5:$B$36,INT(($A9/F$4))+1)))</f>
        <v/>
      </c>
      <c r="G9" s="26">
        <f>IF(($A9/G$4)&gt;=31,0,INDEX(Data_EPA_Survival!$B$5:$B$36,INT(($A9/G$4))+1)+(($A9/G$4)-INT(($A9/G$4)))*(INDEX(Data_EPA_Survival!$B$5:$B$36,INT(($A9/G$4))+2)-INDEX(Data_EPA_Survival!$B$5:$B$36,INT(($A9/G$4))+1)))</f>
        <v/>
      </c>
      <c r="H9" s="26">
        <f>IF(($A9/H$4)&gt;=31,0,INDEX(Data_EPA_Survival!$B$5:$B$36,INT(($A9/H$4))+1)+(($A9/H$4)-INT(($A9/H$4)))*(INDEX(Data_EPA_Survival!$B$5:$B$36,INT(($A9/H$4))+2)-INDEX(Data_EPA_Survival!$B$5:$B$36,INT(($A9/H$4))+1)))</f>
        <v/>
      </c>
      <c r="I9" s="26">
        <f>IF(($A9/I$4)&gt;=31,0,INDEX(Data_EPA_Survival!$B$5:$B$36,INT(($A9/I$4))+1)+(($A9/I$4)-INT(($A9/I$4)))*(INDEX(Data_EPA_Survival!$B$5:$B$36,INT(($A9/I$4))+2)-INDEX(Data_EPA_Survival!$B$5:$B$36,INT(($A9/I$4))+1)))</f>
        <v/>
      </c>
      <c r="J9" s="26">
        <f>IF(($A9/J$4)&gt;=31,0,INDEX(Data_EPA_Survival!$B$5:$B$36,INT(($A9/J$4))+1)+(($A9/J$4)-INT(($A9/J$4)))*(INDEX(Data_EPA_Survival!$B$5:$B$36,INT(($A9/J$4))+2)-INDEX(Data_EPA_Survival!$B$5:$B$36,INT(($A9/J$4))+1)))</f>
        <v/>
      </c>
      <c r="K9" s="26">
        <f>IF(($A9/K$4)&gt;=31,0,INDEX(Data_EPA_Survival!$B$5:$B$36,INT(($A9/K$4))+1)+(($A9/K$4)-INT(($A9/K$4)))*(INDEX(Data_EPA_Survival!$B$5:$B$36,INT(($A9/K$4))+2)-INDEX(Data_EPA_Survival!$B$5:$B$36,INT(($A9/K$4))+1)))</f>
        <v/>
      </c>
      <c r="L9" s="26">
        <f>IF(($A9/L$4)&gt;=31,0,INDEX(Data_EPA_Survival!$B$5:$B$36,INT(($A9/L$4))+1)+(($A9/L$4)-INT(($A9/L$4)))*(INDEX(Data_EPA_Survival!$B$5:$B$36,INT(($A9/L$4))+2)-INDEX(Data_EPA_Survival!$B$5:$B$36,INT(($A9/L$4))+1)))</f>
        <v/>
      </c>
      <c r="M9" s="26">
        <f>IF(($A9/M$4)&gt;=31,0,INDEX(Data_EPA_Survival!$B$5:$B$36,INT(($A9/M$4))+1)+(($A9/M$4)-INT(($A9/M$4)))*(INDEX(Data_EPA_Survival!$B$5:$B$36,INT(($A9/M$4))+2)-INDEX(Data_EPA_Survival!$B$5:$B$36,INT(($A9/M$4))+1)))</f>
        <v/>
      </c>
      <c r="N9" s="26">
        <f>IF(($A9/N$4)&gt;=31,0,INDEX(Data_EPA_Survival!$B$5:$B$36,INT(($A9/N$4))+1)+(($A9/N$4)-INT(($A9/N$4)))*(INDEX(Data_EPA_Survival!$B$5:$B$36,INT(($A9/N$4))+2)-INDEX(Data_EPA_Survival!$B$5:$B$36,INT(($A9/N$4))+1)))</f>
        <v/>
      </c>
      <c r="O9" s="26">
        <f>IF(($A9/O$4)&gt;=31,0,INDEX(Data_EPA_Survival!$B$5:$B$36,INT(($A9/O$4))+1)+(($A9/O$4)-INT(($A9/O$4)))*(INDEX(Data_EPA_Survival!$B$5:$B$36,INT(($A9/O$4))+2)-INDEX(Data_EPA_Survival!$B$5:$B$36,INT(($A9/O$4))+1)))</f>
        <v/>
      </c>
      <c r="P9" s="26">
        <f>IF(($A9/P$4)&gt;=31,0,INDEX(Data_EPA_Survival!$B$5:$B$36,INT(($A9/P$4))+1)+(($A9/P$4)-INT(($A9/P$4)))*(INDEX(Data_EPA_Survival!$B$5:$B$36,INT(($A9/P$4))+2)-INDEX(Data_EPA_Survival!$B$5:$B$36,INT(($A9/P$4))+1)))</f>
        <v/>
      </c>
      <c r="Q9" s="26">
        <f>IF(($A9/Q$4)&gt;=31,0,INDEX(Data_EPA_Survival!$B$5:$B$36,INT(($A9/Q$4))+1)+(($A9/Q$4)-INT(($A9/Q$4)))*(INDEX(Data_EPA_Survival!$B$5:$B$36,INT(($A9/Q$4))+2)-INDEX(Data_EPA_Survival!$B$5:$B$36,INT(($A9/Q$4))+1)))</f>
        <v/>
      </c>
      <c r="R9" s="26">
        <f>IF(($A9/R$4)&gt;=31,0,INDEX(Data_EPA_Survival!$B$5:$B$36,INT(($A9/R$4))+1)+(($A9/R$4)-INT(($A9/R$4)))*(INDEX(Data_EPA_Survival!$B$5:$B$36,INT(($A9/R$4))+2)-INDEX(Data_EPA_Survival!$B$5:$B$36,INT(($A9/R$4))+1)))</f>
        <v/>
      </c>
      <c r="S9" s="26">
        <f>IF(($A9/S$4)&gt;=31,0,INDEX(Data_EPA_Survival!$B$5:$B$36,INT(($A9/S$4))+1)+(($A9/S$4)-INT(($A9/S$4)))*(INDEX(Data_EPA_Survival!$B$5:$B$36,INT(($A9/S$4))+2)-INDEX(Data_EPA_Survival!$B$5:$B$36,INT(($A9/S$4))+1)))</f>
        <v/>
      </c>
      <c r="T9" s="26">
        <f>IF(($A9/T$4)&gt;=31,0,INDEX(Data_EPA_Survival!$B$5:$B$36,INT(($A9/T$4))+1)+(($A9/T$4)-INT(($A9/T$4)))*(INDEX(Data_EPA_Survival!$B$5:$B$36,INT(($A9/T$4))+2)-INDEX(Data_EPA_Survival!$B$5:$B$36,INT(($A9/T$4))+1)))</f>
        <v/>
      </c>
    </row>
    <row r="10">
      <c r="A10" s="9" t="n">
        <v>4</v>
      </c>
      <c r="C10" s="26">
        <f>IF(($A10/C$4)&gt;=31,0,INDEX(Data_EPA_Survival!$B$5:$B$36,INT(($A10/C$4))+1)+(($A10/C$4)-INT(($A10/C$4)))*(INDEX(Data_EPA_Survival!$B$5:$B$36,INT(($A10/C$4))+2)-INDEX(Data_EPA_Survival!$B$5:$B$36,INT(($A10/C$4))+1)))</f>
        <v/>
      </c>
      <c r="D10" s="26">
        <f>IF(($A10/D$4)&gt;=31,0,INDEX(Data_EPA_Survival!$B$5:$B$36,INT(($A10/D$4))+1)+(($A10/D$4)-INT(($A10/D$4)))*(INDEX(Data_EPA_Survival!$B$5:$B$36,INT(($A10/D$4))+2)-INDEX(Data_EPA_Survival!$B$5:$B$36,INT(($A10/D$4))+1)))</f>
        <v/>
      </c>
      <c r="E10" s="26">
        <f>IF(($A10/E$4)&gt;=31,0,INDEX(Data_EPA_Survival!$B$5:$B$36,INT(($A10/E$4))+1)+(($A10/E$4)-INT(($A10/E$4)))*(INDEX(Data_EPA_Survival!$B$5:$B$36,INT(($A10/E$4))+2)-INDEX(Data_EPA_Survival!$B$5:$B$36,INT(($A10/E$4))+1)))</f>
        <v/>
      </c>
      <c r="F10" s="26">
        <f>IF(($A10/F$4)&gt;=31,0,INDEX(Data_EPA_Survival!$B$5:$B$36,INT(($A10/F$4))+1)+(($A10/F$4)-INT(($A10/F$4)))*(INDEX(Data_EPA_Survival!$B$5:$B$36,INT(($A10/F$4))+2)-INDEX(Data_EPA_Survival!$B$5:$B$36,INT(($A10/F$4))+1)))</f>
        <v/>
      </c>
      <c r="G10" s="26">
        <f>IF(($A10/G$4)&gt;=31,0,INDEX(Data_EPA_Survival!$B$5:$B$36,INT(($A10/G$4))+1)+(($A10/G$4)-INT(($A10/G$4)))*(INDEX(Data_EPA_Survival!$B$5:$B$36,INT(($A10/G$4))+2)-INDEX(Data_EPA_Survival!$B$5:$B$36,INT(($A10/G$4))+1)))</f>
        <v/>
      </c>
      <c r="H10" s="26">
        <f>IF(($A10/H$4)&gt;=31,0,INDEX(Data_EPA_Survival!$B$5:$B$36,INT(($A10/H$4))+1)+(($A10/H$4)-INT(($A10/H$4)))*(INDEX(Data_EPA_Survival!$B$5:$B$36,INT(($A10/H$4))+2)-INDEX(Data_EPA_Survival!$B$5:$B$36,INT(($A10/H$4))+1)))</f>
        <v/>
      </c>
      <c r="I10" s="26">
        <f>IF(($A10/I$4)&gt;=31,0,INDEX(Data_EPA_Survival!$B$5:$B$36,INT(($A10/I$4))+1)+(($A10/I$4)-INT(($A10/I$4)))*(INDEX(Data_EPA_Survival!$B$5:$B$36,INT(($A10/I$4))+2)-INDEX(Data_EPA_Survival!$B$5:$B$36,INT(($A10/I$4))+1)))</f>
        <v/>
      </c>
      <c r="J10" s="26">
        <f>IF(($A10/J$4)&gt;=31,0,INDEX(Data_EPA_Survival!$B$5:$B$36,INT(($A10/J$4))+1)+(($A10/J$4)-INT(($A10/J$4)))*(INDEX(Data_EPA_Survival!$B$5:$B$36,INT(($A10/J$4))+2)-INDEX(Data_EPA_Survival!$B$5:$B$36,INT(($A10/J$4))+1)))</f>
        <v/>
      </c>
      <c r="K10" s="26">
        <f>IF(($A10/K$4)&gt;=31,0,INDEX(Data_EPA_Survival!$B$5:$B$36,INT(($A10/K$4))+1)+(($A10/K$4)-INT(($A10/K$4)))*(INDEX(Data_EPA_Survival!$B$5:$B$36,INT(($A10/K$4))+2)-INDEX(Data_EPA_Survival!$B$5:$B$36,INT(($A10/K$4))+1)))</f>
        <v/>
      </c>
      <c r="L10" s="26">
        <f>IF(($A10/L$4)&gt;=31,0,INDEX(Data_EPA_Survival!$B$5:$B$36,INT(($A10/L$4))+1)+(($A10/L$4)-INT(($A10/L$4)))*(INDEX(Data_EPA_Survival!$B$5:$B$36,INT(($A10/L$4))+2)-INDEX(Data_EPA_Survival!$B$5:$B$36,INT(($A10/L$4))+1)))</f>
        <v/>
      </c>
      <c r="M10" s="26">
        <f>IF(($A10/M$4)&gt;=31,0,INDEX(Data_EPA_Survival!$B$5:$B$36,INT(($A10/M$4))+1)+(($A10/M$4)-INT(($A10/M$4)))*(INDEX(Data_EPA_Survival!$B$5:$B$36,INT(($A10/M$4))+2)-INDEX(Data_EPA_Survival!$B$5:$B$36,INT(($A10/M$4))+1)))</f>
        <v/>
      </c>
      <c r="N10" s="26">
        <f>IF(($A10/N$4)&gt;=31,0,INDEX(Data_EPA_Survival!$B$5:$B$36,INT(($A10/N$4))+1)+(($A10/N$4)-INT(($A10/N$4)))*(INDEX(Data_EPA_Survival!$B$5:$B$36,INT(($A10/N$4))+2)-INDEX(Data_EPA_Survival!$B$5:$B$36,INT(($A10/N$4))+1)))</f>
        <v/>
      </c>
      <c r="O10" s="26">
        <f>IF(($A10/O$4)&gt;=31,0,INDEX(Data_EPA_Survival!$B$5:$B$36,INT(($A10/O$4))+1)+(($A10/O$4)-INT(($A10/O$4)))*(INDEX(Data_EPA_Survival!$B$5:$B$36,INT(($A10/O$4))+2)-INDEX(Data_EPA_Survival!$B$5:$B$36,INT(($A10/O$4))+1)))</f>
        <v/>
      </c>
      <c r="P10" s="26">
        <f>IF(($A10/P$4)&gt;=31,0,INDEX(Data_EPA_Survival!$B$5:$B$36,INT(($A10/P$4))+1)+(($A10/P$4)-INT(($A10/P$4)))*(INDEX(Data_EPA_Survival!$B$5:$B$36,INT(($A10/P$4))+2)-INDEX(Data_EPA_Survival!$B$5:$B$36,INT(($A10/P$4))+1)))</f>
        <v/>
      </c>
      <c r="Q10" s="26">
        <f>IF(($A10/Q$4)&gt;=31,0,INDEX(Data_EPA_Survival!$B$5:$B$36,INT(($A10/Q$4))+1)+(($A10/Q$4)-INT(($A10/Q$4)))*(INDEX(Data_EPA_Survival!$B$5:$B$36,INT(($A10/Q$4))+2)-INDEX(Data_EPA_Survival!$B$5:$B$36,INT(($A10/Q$4))+1)))</f>
        <v/>
      </c>
      <c r="R10" s="26">
        <f>IF(($A10/R$4)&gt;=31,0,INDEX(Data_EPA_Survival!$B$5:$B$36,INT(($A10/R$4))+1)+(($A10/R$4)-INT(($A10/R$4)))*(INDEX(Data_EPA_Survival!$B$5:$B$36,INT(($A10/R$4))+2)-INDEX(Data_EPA_Survival!$B$5:$B$36,INT(($A10/R$4))+1)))</f>
        <v/>
      </c>
      <c r="S10" s="26">
        <f>IF(($A10/S$4)&gt;=31,0,INDEX(Data_EPA_Survival!$B$5:$B$36,INT(($A10/S$4))+1)+(($A10/S$4)-INT(($A10/S$4)))*(INDEX(Data_EPA_Survival!$B$5:$B$36,INT(($A10/S$4))+2)-INDEX(Data_EPA_Survival!$B$5:$B$36,INT(($A10/S$4))+1)))</f>
        <v/>
      </c>
      <c r="T10" s="26">
        <f>IF(($A10/T$4)&gt;=31,0,INDEX(Data_EPA_Survival!$B$5:$B$36,INT(($A10/T$4))+1)+(($A10/T$4)-INT(($A10/T$4)))*(INDEX(Data_EPA_Survival!$B$5:$B$36,INT(($A10/T$4))+2)-INDEX(Data_EPA_Survival!$B$5:$B$36,INT(($A10/T$4))+1)))</f>
        <v/>
      </c>
    </row>
    <row r="11">
      <c r="A11" s="9" t="n">
        <v>5</v>
      </c>
      <c r="C11" s="26">
        <f>IF(($A11/C$4)&gt;=31,0,INDEX(Data_EPA_Survival!$B$5:$B$36,INT(($A11/C$4))+1)+(($A11/C$4)-INT(($A11/C$4)))*(INDEX(Data_EPA_Survival!$B$5:$B$36,INT(($A11/C$4))+2)-INDEX(Data_EPA_Survival!$B$5:$B$36,INT(($A11/C$4))+1)))</f>
        <v/>
      </c>
      <c r="D11" s="26">
        <f>IF(($A11/D$4)&gt;=31,0,INDEX(Data_EPA_Survival!$B$5:$B$36,INT(($A11/D$4))+1)+(($A11/D$4)-INT(($A11/D$4)))*(INDEX(Data_EPA_Survival!$B$5:$B$36,INT(($A11/D$4))+2)-INDEX(Data_EPA_Survival!$B$5:$B$36,INT(($A11/D$4))+1)))</f>
        <v/>
      </c>
      <c r="E11" s="26">
        <f>IF(($A11/E$4)&gt;=31,0,INDEX(Data_EPA_Survival!$B$5:$B$36,INT(($A11/E$4))+1)+(($A11/E$4)-INT(($A11/E$4)))*(INDEX(Data_EPA_Survival!$B$5:$B$36,INT(($A11/E$4))+2)-INDEX(Data_EPA_Survival!$B$5:$B$36,INT(($A11/E$4))+1)))</f>
        <v/>
      </c>
      <c r="F11" s="26">
        <f>IF(($A11/F$4)&gt;=31,0,INDEX(Data_EPA_Survival!$B$5:$B$36,INT(($A11/F$4))+1)+(($A11/F$4)-INT(($A11/F$4)))*(INDEX(Data_EPA_Survival!$B$5:$B$36,INT(($A11/F$4))+2)-INDEX(Data_EPA_Survival!$B$5:$B$36,INT(($A11/F$4))+1)))</f>
        <v/>
      </c>
      <c r="G11" s="26">
        <f>IF(($A11/G$4)&gt;=31,0,INDEX(Data_EPA_Survival!$B$5:$B$36,INT(($A11/G$4))+1)+(($A11/G$4)-INT(($A11/G$4)))*(INDEX(Data_EPA_Survival!$B$5:$B$36,INT(($A11/G$4))+2)-INDEX(Data_EPA_Survival!$B$5:$B$36,INT(($A11/G$4))+1)))</f>
        <v/>
      </c>
      <c r="H11" s="26">
        <f>IF(($A11/H$4)&gt;=31,0,INDEX(Data_EPA_Survival!$B$5:$B$36,INT(($A11/H$4))+1)+(($A11/H$4)-INT(($A11/H$4)))*(INDEX(Data_EPA_Survival!$B$5:$B$36,INT(($A11/H$4))+2)-INDEX(Data_EPA_Survival!$B$5:$B$36,INT(($A11/H$4))+1)))</f>
        <v/>
      </c>
      <c r="I11" s="26">
        <f>IF(($A11/I$4)&gt;=31,0,INDEX(Data_EPA_Survival!$B$5:$B$36,INT(($A11/I$4))+1)+(($A11/I$4)-INT(($A11/I$4)))*(INDEX(Data_EPA_Survival!$B$5:$B$36,INT(($A11/I$4))+2)-INDEX(Data_EPA_Survival!$B$5:$B$36,INT(($A11/I$4))+1)))</f>
        <v/>
      </c>
      <c r="J11" s="26">
        <f>IF(($A11/J$4)&gt;=31,0,INDEX(Data_EPA_Survival!$B$5:$B$36,INT(($A11/J$4))+1)+(($A11/J$4)-INT(($A11/J$4)))*(INDEX(Data_EPA_Survival!$B$5:$B$36,INT(($A11/J$4))+2)-INDEX(Data_EPA_Survival!$B$5:$B$36,INT(($A11/J$4))+1)))</f>
        <v/>
      </c>
      <c r="K11" s="26">
        <f>IF(($A11/K$4)&gt;=31,0,INDEX(Data_EPA_Survival!$B$5:$B$36,INT(($A11/K$4))+1)+(($A11/K$4)-INT(($A11/K$4)))*(INDEX(Data_EPA_Survival!$B$5:$B$36,INT(($A11/K$4))+2)-INDEX(Data_EPA_Survival!$B$5:$B$36,INT(($A11/K$4))+1)))</f>
        <v/>
      </c>
      <c r="L11" s="26">
        <f>IF(($A11/L$4)&gt;=31,0,INDEX(Data_EPA_Survival!$B$5:$B$36,INT(($A11/L$4))+1)+(($A11/L$4)-INT(($A11/L$4)))*(INDEX(Data_EPA_Survival!$B$5:$B$36,INT(($A11/L$4))+2)-INDEX(Data_EPA_Survival!$B$5:$B$36,INT(($A11/L$4))+1)))</f>
        <v/>
      </c>
      <c r="M11" s="26">
        <f>IF(($A11/M$4)&gt;=31,0,INDEX(Data_EPA_Survival!$B$5:$B$36,INT(($A11/M$4))+1)+(($A11/M$4)-INT(($A11/M$4)))*(INDEX(Data_EPA_Survival!$B$5:$B$36,INT(($A11/M$4))+2)-INDEX(Data_EPA_Survival!$B$5:$B$36,INT(($A11/M$4))+1)))</f>
        <v/>
      </c>
      <c r="N11" s="26">
        <f>IF(($A11/N$4)&gt;=31,0,INDEX(Data_EPA_Survival!$B$5:$B$36,INT(($A11/N$4))+1)+(($A11/N$4)-INT(($A11/N$4)))*(INDEX(Data_EPA_Survival!$B$5:$B$36,INT(($A11/N$4))+2)-INDEX(Data_EPA_Survival!$B$5:$B$36,INT(($A11/N$4))+1)))</f>
        <v/>
      </c>
      <c r="O11" s="26">
        <f>IF(($A11/O$4)&gt;=31,0,INDEX(Data_EPA_Survival!$B$5:$B$36,INT(($A11/O$4))+1)+(($A11/O$4)-INT(($A11/O$4)))*(INDEX(Data_EPA_Survival!$B$5:$B$36,INT(($A11/O$4))+2)-INDEX(Data_EPA_Survival!$B$5:$B$36,INT(($A11/O$4))+1)))</f>
        <v/>
      </c>
      <c r="P11" s="26">
        <f>IF(($A11/P$4)&gt;=31,0,INDEX(Data_EPA_Survival!$B$5:$B$36,INT(($A11/P$4))+1)+(($A11/P$4)-INT(($A11/P$4)))*(INDEX(Data_EPA_Survival!$B$5:$B$36,INT(($A11/P$4))+2)-INDEX(Data_EPA_Survival!$B$5:$B$36,INT(($A11/P$4))+1)))</f>
        <v/>
      </c>
      <c r="Q11" s="26">
        <f>IF(($A11/Q$4)&gt;=31,0,INDEX(Data_EPA_Survival!$B$5:$B$36,INT(($A11/Q$4))+1)+(($A11/Q$4)-INT(($A11/Q$4)))*(INDEX(Data_EPA_Survival!$B$5:$B$36,INT(($A11/Q$4))+2)-INDEX(Data_EPA_Survival!$B$5:$B$36,INT(($A11/Q$4))+1)))</f>
        <v/>
      </c>
      <c r="R11" s="26">
        <f>IF(($A11/R$4)&gt;=31,0,INDEX(Data_EPA_Survival!$B$5:$B$36,INT(($A11/R$4))+1)+(($A11/R$4)-INT(($A11/R$4)))*(INDEX(Data_EPA_Survival!$B$5:$B$36,INT(($A11/R$4))+2)-INDEX(Data_EPA_Survival!$B$5:$B$36,INT(($A11/R$4))+1)))</f>
        <v/>
      </c>
      <c r="S11" s="26">
        <f>IF(($A11/S$4)&gt;=31,0,INDEX(Data_EPA_Survival!$B$5:$B$36,INT(($A11/S$4))+1)+(($A11/S$4)-INT(($A11/S$4)))*(INDEX(Data_EPA_Survival!$B$5:$B$36,INT(($A11/S$4))+2)-INDEX(Data_EPA_Survival!$B$5:$B$36,INT(($A11/S$4))+1)))</f>
        <v/>
      </c>
      <c r="T11" s="26">
        <f>IF(($A11/T$4)&gt;=31,0,INDEX(Data_EPA_Survival!$B$5:$B$36,INT(($A11/T$4))+1)+(($A11/T$4)-INT(($A11/T$4)))*(INDEX(Data_EPA_Survival!$B$5:$B$36,INT(($A11/T$4))+2)-INDEX(Data_EPA_Survival!$B$5:$B$36,INT(($A11/T$4))+1)))</f>
        <v/>
      </c>
    </row>
    <row r="12">
      <c r="A12" s="9" t="n">
        <v>6</v>
      </c>
      <c r="C12" s="26">
        <f>IF(($A12/C$4)&gt;=31,0,INDEX(Data_EPA_Survival!$B$5:$B$36,INT(($A12/C$4))+1)+(($A12/C$4)-INT(($A12/C$4)))*(INDEX(Data_EPA_Survival!$B$5:$B$36,INT(($A12/C$4))+2)-INDEX(Data_EPA_Survival!$B$5:$B$36,INT(($A12/C$4))+1)))</f>
        <v/>
      </c>
      <c r="D12" s="26">
        <f>IF(($A12/D$4)&gt;=31,0,INDEX(Data_EPA_Survival!$B$5:$B$36,INT(($A12/D$4))+1)+(($A12/D$4)-INT(($A12/D$4)))*(INDEX(Data_EPA_Survival!$B$5:$B$36,INT(($A12/D$4))+2)-INDEX(Data_EPA_Survival!$B$5:$B$36,INT(($A12/D$4))+1)))</f>
        <v/>
      </c>
      <c r="E12" s="26">
        <f>IF(($A12/E$4)&gt;=31,0,INDEX(Data_EPA_Survival!$B$5:$B$36,INT(($A12/E$4))+1)+(($A12/E$4)-INT(($A12/E$4)))*(INDEX(Data_EPA_Survival!$B$5:$B$36,INT(($A12/E$4))+2)-INDEX(Data_EPA_Survival!$B$5:$B$36,INT(($A12/E$4))+1)))</f>
        <v/>
      </c>
      <c r="F12" s="26">
        <f>IF(($A12/F$4)&gt;=31,0,INDEX(Data_EPA_Survival!$B$5:$B$36,INT(($A12/F$4))+1)+(($A12/F$4)-INT(($A12/F$4)))*(INDEX(Data_EPA_Survival!$B$5:$B$36,INT(($A12/F$4))+2)-INDEX(Data_EPA_Survival!$B$5:$B$36,INT(($A12/F$4))+1)))</f>
        <v/>
      </c>
      <c r="G12" s="26">
        <f>IF(($A12/G$4)&gt;=31,0,INDEX(Data_EPA_Survival!$B$5:$B$36,INT(($A12/G$4))+1)+(($A12/G$4)-INT(($A12/G$4)))*(INDEX(Data_EPA_Survival!$B$5:$B$36,INT(($A12/G$4))+2)-INDEX(Data_EPA_Survival!$B$5:$B$36,INT(($A12/G$4))+1)))</f>
        <v/>
      </c>
      <c r="H12" s="26">
        <f>IF(($A12/H$4)&gt;=31,0,INDEX(Data_EPA_Survival!$B$5:$B$36,INT(($A12/H$4))+1)+(($A12/H$4)-INT(($A12/H$4)))*(INDEX(Data_EPA_Survival!$B$5:$B$36,INT(($A12/H$4))+2)-INDEX(Data_EPA_Survival!$B$5:$B$36,INT(($A12/H$4))+1)))</f>
        <v/>
      </c>
      <c r="I12" s="26">
        <f>IF(($A12/I$4)&gt;=31,0,INDEX(Data_EPA_Survival!$B$5:$B$36,INT(($A12/I$4))+1)+(($A12/I$4)-INT(($A12/I$4)))*(INDEX(Data_EPA_Survival!$B$5:$B$36,INT(($A12/I$4))+2)-INDEX(Data_EPA_Survival!$B$5:$B$36,INT(($A12/I$4))+1)))</f>
        <v/>
      </c>
      <c r="J12" s="26">
        <f>IF(($A12/J$4)&gt;=31,0,INDEX(Data_EPA_Survival!$B$5:$B$36,INT(($A12/J$4))+1)+(($A12/J$4)-INT(($A12/J$4)))*(INDEX(Data_EPA_Survival!$B$5:$B$36,INT(($A12/J$4))+2)-INDEX(Data_EPA_Survival!$B$5:$B$36,INT(($A12/J$4))+1)))</f>
        <v/>
      </c>
      <c r="K12" s="26">
        <f>IF(($A12/K$4)&gt;=31,0,INDEX(Data_EPA_Survival!$B$5:$B$36,INT(($A12/K$4))+1)+(($A12/K$4)-INT(($A12/K$4)))*(INDEX(Data_EPA_Survival!$B$5:$B$36,INT(($A12/K$4))+2)-INDEX(Data_EPA_Survival!$B$5:$B$36,INT(($A12/K$4))+1)))</f>
        <v/>
      </c>
      <c r="L12" s="26">
        <f>IF(($A12/L$4)&gt;=31,0,INDEX(Data_EPA_Survival!$B$5:$B$36,INT(($A12/L$4))+1)+(($A12/L$4)-INT(($A12/L$4)))*(INDEX(Data_EPA_Survival!$B$5:$B$36,INT(($A12/L$4))+2)-INDEX(Data_EPA_Survival!$B$5:$B$36,INT(($A12/L$4))+1)))</f>
        <v/>
      </c>
      <c r="M12" s="26">
        <f>IF(($A12/M$4)&gt;=31,0,INDEX(Data_EPA_Survival!$B$5:$B$36,INT(($A12/M$4))+1)+(($A12/M$4)-INT(($A12/M$4)))*(INDEX(Data_EPA_Survival!$B$5:$B$36,INT(($A12/M$4))+2)-INDEX(Data_EPA_Survival!$B$5:$B$36,INT(($A12/M$4))+1)))</f>
        <v/>
      </c>
      <c r="N12" s="26">
        <f>IF(($A12/N$4)&gt;=31,0,INDEX(Data_EPA_Survival!$B$5:$B$36,INT(($A12/N$4))+1)+(($A12/N$4)-INT(($A12/N$4)))*(INDEX(Data_EPA_Survival!$B$5:$B$36,INT(($A12/N$4))+2)-INDEX(Data_EPA_Survival!$B$5:$B$36,INT(($A12/N$4))+1)))</f>
        <v/>
      </c>
      <c r="O12" s="26">
        <f>IF(($A12/O$4)&gt;=31,0,INDEX(Data_EPA_Survival!$B$5:$B$36,INT(($A12/O$4))+1)+(($A12/O$4)-INT(($A12/O$4)))*(INDEX(Data_EPA_Survival!$B$5:$B$36,INT(($A12/O$4))+2)-INDEX(Data_EPA_Survival!$B$5:$B$36,INT(($A12/O$4))+1)))</f>
        <v/>
      </c>
      <c r="P12" s="26">
        <f>IF(($A12/P$4)&gt;=31,0,INDEX(Data_EPA_Survival!$B$5:$B$36,INT(($A12/P$4))+1)+(($A12/P$4)-INT(($A12/P$4)))*(INDEX(Data_EPA_Survival!$B$5:$B$36,INT(($A12/P$4))+2)-INDEX(Data_EPA_Survival!$B$5:$B$36,INT(($A12/P$4))+1)))</f>
        <v/>
      </c>
      <c r="Q12" s="26">
        <f>IF(($A12/Q$4)&gt;=31,0,INDEX(Data_EPA_Survival!$B$5:$B$36,INT(($A12/Q$4))+1)+(($A12/Q$4)-INT(($A12/Q$4)))*(INDEX(Data_EPA_Survival!$B$5:$B$36,INT(($A12/Q$4))+2)-INDEX(Data_EPA_Survival!$B$5:$B$36,INT(($A12/Q$4))+1)))</f>
        <v/>
      </c>
      <c r="R12" s="26">
        <f>IF(($A12/R$4)&gt;=31,0,INDEX(Data_EPA_Survival!$B$5:$B$36,INT(($A12/R$4))+1)+(($A12/R$4)-INT(($A12/R$4)))*(INDEX(Data_EPA_Survival!$B$5:$B$36,INT(($A12/R$4))+2)-INDEX(Data_EPA_Survival!$B$5:$B$36,INT(($A12/R$4))+1)))</f>
        <v/>
      </c>
      <c r="S12" s="26">
        <f>IF(($A12/S$4)&gt;=31,0,INDEX(Data_EPA_Survival!$B$5:$B$36,INT(($A12/S$4))+1)+(($A12/S$4)-INT(($A12/S$4)))*(INDEX(Data_EPA_Survival!$B$5:$B$36,INT(($A12/S$4))+2)-INDEX(Data_EPA_Survival!$B$5:$B$36,INT(($A12/S$4))+1)))</f>
        <v/>
      </c>
      <c r="T12" s="26">
        <f>IF(($A12/T$4)&gt;=31,0,INDEX(Data_EPA_Survival!$B$5:$B$36,INT(($A12/T$4))+1)+(($A12/T$4)-INT(($A12/T$4)))*(INDEX(Data_EPA_Survival!$B$5:$B$36,INT(($A12/T$4))+2)-INDEX(Data_EPA_Survival!$B$5:$B$36,INT(($A12/T$4))+1)))</f>
        <v/>
      </c>
    </row>
    <row r="13">
      <c r="A13" s="9" t="n">
        <v>7</v>
      </c>
      <c r="C13" s="26">
        <f>IF(($A13/C$4)&gt;=31,0,INDEX(Data_EPA_Survival!$B$5:$B$36,INT(($A13/C$4))+1)+(($A13/C$4)-INT(($A13/C$4)))*(INDEX(Data_EPA_Survival!$B$5:$B$36,INT(($A13/C$4))+2)-INDEX(Data_EPA_Survival!$B$5:$B$36,INT(($A13/C$4))+1)))</f>
        <v/>
      </c>
      <c r="D13" s="26">
        <f>IF(($A13/D$4)&gt;=31,0,INDEX(Data_EPA_Survival!$B$5:$B$36,INT(($A13/D$4))+1)+(($A13/D$4)-INT(($A13/D$4)))*(INDEX(Data_EPA_Survival!$B$5:$B$36,INT(($A13/D$4))+2)-INDEX(Data_EPA_Survival!$B$5:$B$36,INT(($A13/D$4))+1)))</f>
        <v/>
      </c>
      <c r="E13" s="26">
        <f>IF(($A13/E$4)&gt;=31,0,INDEX(Data_EPA_Survival!$B$5:$B$36,INT(($A13/E$4))+1)+(($A13/E$4)-INT(($A13/E$4)))*(INDEX(Data_EPA_Survival!$B$5:$B$36,INT(($A13/E$4))+2)-INDEX(Data_EPA_Survival!$B$5:$B$36,INT(($A13/E$4))+1)))</f>
        <v/>
      </c>
      <c r="F13" s="26">
        <f>IF(($A13/F$4)&gt;=31,0,INDEX(Data_EPA_Survival!$B$5:$B$36,INT(($A13/F$4))+1)+(($A13/F$4)-INT(($A13/F$4)))*(INDEX(Data_EPA_Survival!$B$5:$B$36,INT(($A13/F$4))+2)-INDEX(Data_EPA_Survival!$B$5:$B$36,INT(($A13/F$4))+1)))</f>
        <v/>
      </c>
      <c r="G13" s="26">
        <f>IF(($A13/G$4)&gt;=31,0,INDEX(Data_EPA_Survival!$B$5:$B$36,INT(($A13/G$4))+1)+(($A13/G$4)-INT(($A13/G$4)))*(INDEX(Data_EPA_Survival!$B$5:$B$36,INT(($A13/G$4))+2)-INDEX(Data_EPA_Survival!$B$5:$B$36,INT(($A13/G$4))+1)))</f>
        <v/>
      </c>
      <c r="H13" s="26">
        <f>IF(($A13/H$4)&gt;=31,0,INDEX(Data_EPA_Survival!$B$5:$B$36,INT(($A13/H$4))+1)+(($A13/H$4)-INT(($A13/H$4)))*(INDEX(Data_EPA_Survival!$B$5:$B$36,INT(($A13/H$4))+2)-INDEX(Data_EPA_Survival!$B$5:$B$36,INT(($A13/H$4))+1)))</f>
        <v/>
      </c>
      <c r="I13" s="26">
        <f>IF(($A13/I$4)&gt;=31,0,INDEX(Data_EPA_Survival!$B$5:$B$36,INT(($A13/I$4))+1)+(($A13/I$4)-INT(($A13/I$4)))*(INDEX(Data_EPA_Survival!$B$5:$B$36,INT(($A13/I$4))+2)-INDEX(Data_EPA_Survival!$B$5:$B$36,INT(($A13/I$4))+1)))</f>
        <v/>
      </c>
      <c r="J13" s="26">
        <f>IF(($A13/J$4)&gt;=31,0,INDEX(Data_EPA_Survival!$B$5:$B$36,INT(($A13/J$4))+1)+(($A13/J$4)-INT(($A13/J$4)))*(INDEX(Data_EPA_Survival!$B$5:$B$36,INT(($A13/J$4))+2)-INDEX(Data_EPA_Survival!$B$5:$B$36,INT(($A13/J$4))+1)))</f>
        <v/>
      </c>
      <c r="K13" s="26">
        <f>IF(($A13/K$4)&gt;=31,0,INDEX(Data_EPA_Survival!$B$5:$B$36,INT(($A13/K$4))+1)+(($A13/K$4)-INT(($A13/K$4)))*(INDEX(Data_EPA_Survival!$B$5:$B$36,INT(($A13/K$4))+2)-INDEX(Data_EPA_Survival!$B$5:$B$36,INT(($A13/K$4))+1)))</f>
        <v/>
      </c>
      <c r="L13" s="26">
        <f>IF(($A13/L$4)&gt;=31,0,INDEX(Data_EPA_Survival!$B$5:$B$36,INT(($A13/L$4))+1)+(($A13/L$4)-INT(($A13/L$4)))*(INDEX(Data_EPA_Survival!$B$5:$B$36,INT(($A13/L$4))+2)-INDEX(Data_EPA_Survival!$B$5:$B$36,INT(($A13/L$4))+1)))</f>
        <v/>
      </c>
      <c r="M13" s="26">
        <f>IF(($A13/M$4)&gt;=31,0,INDEX(Data_EPA_Survival!$B$5:$B$36,INT(($A13/M$4))+1)+(($A13/M$4)-INT(($A13/M$4)))*(INDEX(Data_EPA_Survival!$B$5:$B$36,INT(($A13/M$4))+2)-INDEX(Data_EPA_Survival!$B$5:$B$36,INT(($A13/M$4))+1)))</f>
        <v/>
      </c>
      <c r="N13" s="26">
        <f>IF(($A13/N$4)&gt;=31,0,INDEX(Data_EPA_Survival!$B$5:$B$36,INT(($A13/N$4))+1)+(($A13/N$4)-INT(($A13/N$4)))*(INDEX(Data_EPA_Survival!$B$5:$B$36,INT(($A13/N$4))+2)-INDEX(Data_EPA_Survival!$B$5:$B$36,INT(($A13/N$4))+1)))</f>
        <v/>
      </c>
      <c r="O13" s="26">
        <f>IF(($A13/O$4)&gt;=31,0,INDEX(Data_EPA_Survival!$B$5:$B$36,INT(($A13/O$4))+1)+(($A13/O$4)-INT(($A13/O$4)))*(INDEX(Data_EPA_Survival!$B$5:$B$36,INT(($A13/O$4))+2)-INDEX(Data_EPA_Survival!$B$5:$B$36,INT(($A13/O$4))+1)))</f>
        <v/>
      </c>
      <c r="P13" s="26">
        <f>IF(($A13/P$4)&gt;=31,0,INDEX(Data_EPA_Survival!$B$5:$B$36,INT(($A13/P$4))+1)+(($A13/P$4)-INT(($A13/P$4)))*(INDEX(Data_EPA_Survival!$B$5:$B$36,INT(($A13/P$4))+2)-INDEX(Data_EPA_Survival!$B$5:$B$36,INT(($A13/P$4))+1)))</f>
        <v/>
      </c>
      <c r="Q13" s="26">
        <f>IF(($A13/Q$4)&gt;=31,0,INDEX(Data_EPA_Survival!$B$5:$B$36,INT(($A13/Q$4))+1)+(($A13/Q$4)-INT(($A13/Q$4)))*(INDEX(Data_EPA_Survival!$B$5:$B$36,INT(($A13/Q$4))+2)-INDEX(Data_EPA_Survival!$B$5:$B$36,INT(($A13/Q$4))+1)))</f>
        <v/>
      </c>
      <c r="R13" s="26">
        <f>IF(($A13/R$4)&gt;=31,0,INDEX(Data_EPA_Survival!$B$5:$B$36,INT(($A13/R$4))+1)+(($A13/R$4)-INT(($A13/R$4)))*(INDEX(Data_EPA_Survival!$B$5:$B$36,INT(($A13/R$4))+2)-INDEX(Data_EPA_Survival!$B$5:$B$36,INT(($A13/R$4))+1)))</f>
        <v/>
      </c>
      <c r="S13" s="26">
        <f>IF(($A13/S$4)&gt;=31,0,INDEX(Data_EPA_Survival!$B$5:$B$36,INT(($A13/S$4))+1)+(($A13/S$4)-INT(($A13/S$4)))*(INDEX(Data_EPA_Survival!$B$5:$B$36,INT(($A13/S$4))+2)-INDEX(Data_EPA_Survival!$B$5:$B$36,INT(($A13/S$4))+1)))</f>
        <v/>
      </c>
      <c r="T13" s="26">
        <f>IF(($A13/T$4)&gt;=31,0,INDEX(Data_EPA_Survival!$B$5:$B$36,INT(($A13/T$4))+1)+(($A13/T$4)-INT(($A13/T$4)))*(INDEX(Data_EPA_Survival!$B$5:$B$36,INT(($A13/T$4))+2)-INDEX(Data_EPA_Survival!$B$5:$B$36,INT(($A13/T$4))+1)))</f>
        <v/>
      </c>
    </row>
    <row r="14">
      <c r="A14" s="9" t="n">
        <v>8</v>
      </c>
      <c r="C14" s="26">
        <f>IF(($A14/C$4)&gt;=31,0,INDEX(Data_EPA_Survival!$B$5:$B$36,INT(($A14/C$4))+1)+(($A14/C$4)-INT(($A14/C$4)))*(INDEX(Data_EPA_Survival!$B$5:$B$36,INT(($A14/C$4))+2)-INDEX(Data_EPA_Survival!$B$5:$B$36,INT(($A14/C$4))+1)))</f>
        <v/>
      </c>
      <c r="D14" s="26">
        <f>IF(($A14/D$4)&gt;=31,0,INDEX(Data_EPA_Survival!$B$5:$B$36,INT(($A14/D$4))+1)+(($A14/D$4)-INT(($A14/D$4)))*(INDEX(Data_EPA_Survival!$B$5:$B$36,INT(($A14/D$4))+2)-INDEX(Data_EPA_Survival!$B$5:$B$36,INT(($A14/D$4))+1)))</f>
        <v/>
      </c>
      <c r="E14" s="26">
        <f>IF(($A14/E$4)&gt;=31,0,INDEX(Data_EPA_Survival!$B$5:$B$36,INT(($A14/E$4))+1)+(($A14/E$4)-INT(($A14/E$4)))*(INDEX(Data_EPA_Survival!$B$5:$B$36,INT(($A14/E$4))+2)-INDEX(Data_EPA_Survival!$B$5:$B$36,INT(($A14/E$4))+1)))</f>
        <v/>
      </c>
      <c r="F14" s="26">
        <f>IF(($A14/F$4)&gt;=31,0,INDEX(Data_EPA_Survival!$B$5:$B$36,INT(($A14/F$4))+1)+(($A14/F$4)-INT(($A14/F$4)))*(INDEX(Data_EPA_Survival!$B$5:$B$36,INT(($A14/F$4))+2)-INDEX(Data_EPA_Survival!$B$5:$B$36,INT(($A14/F$4))+1)))</f>
        <v/>
      </c>
      <c r="G14" s="26">
        <f>IF(($A14/G$4)&gt;=31,0,INDEX(Data_EPA_Survival!$B$5:$B$36,INT(($A14/G$4))+1)+(($A14/G$4)-INT(($A14/G$4)))*(INDEX(Data_EPA_Survival!$B$5:$B$36,INT(($A14/G$4))+2)-INDEX(Data_EPA_Survival!$B$5:$B$36,INT(($A14/G$4))+1)))</f>
        <v/>
      </c>
      <c r="H14" s="26">
        <f>IF(($A14/H$4)&gt;=31,0,INDEX(Data_EPA_Survival!$B$5:$B$36,INT(($A14/H$4))+1)+(($A14/H$4)-INT(($A14/H$4)))*(INDEX(Data_EPA_Survival!$B$5:$B$36,INT(($A14/H$4))+2)-INDEX(Data_EPA_Survival!$B$5:$B$36,INT(($A14/H$4))+1)))</f>
        <v/>
      </c>
      <c r="I14" s="26">
        <f>IF(($A14/I$4)&gt;=31,0,INDEX(Data_EPA_Survival!$B$5:$B$36,INT(($A14/I$4))+1)+(($A14/I$4)-INT(($A14/I$4)))*(INDEX(Data_EPA_Survival!$B$5:$B$36,INT(($A14/I$4))+2)-INDEX(Data_EPA_Survival!$B$5:$B$36,INT(($A14/I$4))+1)))</f>
        <v/>
      </c>
      <c r="J14" s="26">
        <f>IF(($A14/J$4)&gt;=31,0,INDEX(Data_EPA_Survival!$B$5:$B$36,INT(($A14/J$4))+1)+(($A14/J$4)-INT(($A14/J$4)))*(INDEX(Data_EPA_Survival!$B$5:$B$36,INT(($A14/J$4))+2)-INDEX(Data_EPA_Survival!$B$5:$B$36,INT(($A14/J$4))+1)))</f>
        <v/>
      </c>
      <c r="K14" s="26">
        <f>IF(($A14/K$4)&gt;=31,0,INDEX(Data_EPA_Survival!$B$5:$B$36,INT(($A14/K$4))+1)+(($A14/K$4)-INT(($A14/K$4)))*(INDEX(Data_EPA_Survival!$B$5:$B$36,INT(($A14/K$4))+2)-INDEX(Data_EPA_Survival!$B$5:$B$36,INT(($A14/K$4))+1)))</f>
        <v/>
      </c>
      <c r="L14" s="26">
        <f>IF(($A14/L$4)&gt;=31,0,INDEX(Data_EPA_Survival!$B$5:$B$36,INT(($A14/L$4))+1)+(($A14/L$4)-INT(($A14/L$4)))*(INDEX(Data_EPA_Survival!$B$5:$B$36,INT(($A14/L$4))+2)-INDEX(Data_EPA_Survival!$B$5:$B$36,INT(($A14/L$4))+1)))</f>
        <v/>
      </c>
      <c r="M14" s="26">
        <f>IF(($A14/M$4)&gt;=31,0,INDEX(Data_EPA_Survival!$B$5:$B$36,INT(($A14/M$4))+1)+(($A14/M$4)-INT(($A14/M$4)))*(INDEX(Data_EPA_Survival!$B$5:$B$36,INT(($A14/M$4))+2)-INDEX(Data_EPA_Survival!$B$5:$B$36,INT(($A14/M$4))+1)))</f>
        <v/>
      </c>
      <c r="N14" s="26">
        <f>IF(($A14/N$4)&gt;=31,0,INDEX(Data_EPA_Survival!$B$5:$B$36,INT(($A14/N$4))+1)+(($A14/N$4)-INT(($A14/N$4)))*(INDEX(Data_EPA_Survival!$B$5:$B$36,INT(($A14/N$4))+2)-INDEX(Data_EPA_Survival!$B$5:$B$36,INT(($A14/N$4))+1)))</f>
        <v/>
      </c>
      <c r="O14" s="26">
        <f>IF(($A14/O$4)&gt;=31,0,INDEX(Data_EPA_Survival!$B$5:$B$36,INT(($A14/O$4))+1)+(($A14/O$4)-INT(($A14/O$4)))*(INDEX(Data_EPA_Survival!$B$5:$B$36,INT(($A14/O$4))+2)-INDEX(Data_EPA_Survival!$B$5:$B$36,INT(($A14/O$4))+1)))</f>
        <v/>
      </c>
      <c r="P14" s="26">
        <f>IF(($A14/P$4)&gt;=31,0,INDEX(Data_EPA_Survival!$B$5:$B$36,INT(($A14/P$4))+1)+(($A14/P$4)-INT(($A14/P$4)))*(INDEX(Data_EPA_Survival!$B$5:$B$36,INT(($A14/P$4))+2)-INDEX(Data_EPA_Survival!$B$5:$B$36,INT(($A14/P$4))+1)))</f>
        <v/>
      </c>
      <c r="Q14" s="26">
        <f>IF(($A14/Q$4)&gt;=31,0,INDEX(Data_EPA_Survival!$B$5:$B$36,INT(($A14/Q$4))+1)+(($A14/Q$4)-INT(($A14/Q$4)))*(INDEX(Data_EPA_Survival!$B$5:$B$36,INT(($A14/Q$4))+2)-INDEX(Data_EPA_Survival!$B$5:$B$36,INT(($A14/Q$4))+1)))</f>
        <v/>
      </c>
      <c r="R14" s="26">
        <f>IF(($A14/R$4)&gt;=31,0,INDEX(Data_EPA_Survival!$B$5:$B$36,INT(($A14/R$4))+1)+(($A14/R$4)-INT(($A14/R$4)))*(INDEX(Data_EPA_Survival!$B$5:$B$36,INT(($A14/R$4))+2)-INDEX(Data_EPA_Survival!$B$5:$B$36,INT(($A14/R$4))+1)))</f>
        <v/>
      </c>
      <c r="S14" s="26">
        <f>IF(($A14/S$4)&gt;=31,0,INDEX(Data_EPA_Survival!$B$5:$B$36,INT(($A14/S$4))+1)+(($A14/S$4)-INT(($A14/S$4)))*(INDEX(Data_EPA_Survival!$B$5:$B$36,INT(($A14/S$4))+2)-INDEX(Data_EPA_Survival!$B$5:$B$36,INT(($A14/S$4))+1)))</f>
        <v/>
      </c>
      <c r="T14" s="26">
        <f>IF(($A14/T$4)&gt;=31,0,INDEX(Data_EPA_Survival!$B$5:$B$36,INT(($A14/T$4))+1)+(($A14/T$4)-INT(($A14/T$4)))*(INDEX(Data_EPA_Survival!$B$5:$B$36,INT(($A14/T$4))+2)-INDEX(Data_EPA_Survival!$B$5:$B$36,INT(($A14/T$4))+1)))</f>
        <v/>
      </c>
    </row>
    <row r="15">
      <c r="A15" s="9" t="n">
        <v>9</v>
      </c>
      <c r="C15" s="26">
        <f>IF(($A15/C$4)&gt;=31,0,INDEX(Data_EPA_Survival!$B$5:$B$36,INT(($A15/C$4))+1)+(($A15/C$4)-INT(($A15/C$4)))*(INDEX(Data_EPA_Survival!$B$5:$B$36,INT(($A15/C$4))+2)-INDEX(Data_EPA_Survival!$B$5:$B$36,INT(($A15/C$4))+1)))</f>
        <v/>
      </c>
      <c r="D15" s="26">
        <f>IF(($A15/D$4)&gt;=31,0,INDEX(Data_EPA_Survival!$B$5:$B$36,INT(($A15/D$4))+1)+(($A15/D$4)-INT(($A15/D$4)))*(INDEX(Data_EPA_Survival!$B$5:$B$36,INT(($A15/D$4))+2)-INDEX(Data_EPA_Survival!$B$5:$B$36,INT(($A15/D$4))+1)))</f>
        <v/>
      </c>
      <c r="E15" s="26">
        <f>IF(($A15/E$4)&gt;=31,0,INDEX(Data_EPA_Survival!$B$5:$B$36,INT(($A15/E$4))+1)+(($A15/E$4)-INT(($A15/E$4)))*(INDEX(Data_EPA_Survival!$B$5:$B$36,INT(($A15/E$4))+2)-INDEX(Data_EPA_Survival!$B$5:$B$36,INT(($A15/E$4))+1)))</f>
        <v/>
      </c>
      <c r="F15" s="26">
        <f>IF(($A15/F$4)&gt;=31,0,INDEX(Data_EPA_Survival!$B$5:$B$36,INT(($A15/F$4))+1)+(($A15/F$4)-INT(($A15/F$4)))*(INDEX(Data_EPA_Survival!$B$5:$B$36,INT(($A15/F$4))+2)-INDEX(Data_EPA_Survival!$B$5:$B$36,INT(($A15/F$4))+1)))</f>
        <v/>
      </c>
      <c r="G15" s="26">
        <f>IF(($A15/G$4)&gt;=31,0,INDEX(Data_EPA_Survival!$B$5:$B$36,INT(($A15/G$4))+1)+(($A15/G$4)-INT(($A15/G$4)))*(INDEX(Data_EPA_Survival!$B$5:$B$36,INT(($A15/G$4))+2)-INDEX(Data_EPA_Survival!$B$5:$B$36,INT(($A15/G$4))+1)))</f>
        <v/>
      </c>
      <c r="H15" s="26">
        <f>IF(($A15/H$4)&gt;=31,0,INDEX(Data_EPA_Survival!$B$5:$B$36,INT(($A15/H$4))+1)+(($A15/H$4)-INT(($A15/H$4)))*(INDEX(Data_EPA_Survival!$B$5:$B$36,INT(($A15/H$4))+2)-INDEX(Data_EPA_Survival!$B$5:$B$36,INT(($A15/H$4))+1)))</f>
        <v/>
      </c>
      <c r="I15" s="26">
        <f>IF(($A15/I$4)&gt;=31,0,INDEX(Data_EPA_Survival!$B$5:$B$36,INT(($A15/I$4))+1)+(($A15/I$4)-INT(($A15/I$4)))*(INDEX(Data_EPA_Survival!$B$5:$B$36,INT(($A15/I$4))+2)-INDEX(Data_EPA_Survival!$B$5:$B$36,INT(($A15/I$4))+1)))</f>
        <v/>
      </c>
      <c r="J15" s="26">
        <f>IF(($A15/J$4)&gt;=31,0,INDEX(Data_EPA_Survival!$B$5:$B$36,INT(($A15/J$4))+1)+(($A15/J$4)-INT(($A15/J$4)))*(INDEX(Data_EPA_Survival!$B$5:$B$36,INT(($A15/J$4))+2)-INDEX(Data_EPA_Survival!$B$5:$B$36,INT(($A15/J$4))+1)))</f>
        <v/>
      </c>
      <c r="K15" s="26">
        <f>IF(($A15/K$4)&gt;=31,0,INDEX(Data_EPA_Survival!$B$5:$B$36,INT(($A15/K$4))+1)+(($A15/K$4)-INT(($A15/K$4)))*(INDEX(Data_EPA_Survival!$B$5:$B$36,INT(($A15/K$4))+2)-INDEX(Data_EPA_Survival!$B$5:$B$36,INT(($A15/K$4))+1)))</f>
        <v/>
      </c>
      <c r="L15" s="26">
        <f>IF(($A15/L$4)&gt;=31,0,INDEX(Data_EPA_Survival!$B$5:$B$36,INT(($A15/L$4))+1)+(($A15/L$4)-INT(($A15/L$4)))*(INDEX(Data_EPA_Survival!$B$5:$B$36,INT(($A15/L$4))+2)-INDEX(Data_EPA_Survival!$B$5:$B$36,INT(($A15/L$4))+1)))</f>
        <v/>
      </c>
      <c r="M15" s="26">
        <f>IF(($A15/M$4)&gt;=31,0,INDEX(Data_EPA_Survival!$B$5:$B$36,INT(($A15/M$4))+1)+(($A15/M$4)-INT(($A15/M$4)))*(INDEX(Data_EPA_Survival!$B$5:$B$36,INT(($A15/M$4))+2)-INDEX(Data_EPA_Survival!$B$5:$B$36,INT(($A15/M$4))+1)))</f>
        <v/>
      </c>
      <c r="N15" s="26">
        <f>IF(($A15/N$4)&gt;=31,0,INDEX(Data_EPA_Survival!$B$5:$B$36,INT(($A15/N$4))+1)+(($A15/N$4)-INT(($A15/N$4)))*(INDEX(Data_EPA_Survival!$B$5:$B$36,INT(($A15/N$4))+2)-INDEX(Data_EPA_Survival!$B$5:$B$36,INT(($A15/N$4))+1)))</f>
        <v/>
      </c>
      <c r="O15" s="26">
        <f>IF(($A15/O$4)&gt;=31,0,INDEX(Data_EPA_Survival!$B$5:$B$36,INT(($A15/O$4))+1)+(($A15/O$4)-INT(($A15/O$4)))*(INDEX(Data_EPA_Survival!$B$5:$B$36,INT(($A15/O$4))+2)-INDEX(Data_EPA_Survival!$B$5:$B$36,INT(($A15/O$4))+1)))</f>
        <v/>
      </c>
      <c r="P15" s="26">
        <f>IF(($A15/P$4)&gt;=31,0,INDEX(Data_EPA_Survival!$B$5:$B$36,INT(($A15/P$4))+1)+(($A15/P$4)-INT(($A15/P$4)))*(INDEX(Data_EPA_Survival!$B$5:$B$36,INT(($A15/P$4))+2)-INDEX(Data_EPA_Survival!$B$5:$B$36,INT(($A15/P$4))+1)))</f>
        <v/>
      </c>
      <c r="Q15" s="26">
        <f>IF(($A15/Q$4)&gt;=31,0,INDEX(Data_EPA_Survival!$B$5:$B$36,INT(($A15/Q$4))+1)+(($A15/Q$4)-INT(($A15/Q$4)))*(INDEX(Data_EPA_Survival!$B$5:$B$36,INT(($A15/Q$4))+2)-INDEX(Data_EPA_Survival!$B$5:$B$36,INT(($A15/Q$4))+1)))</f>
        <v/>
      </c>
      <c r="R15" s="26">
        <f>IF(($A15/R$4)&gt;=31,0,INDEX(Data_EPA_Survival!$B$5:$B$36,INT(($A15/R$4))+1)+(($A15/R$4)-INT(($A15/R$4)))*(INDEX(Data_EPA_Survival!$B$5:$B$36,INT(($A15/R$4))+2)-INDEX(Data_EPA_Survival!$B$5:$B$36,INT(($A15/R$4))+1)))</f>
        <v/>
      </c>
      <c r="S15" s="26">
        <f>IF(($A15/S$4)&gt;=31,0,INDEX(Data_EPA_Survival!$B$5:$B$36,INT(($A15/S$4))+1)+(($A15/S$4)-INT(($A15/S$4)))*(INDEX(Data_EPA_Survival!$B$5:$B$36,INT(($A15/S$4))+2)-INDEX(Data_EPA_Survival!$B$5:$B$36,INT(($A15/S$4))+1)))</f>
        <v/>
      </c>
      <c r="T15" s="26">
        <f>IF(($A15/T$4)&gt;=31,0,INDEX(Data_EPA_Survival!$B$5:$B$36,INT(($A15/T$4))+1)+(($A15/T$4)-INT(($A15/T$4)))*(INDEX(Data_EPA_Survival!$B$5:$B$36,INT(($A15/T$4))+2)-INDEX(Data_EPA_Survival!$B$5:$B$36,INT(($A15/T$4))+1)))</f>
        <v/>
      </c>
    </row>
    <row r="16">
      <c r="A16" s="9" t="n">
        <v>10</v>
      </c>
      <c r="C16" s="26">
        <f>IF(($A16/C$4)&gt;=31,0,INDEX(Data_EPA_Survival!$B$5:$B$36,INT(($A16/C$4))+1)+(($A16/C$4)-INT(($A16/C$4)))*(INDEX(Data_EPA_Survival!$B$5:$B$36,INT(($A16/C$4))+2)-INDEX(Data_EPA_Survival!$B$5:$B$36,INT(($A16/C$4))+1)))</f>
        <v/>
      </c>
      <c r="D16" s="26">
        <f>IF(($A16/D$4)&gt;=31,0,INDEX(Data_EPA_Survival!$B$5:$B$36,INT(($A16/D$4))+1)+(($A16/D$4)-INT(($A16/D$4)))*(INDEX(Data_EPA_Survival!$B$5:$B$36,INT(($A16/D$4))+2)-INDEX(Data_EPA_Survival!$B$5:$B$36,INT(($A16/D$4))+1)))</f>
        <v/>
      </c>
      <c r="E16" s="26">
        <f>IF(($A16/E$4)&gt;=31,0,INDEX(Data_EPA_Survival!$B$5:$B$36,INT(($A16/E$4))+1)+(($A16/E$4)-INT(($A16/E$4)))*(INDEX(Data_EPA_Survival!$B$5:$B$36,INT(($A16/E$4))+2)-INDEX(Data_EPA_Survival!$B$5:$B$36,INT(($A16/E$4))+1)))</f>
        <v/>
      </c>
      <c r="F16" s="26">
        <f>IF(($A16/F$4)&gt;=31,0,INDEX(Data_EPA_Survival!$B$5:$B$36,INT(($A16/F$4))+1)+(($A16/F$4)-INT(($A16/F$4)))*(INDEX(Data_EPA_Survival!$B$5:$B$36,INT(($A16/F$4))+2)-INDEX(Data_EPA_Survival!$B$5:$B$36,INT(($A16/F$4))+1)))</f>
        <v/>
      </c>
      <c r="G16" s="26">
        <f>IF(($A16/G$4)&gt;=31,0,INDEX(Data_EPA_Survival!$B$5:$B$36,INT(($A16/G$4))+1)+(($A16/G$4)-INT(($A16/G$4)))*(INDEX(Data_EPA_Survival!$B$5:$B$36,INT(($A16/G$4))+2)-INDEX(Data_EPA_Survival!$B$5:$B$36,INT(($A16/G$4))+1)))</f>
        <v/>
      </c>
      <c r="H16" s="26">
        <f>IF(($A16/H$4)&gt;=31,0,INDEX(Data_EPA_Survival!$B$5:$B$36,INT(($A16/H$4))+1)+(($A16/H$4)-INT(($A16/H$4)))*(INDEX(Data_EPA_Survival!$B$5:$B$36,INT(($A16/H$4))+2)-INDEX(Data_EPA_Survival!$B$5:$B$36,INT(($A16/H$4))+1)))</f>
        <v/>
      </c>
      <c r="I16" s="26">
        <f>IF(($A16/I$4)&gt;=31,0,INDEX(Data_EPA_Survival!$B$5:$B$36,INT(($A16/I$4))+1)+(($A16/I$4)-INT(($A16/I$4)))*(INDEX(Data_EPA_Survival!$B$5:$B$36,INT(($A16/I$4))+2)-INDEX(Data_EPA_Survival!$B$5:$B$36,INT(($A16/I$4))+1)))</f>
        <v/>
      </c>
      <c r="J16" s="26">
        <f>IF(($A16/J$4)&gt;=31,0,INDEX(Data_EPA_Survival!$B$5:$B$36,INT(($A16/J$4))+1)+(($A16/J$4)-INT(($A16/J$4)))*(INDEX(Data_EPA_Survival!$B$5:$B$36,INT(($A16/J$4))+2)-INDEX(Data_EPA_Survival!$B$5:$B$36,INT(($A16/J$4))+1)))</f>
        <v/>
      </c>
      <c r="K16" s="26">
        <f>IF(($A16/K$4)&gt;=31,0,INDEX(Data_EPA_Survival!$B$5:$B$36,INT(($A16/K$4))+1)+(($A16/K$4)-INT(($A16/K$4)))*(INDEX(Data_EPA_Survival!$B$5:$B$36,INT(($A16/K$4))+2)-INDEX(Data_EPA_Survival!$B$5:$B$36,INT(($A16/K$4))+1)))</f>
        <v/>
      </c>
      <c r="L16" s="26">
        <f>IF(($A16/L$4)&gt;=31,0,INDEX(Data_EPA_Survival!$B$5:$B$36,INT(($A16/L$4))+1)+(($A16/L$4)-INT(($A16/L$4)))*(INDEX(Data_EPA_Survival!$B$5:$B$36,INT(($A16/L$4))+2)-INDEX(Data_EPA_Survival!$B$5:$B$36,INT(($A16/L$4))+1)))</f>
        <v/>
      </c>
      <c r="M16" s="26">
        <f>IF(($A16/M$4)&gt;=31,0,INDEX(Data_EPA_Survival!$B$5:$B$36,INT(($A16/M$4))+1)+(($A16/M$4)-INT(($A16/M$4)))*(INDEX(Data_EPA_Survival!$B$5:$B$36,INT(($A16/M$4))+2)-INDEX(Data_EPA_Survival!$B$5:$B$36,INT(($A16/M$4))+1)))</f>
        <v/>
      </c>
      <c r="N16" s="26">
        <f>IF(($A16/N$4)&gt;=31,0,INDEX(Data_EPA_Survival!$B$5:$B$36,INT(($A16/N$4))+1)+(($A16/N$4)-INT(($A16/N$4)))*(INDEX(Data_EPA_Survival!$B$5:$B$36,INT(($A16/N$4))+2)-INDEX(Data_EPA_Survival!$B$5:$B$36,INT(($A16/N$4))+1)))</f>
        <v/>
      </c>
      <c r="O16" s="26">
        <f>IF(($A16/O$4)&gt;=31,0,INDEX(Data_EPA_Survival!$B$5:$B$36,INT(($A16/O$4))+1)+(($A16/O$4)-INT(($A16/O$4)))*(INDEX(Data_EPA_Survival!$B$5:$B$36,INT(($A16/O$4))+2)-INDEX(Data_EPA_Survival!$B$5:$B$36,INT(($A16/O$4))+1)))</f>
        <v/>
      </c>
      <c r="P16" s="26">
        <f>IF(($A16/P$4)&gt;=31,0,INDEX(Data_EPA_Survival!$B$5:$B$36,INT(($A16/P$4))+1)+(($A16/P$4)-INT(($A16/P$4)))*(INDEX(Data_EPA_Survival!$B$5:$B$36,INT(($A16/P$4))+2)-INDEX(Data_EPA_Survival!$B$5:$B$36,INT(($A16/P$4))+1)))</f>
        <v/>
      </c>
      <c r="Q16" s="26">
        <f>IF(($A16/Q$4)&gt;=31,0,INDEX(Data_EPA_Survival!$B$5:$B$36,INT(($A16/Q$4))+1)+(($A16/Q$4)-INT(($A16/Q$4)))*(INDEX(Data_EPA_Survival!$B$5:$B$36,INT(($A16/Q$4))+2)-INDEX(Data_EPA_Survival!$B$5:$B$36,INT(($A16/Q$4))+1)))</f>
        <v/>
      </c>
      <c r="R16" s="26">
        <f>IF(($A16/R$4)&gt;=31,0,INDEX(Data_EPA_Survival!$B$5:$B$36,INT(($A16/R$4))+1)+(($A16/R$4)-INT(($A16/R$4)))*(INDEX(Data_EPA_Survival!$B$5:$B$36,INT(($A16/R$4))+2)-INDEX(Data_EPA_Survival!$B$5:$B$36,INT(($A16/R$4))+1)))</f>
        <v/>
      </c>
      <c r="S16" s="26">
        <f>IF(($A16/S$4)&gt;=31,0,INDEX(Data_EPA_Survival!$B$5:$B$36,INT(($A16/S$4))+1)+(($A16/S$4)-INT(($A16/S$4)))*(INDEX(Data_EPA_Survival!$B$5:$B$36,INT(($A16/S$4))+2)-INDEX(Data_EPA_Survival!$B$5:$B$36,INT(($A16/S$4))+1)))</f>
        <v/>
      </c>
      <c r="T16" s="26">
        <f>IF(($A16/T$4)&gt;=31,0,INDEX(Data_EPA_Survival!$B$5:$B$36,INT(($A16/T$4))+1)+(($A16/T$4)-INT(($A16/T$4)))*(INDEX(Data_EPA_Survival!$B$5:$B$36,INT(($A16/T$4))+2)-INDEX(Data_EPA_Survival!$B$5:$B$36,INT(($A16/T$4))+1)))</f>
        <v/>
      </c>
    </row>
    <row r="17">
      <c r="A17" s="9" t="n">
        <v>11</v>
      </c>
      <c r="C17" s="26">
        <f>IF(($A17/C$4)&gt;=31,0,INDEX(Data_EPA_Survival!$B$5:$B$36,INT(($A17/C$4))+1)+(($A17/C$4)-INT(($A17/C$4)))*(INDEX(Data_EPA_Survival!$B$5:$B$36,INT(($A17/C$4))+2)-INDEX(Data_EPA_Survival!$B$5:$B$36,INT(($A17/C$4))+1)))</f>
        <v/>
      </c>
      <c r="D17" s="26">
        <f>IF(($A17/D$4)&gt;=31,0,INDEX(Data_EPA_Survival!$B$5:$B$36,INT(($A17/D$4))+1)+(($A17/D$4)-INT(($A17/D$4)))*(INDEX(Data_EPA_Survival!$B$5:$B$36,INT(($A17/D$4))+2)-INDEX(Data_EPA_Survival!$B$5:$B$36,INT(($A17/D$4))+1)))</f>
        <v/>
      </c>
      <c r="E17" s="26">
        <f>IF(($A17/E$4)&gt;=31,0,INDEX(Data_EPA_Survival!$B$5:$B$36,INT(($A17/E$4))+1)+(($A17/E$4)-INT(($A17/E$4)))*(INDEX(Data_EPA_Survival!$B$5:$B$36,INT(($A17/E$4))+2)-INDEX(Data_EPA_Survival!$B$5:$B$36,INT(($A17/E$4))+1)))</f>
        <v/>
      </c>
      <c r="F17" s="26">
        <f>IF(($A17/F$4)&gt;=31,0,INDEX(Data_EPA_Survival!$B$5:$B$36,INT(($A17/F$4))+1)+(($A17/F$4)-INT(($A17/F$4)))*(INDEX(Data_EPA_Survival!$B$5:$B$36,INT(($A17/F$4))+2)-INDEX(Data_EPA_Survival!$B$5:$B$36,INT(($A17/F$4))+1)))</f>
        <v/>
      </c>
      <c r="G17" s="26">
        <f>IF(($A17/G$4)&gt;=31,0,INDEX(Data_EPA_Survival!$B$5:$B$36,INT(($A17/G$4))+1)+(($A17/G$4)-INT(($A17/G$4)))*(INDEX(Data_EPA_Survival!$B$5:$B$36,INT(($A17/G$4))+2)-INDEX(Data_EPA_Survival!$B$5:$B$36,INT(($A17/G$4))+1)))</f>
        <v/>
      </c>
      <c r="H17" s="26">
        <f>IF(($A17/H$4)&gt;=31,0,INDEX(Data_EPA_Survival!$B$5:$B$36,INT(($A17/H$4))+1)+(($A17/H$4)-INT(($A17/H$4)))*(INDEX(Data_EPA_Survival!$B$5:$B$36,INT(($A17/H$4))+2)-INDEX(Data_EPA_Survival!$B$5:$B$36,INT(($A17/H$4))+1)))</f>
        <v/>
      </c>
      <c r="I17" s="26">
        <f>IF(($A17/I$4)&gt;=31,0,INDEX(Data_EPA_Survival!$B$5:$B$36,INT(($A17/I$4))+1)+(($A17/I$4)-INT(($A17/I$4)))*(INDEX(Data_EPA_Survival!$B$5:$B$36,INT(($A17/I$4))+2)-INDEX(Data_EPA_Survival!$B$5:$B$36,INT(($A17/I$4))+1)))</f>
        <v/>
      </c>
      <c r="J17" s="26">
        <f>IF(($A17/J$4)&gt;=31,0,INDEX(Data_EPA_Survival!$B$5:$B$36,INT(($A17/J$4))+1)+(($A17/J$4)-INT(($A17/J$4)))*(INDEX(Data_EPA_Survival!$B$5:$B$36,INT(($A17/J$4))+2)-INDEX(Data_EPA_Survival!$B$5:$B$36,INT(($A17/J$4))+1)))</f>
        <v/>
      </c>
      <c r="K17" s="26">
        <f>IF(($A17/K$4)&gt;=31,0,INDEX(Data_EPA_Survival!$B$5:$B$36,INT(($A17/K$4))+1)+(($A17/K$4)-INT(($A17/K$4)))*(INDEX(Data_EPA_Survival!$B$5:$B$36,INT(($A17/K$4))+2)-INDEX(Data_EPA_Survival!$B$5:$B$36,INT(($A17/K$4))+1)))</f>
        <v/>
      </c>
      <c r="L17" s="26">
        <f>IF(($A17/L$4)&gt;=31,0,INDEX(Data_EPA_Survival!$B$5:$B$36,INT(($A17/L$4))+1)+(($A17/L$4)-INT(($A17/L$4)))*(INDEX(Data_EPA_Survival!$B$5:$B$36,INT(($A17/L$4))+2)-INDEX(Data_EPA_Survival!$B$5:$B$36,INT(($A17/L$4))+1)))</f>
        <v/>
      </c>
      <c r="M17" s="26">
        <f>IF(($A17/M$4)&gt;=31,0,INDEX(Data_EPA_Survival!$B$5:$B$36,INT(($A17/M$4))+1)+(($A17/M$4)-INT(($A17/M$4)))*(INDEX(Data_EPA_Survival!$B$5:$B$36,INT(($A17/M$4))+2)-INDEX(Data_EPA_Survival!$B$5:$B$36,INT(($A17/M$4))+1)))</f>
        <v/>
      </c>
      <c r="N17" s="26">
        <f>IF(($A17/N$4)&gt;=31,0,INDEX(Data_EPA_Survival!$B$5:$B$36,INT(($A17/N$4))+1)+(($A17/N$4)-INT(($A17/N$4)))*(INDEX(Data_EPA_Survival!$B$5:$B$36,INT(($A17/N$4))+2)-INDEX(Data_EPA_Survival!$B$5:$B$36,INT(($A17/N$4))+1)))</f>
        <v/>
      </c>
      <c r="O17" s="26">
        <f>IF(($A17/O$4)&gt;=31,0,INDEX(Data_EPA_Survival!$B$5:$B$36,INT(($A17/O$4))+1)+(($A17/O$4)-INT(($A17/O$4)))*(INDEX(Data_EPA_Survival!$B$5:$B$36,INT(($A17/O$4))+2)-INDEX(Data_EPA_Survival!$B$5:$B$36,INT(($A17/O$4))+1)))</f>
        <v/>
      </c>
      <c r="P17" s="26">
        <f>IF(($A17/P$4)&gt;=31,0,INDEX(Data_EPA_Survival!$B$5:$B$36,INT(($A17/P$4))+1)+(($A17/P$4)-INT(($A17/P$4)))*(INDEX(Data_EPA_Survival!$B$5:$B$36,INT(($A17/P$4))+2)-INDEX(Data_EPA_Survival!$B$5:$B$36,INT(($A17/P$4))+1)))</f>
        <v/>
      </c>
      <c r="Q17" s="26">
        <f>IF(($A17/Q$4)&gt;=31,0,INDEX(Data_EPA_Survival!$B$5:$B$36,INT(($A17/Q$4))+1)+(($A17/Q$4)-INT(($A17/Q$4)))*(INDEX(Data_EPA_Survival!$B$5:$B$36,INT(($A17/Q$4))+2)-INDEX(Data_EPA_Survival!$B$5:$B$36,INT(($A17/Q$4))+1)))</f>
        <v/>
      </c>
      <c r="R17" s="26">
        <f>IF(($A17/R$4)&gt;=31,0,INDEX(Data_EPA_Survival!$B$5:$B$36,INT(($A17/R$4))+1)+(($A17/R$4)-INT(($A17/R$4)))*(INDEX(Data_EPA_Survival!$B$5:$B$36,INT(($A17/R$4))+2)-INDEX(Data_EPA_Survival!$B$5:$B$36,INT(($A17/R$4))+1)))</f>
        <v/>
      </c>
      <c r="S17" s="26">
        <f>IF(($A17/S$4)&gt;=31,0,INDEX(Data_EPA_Survival!$B$5:$B$36,INT(($A17/S$4))+1)+(($A17/S$4)-INT(($A17/S$4)))*(INDEX(Data_EPA_Survival!$B$5:$B$36,INT(($A17/S$4))+2)-INDEX(Data_EPA_Survival!$B$5:$B$36,INT(($A17/S$4))+1)))</f>
        <v/>
      </c>
      <c r="T17" s="26">
        <f>IF(($A17/T$4)&gt;=31,0,INDEX(Data_EPA_Survival!$B$5:$B$36,INT(($A17/T$4))+1)+(($A17/T$4)-INT(($A17/T$4)))*(INDEX(Data_EPA_Survival!$B$5:$B$36,INT(($A17/T$4))+2)-INDEX(Data_EPA_Survival!$B$5:$B$36,INT(($A17/T$4))+1)))</f>
        <v/>
      </c>
    </row>
    <row r="18">
      <c r="A18" s="9" t="n">
        <v>12</v>
      </c>
      <c r="C18" s="26">
        <f>IF(($A18/C$4)&gt;=31,0,INDEX(Data_EPA_Survival!$B$5:$B$36,INT(($A18/C$4))+1)+(($A18/C$4)-INT(($A18/C$4)))*(INDEX(Data_EPA_Survival!$B$5:$B$36,INT(($A18/C$4))+2)-INDEX(Data_EPA_Survival!$B$5:$B$36,INT(($A18/C$4))+1)))</f>
        <v/>
      </c>
      <c r="D18" s="26">
        <f>IF(($A18/D$4)&gt;=31,0,INDEX(Data_EPA_Survival!$B$5:$B$36,INT(($A18/D$4))+1)+(($A18/D$4)-INT(($A18/D$4)))*(INDEX(Data_EPA_Survival!$B$5:$B$36,INT(($A18/D$4))+2)-INDEX(Data_EPA_Survival!$B$5:$B$36,INT(($A18/D$4))+1)))</f>
        <v/>
      </c>
      <c r="E18" s="26">
        <f>IF(($A18/E$4)&gt;=31,0,INDEX(Data_EPA_Survival!$B$5:$B$36,INT(($A18/E$4))+1)+(($A18/E$4)-INT(($A18/E$4)))*(INDEX(Data_EPA_Survival!$B$5:$B$36,INT(($A18/E$4))+2)-INDEX(Data_EPA_Survival!$B$5:$B$36,INT(($A18/E$4))+1)))</f>
        <v/>
      </c>
      <c r="F18" s="26">
        <f>IF(($A18/F$4)&gt;=31,0,INDEX(Data_EPA_Survival!$B$5:$B$36,INT(($A18/F$4))+1)+(($A18/F$4)-INT(($A18/F$4)))*(INDEX(Data_EPA_Survival!$B$5:$B$36,INT(($A18/F$4))+2)-INDEX(Data_EPA_Survival!$B$5:$B$36,INT(($A18/F$4))+1)))</f>
        <v/>
      </c>
      <c r="G18" s="26">
        <f>IF(($A18/G$4)&gt;=31,0,INDEX(Data_EPA_Survival!$B$5:$B$36,INT(($A18/G$4))+1)+(($A18/G$4)-INT(($A18/G$4)))*(INDEX(Data_EPA_Survival!$B$5:$B$36,INT(($A18/G$4))+2)-INDEX(Data_EPA_Survival!$B$5:$B$36,INT(($A18/G$4))+1)))</f>
        <v/>
      </c>
      <c r="H18" s="26">
        <f>IF(($A18/H$4)&gt;=31,0,INDEX(Data_EPA_Survival!$B$5:$B$36,INT(($A18/H$4))+1)+(($A18/H$4)-INT(($A18/H$4)))*(INDEX(Data_EPA_Survival!$B$5:$B$36,INT(($A18/H$4))+2)-INDEX(Data_EPA_Survival!$B$5:$B$36,INT(($A18/H$4))+1)))</f>
        <v/>
      </c>
      <c r="I18" s="26">
        <f>IF(($A18/I$4)&gt;=31,0,INDEX(Data_EPA_Survival!$B$5:$B$36,INT(($A18/I$4))+1)+(($A18/I$4)-INT(($A18/I$4)))*(INDEX(Data_EPA_Survival!$B$5:$B$36,INT(($A18/I$4))+2)-INDEX(Data_EPA_Survival!$B$5:$B$36,INT(($A18/I$4))+1)))</f>
        <v/>
      </c>
      <c r="J18" s="26">
        <f>IF(($A18/J$4)&gt;=31,0,INDEX(Data_EPA_Survival!$B$5:$B$36,INT(($A18/J$4))+1)+(($A18/J$4)-INT(($A18/J$4)))*(INDEX(Data_EPA_Survival!$B$5:$B$36,INT(($A18/J$4))+2)-INDEX(Data_EPA_Survival!$B$5:$B$36,INT(($A18/J$4))+1)))</f>
        <v/>
      </c>
      <c r="K18" s="26">
        <f>IF(($A18/K$4)&gt;=31,0,INDEX(Data_EPA_Survival!$B$5:$B$36,INT(($A18/K$4))+1)+(($A18/K$4)-INT(($A18/K$4)))*(INDEX(Data_EPA_Survival!$B$5:$B$36,INT(($A18/K$4))+2)-INDEX(Data_EPA_Survival!$B$5:$B$36,INT(($A18/K$4))+1)))</f>
        <v/>
      </c>
      <c r="L18" s="26">
        <f>IF(($A18/L$4)&gt;=31,0,INDEX(Data_EPA_Survival!$B$5:$B$36,INT(($A18/L$4))+1)+(($A18/L$4)-INT(($A18/L$4)))*(INDEX(Data_EPA_Survival!$B$5:$B$36,INT(($A18/L$4))+2)-INDEX(Data_EPA_Survival!$B$5:$B$36,INT(($A18/L$4))+1)))</f>
        <v/>
      </c>
      <c r="M18" s="26">
        <f>IF(($A18/M$4)&gt;=31,0,INDEX(Data_EPA_Survival!$B$5:$B$36,INT(($A18/M$4))+1)+(($A18/M$4)-INT(($A18/M$4)))*(INDEX(Data_EPA_Survival!$B$5:$B$36,INT(($A18/M$4))+2)-INDEX(Data_EPA_Survival!$B$5:$B$36,INT(($A18/M$4))+1)))</f>
        <v/>
      </c>
      <c r="N18" s="26">
        <f>IF(($A18/N$4)&gt;=31,0,INDEX(Data_EPA_Survival!$B$5:$B$36,INT(($A18/N$4))+1)+(($A18/N$4)-INT(($A18/N$4)))*(INDEX(Data_EPA_Survival!$B$5:$B$36,INT(($A18/N$4))+2)-INDEX(Data_EPA_Survival!$B$5:$B$36,INT(($A18/N$4))+1)))</f>
        <v/>
      </c>
      <c r="O18" s="26">
        <f>IF(($A18/O$4)&gt;=31,0,INDEX(Data_EPA_Survival!$B$5:$B$36,INT(($A18/O$4))+1)+(($A18/O$4)-INT(($A18/O$4)))*(INDEX(Data_EPA_Survival!$B$5:$B$36,INT(($A18/O$4))+2)-INDEX(Data_EPA_Survival!$B$5:$B$36,INT(($A18/O$4))+1)))</f>
        <v/>
      </c>
      <c r="P18" s="26">
        <f>IF(($A18/P$4)&gt;=31,0,INDEX(Data_EPA_Survival!$B$5:$B$36,INT(($A18/P$4))+1)+(($A18/P$4)-INT(($A18/P$4)))*(INDEX(Data_EPA_Survival!$B$5:$B$36,INT(($A18/P$4))+2)-INDEX(Data_EPA_Survival!$B$5:$B$36,INT(($A18/P$4))+1)))</f>
        <v/>
      </c>
      <c r="Q18" s="26">
        <f>IF(($A18/Q$4)&gt;=31,0,INDEX(Data_EPA_Survival!$B$5:$B$36,INT(($A18/Q$4))+1)+(($A18/Q$4)-INT(($A18/Q$4)))*(INDEX(Data_EPA_Survival!$B$5:$B$36,INT(($A18/Q$4))+2)-INDEX(Data_EPA_Survival!$B$5:$B$36,INT(($A18/Q$4))+1)))</f>
        <v/>
      </c>
      <c r="R18" s="26">
        <f>IF(($A18/R$4)&gt;=31,0,INDEX(Data_EPA_Survival!$B$5:$B$36,INT(($A18/R$4))+1)+(($A18/R$4)-INT(($A18/R$4)))*(INDEX(Data_EPA_Survival!$B$5:$B$36,INT(($A18/R$4))+2)-INDEX(Data_EPA_Survival!$B$5:$B$36,INT(($A18/R$4))+1)))</f>
        <v/>
      </c>
      <c r="S18" s="26">
        <f>IF(($A18/S$4)&gt;=31,0,INDEX(Data_EPA_Survival!$B$5:$B$36,INT(($A18/S$4))+1)+(($A18/S$4)-INT(($A18/S$4)))*(INDEX(Data_EPA_Survival!$B$5:$B$36,INT(($A18/S$4))+2)-INDEX(Data_EPA_Survival!$B$5:$B$36,INT(($A18/S$4))+1)))</f>
        <v/>
      </c>
      <c r="T18" s="26">
        <f>IF(($A18/T$4)&gt;=31,0,INDEX(Data_EPA_Survival!$B$5:$B$36,INT(($A18/T$4))+1)+(($A18/T$4)-INT(($A18/T$4)))*(INDEX(Data_EPA_Survival!$B$5:$B$36,INT(($A18/T$4))+2)-INDEX(Data_EPA_Survival!$B$5:$B$36,INT(($A18/T$4))+1)))</f>
        <v/>
      </c>
    </row>
    <row r="19">
      <c r="A19" s="9" t="n">
        <v>13</v>
      </c>
      <c r="C19" s="26">
        <f>IF(($A19/C$4)&gt;=31,0,INDEX(Data_EPA_Survival!$B$5:$B$36,INT(($A19/C$4))+1)+(($A19/C$4)-INT(($A19/C$4)))*(INDEX(Data_EPA_Survival!$B$5:$B$36,INT(($A19/C$4))+2)-INDEX(Data_EPA_Survival!$B$5:$B$36,INT(($A19/C$4))+1)))</f>
        <v/>
      </c>
      <c r="D19" s="26">
        <f>IF(($A19/D$4)&gt;=31,0,INDEX(Data_EPA_Survival!$B$5:$B$36,INT(($A19/D$4))+1)+(($A19/D$4)-INT(($A19/D$4)))*(INDEX(Data_EPA_Survival!$B$5:$B$36,INT(($A19/D$4))+2)-INDEX(Data_EPA_Survival!$B$5:$B$36,INT(($A19/D$4))+1)))</f>
        <v/>
      </c>
      <c r="E19" s="26">
        <f>IF(($A19/E$4)&gt;=31,0,INDEX(Data_EPA_Survival!$B$5:$B$36,INT(($A19/E$4))+1)+(($A19/E$4)-INT(($A19/E$4)))*(INDEX(Data_EPA_Survival!$B$5:$B$36,INT(($A19/E$4))+2)-INDEX(Data_EPA_Survival!$B$5:$B$36,INT(($A19/E$4))+1)))</f>
        <v/>
      </c>
      <c r="F19" s="26">
        <f>IF(($A19/F$4)&gt;=31,0,INDEX(Data_EPA_Survival!$B$5:$B$36,INT(($A19/F$4))+1)+(($A19/F$4)-INT(($A19/F$4)))*(INDEX(Data_EPA_Survival!$B$5:$B$36,INT(($A19/F$4))+2)-INDEX(Data_EPA_Survival!$B$5:$B$36,INT(($A19/F$4))+1)))</f>
        <v/>
      </c>
      <c r="G19" s="26">
        <f>IF(($A19/G$4)&gt;=31,0,INDEX(Data_EPA_Survival!$B$5:$B$36,INT(($A19/G$4))+1)+(($A19/G$4)-INT(($A19/G$4)))*(INDEX(Data_EPA_Survival!$B$5:$B$36,INT(($A19/G$4))+2)-INDEX(Data_EPA_Survival!$B$5:$B$36,INT(($A19/G$4))+1)))</f>
        <v/>
      </c>
      <c r="H19" s="26">
        <f>IF(($A19/H$4)&gt;=31,0,INDEX(Data_EPA_Survival!$B$5:$B$36,INT(($A19/H$4))+1)+(($A19/H$4)-INT(($A19/H$4)))*(INDEX(Data_EPA_Survival!$B$5:$B$36,INT(($A19/H$4))+2)-INDEX(Data_EPA_Survival!$B$5:$B$36,INT(($A19/H$4))+1)))</f>
        <v/>
      </c>
      <c r="I19" s="26">
        <f>IF(($A19/I$4)&gt;=31,0,INDEX(Data_EPA_Survival!$B$5:$B$36,INT(($A19/I$4))+1)+(($A19/I$4)-INT(($A19/I$4)))*(INDEX(Data_EPA_Survival!$B$5:$B$36,INT(($A19/I$4))+2)-INDEX(Data_EPA_Survival!$B$5:$B$36,INT(($A19/I$4))+1)))</f>
        <v/>
      </c>
      <c r="J19" s="26">
        <f>IF(($A19/J$4)&gt;=31,0,INDEX(Data_EPA_Survival!$B$5:$B$36,INT(($A19/J$4))+1)+(($A19/J$4)-INT(($A19/J$4)))*(INDEX(Data_EPA_Survival!$B$5:$B$36,INT(($A19/J$4))+2)-INDEX(Data_EPA_Survival!$B$5:$B$36,INT(($A19/J$4))+1)))</f>
        <v/>
      </c>
      <c r="K19" s="26">
        <f>IF(($A19/K$4)&gt;=31,0,INDEX(Data_EPA_Survival!$B$5:$B$36,INT(($A19/K$4))+1)+(($A19/K$4)-INT(($A19/K$4)))*(INDEX(Data_EPA_Survival!$B$5:$B$36,INT(($A19/K$4))+2)-INDEX(Data_EPA_Survival!$B$5:$B$36,INT(($A19/K$4))+1)))</f>
        <v/>
      </c>
      <c r="L19" s="26">
        <f>IF(($A19/L$4)&gt;=31,0,INDEX(Data_EPA_Survival!$B$5:$B$36,INT(($A19/L$4))+1)+(($A19/L$4)-INT(($A19/L$4)))*(INDEX(Data_EPA_Survival!$B$5:$B$36,INT(($A19/L$4))+2)-INDEX(Data_EPA_Survival!$B$5:$B$36,INT(($A19/L$4))+1)))</f>
        <v/>
      </c>
      <c r="M19" s="26">
        <f>IF(($A19/M$4)&gt;=31,0,INDEX(Data_EPA_Survival!$B$5:$B$36,INT(($A19/M$4))+1)+(($A19/M$4)-INT(($A19/M$4)))*(INDEX(Data_EPA_Survival!$B$5:$B$36,INT(($A19/M$4))+2)-INDEX(Data_EPA_Survival!$B$5:$B$36,INT(($A19/M$4))+1)))</f>
        <v/>
      </c>
      <c r="N19" s="26">
        <f>IF(($A19/N$4)&gt;=31,0,INDEX(Data_EPA_Survival!$B$5:$B$36,INT(($A19/N$4))+1)+(($A19/N$4)-INT(($A19/N$4)))*(INDEX(Data_EPA_Survival!$B$5:$B$36,INT(($A19/N$4))+2)-INDEX(Data_EPA_Survival!$B$5:$B$36,INT(($A19/N$4))+1)))</f>
        <v/>
      </c>
      <c r="O19" s="26">
        <f>IF(($A19/O$4)&gt;=31,0,INDEX(Data_EPA_Survival!$B$5:$B$36,INT(($A19/O$4))+1)+(($A19/O$4)-INT(($A19/O$4)))*(INDEX(Data_EPA_Survival!$B$5:$B$36,INT(($A19/O$4))+2)-INDEX(Data_EPA_Survival!$B$5:$B$36,INT(($A19/O$4))+1)))</f>
        <v/>
      </c>
      <c r="P19" s="26">
        <f>IF(($A19/P$4)&gt;=31,0,INDEX(Data_EPA_Survival!$B$5:$B$36,INT(($A19/P$4))+1)+(($A19/P$4)-INT(($A19/P$4)))*(INDEX(Data_EPA_Survival!$B$5:$B$36,INT(($A19/P$4))+2)-INDEX(Data_EPA_Survival!$B$5:$B$36,INT(($A19/P$4))+1)))</f>
        <v/>
      </c>
      <c r="Q19" s="26">
        <f>IF(($A19/Q$4)&gt;=31,0,INDEX(Data_EPA_Survival!$B$5:$B$36,INT(($A19/Q$4))+1)+(($A19/Q$4)-INT(($A19/Q$4)))*(INDEX(Data_EPA_Survival!$B$5:$B$36,INT(($A19/Q$4))+2)-INDEX(Data_EPA_Survival!$B$5:$B$36,INT(($A19/Q$4))+1)))</f>
        <v/>
      </c>
      <c r="R19" s="26">
        <f>IF(($A19/R$4)&gt;=31,0,INDEX(Data_EPA_Survival!$B$5:$B$36,INT(($A19/R$4))+1)+(($A19/R$4)-INT(($A19/R$4)))*(INDEX(Data_EPA_Survival!$B$5:$B$36,INT(($A19/R$4))+2)-INDEX(Data_EPA_Survival!$B$5:$B$36,INT(($A19/R$4))+1)))</f>
        <v/>
      </c>
      <c r="S19" s="26">
        <f>IF(($A19/S$4)&gt;=31,0,INDEX(Data_EPA_Survival!$B$5:$B$36,INT(($A19/S$4))+1)+(($A19/S$4)-INT(($A19/S$4)))*(INDEX(Data_EPA_Survival!$B$5:$B$36,INT(($A19/S$4))+2)-INDEX(Data_EPA_Survival!$B$5:$B$36,INT(($A19/S$4))+1)))</f>
        <v/>
      </c>
      <c r="T19" s="26">
        <f>IF(($A19/T$4)&gt;=31,0,INDEX(Data_EPA_Survival!$B$5:$B$36,INT(($A19/T$4))+1)+(($A19/T$4)-INT(($A19/T$4)))*(INDEX(Data_EPA_Survival!$B$5:$B$36,INT(($A19/T$4))+2)-INDEX(Data_EPA_Survival!$B$5:$B$36,INT(($A19/T$4))+1)))</f>
        <v/>
      </c>
    </row>
    <row r="20">
      <c r="A20" s="9" t="n">
        <v>14</v>
      </c>
      <c r="C20" s="26">
        <f>IF(($A20/C$4)&gt;=31,0,INDEX(Data_EPA_Survival!$B$5:$B$36,INT(($A20/C$4))+1)+(($A20/C$4)-INT(($A20/C$4)))*(INDEX(Data_EPA_Survival!$B$5:$B$36,INT(($A20/C$4))+2)-INDEX(Data_EPA_Survival!$B$5:$B$36,INT(($A20/C$4))+1)))</f>
        <v/>
      </c>
      <c r="D20" s="26">
        <f>IF(($A20/D$4)&gt;=31,0,INDEX(Data_EPA_Survival!$B$5:$B$36,INT(($A20/D$4))+1)+(($A20/D$4)-INT(($A20/D$4)))*(INDEX(Data_EPA_Survival!$B$5:$B$36,INT(($A20/D$4))+2)-INDEX(Data_EPA_Survival!$B$5:$B$36,INT(($A20/D$4))+1)))</f>
        <v/>
      </c>
      <c r="E20" s="26">
        <f>IF(($A20/E$4)&gt;=31,0,INDEX(Data_EPA_Survival!$B$5:$B$36,INT(($A20/E$4))+1)+(($A20/E$4)-INT(($A20/E$4)))*(INDEX(Data_EPA_Survival!$B$5:$B$36,INT(($A20/E$4))+2)-INDEX(Data_EPA_Survival!$B$5:$B$36,INT(($A20/E$4))+1)))</f>
        <v/>
      </c>
      <c r="F20" s="26">
        <f>IF(($A20/F$4)&gt;=31,0,INDEX(Data_EPA_Survival!$B$5:$B$36,INT(($A20/F$4))+1)+(($A20/F$4)-INT(($A20/F$4)))*(INDEX(Data_EPA_Survival!$B$5:$B$36,INT(($A20/F$4))+2)-INDEX(Data_EPA_Survival!$B$5:$B$36,INT(($A20/F$4))+1)))</f>
        <v/>
      </c>
      <c r="G20" s="26">
        <f>IF(($A20/G$4)&gt;=31,0,INDEX(Data_EPA_Survival!$B$5:$B$36,INT(($A20/G$4))+1)+(($A20/G$4)-INT(($A20/G$4)))*(INDEX(Data_EPA_Survival!$B$5:$B$36,INT(($A20/G$4))+2)-INDEX(Data_EPA_Survival!$B$5:$B$36,INT(($A20/G$4))+1)))</f>
        <v/>
      </c>
      <c r="H20" s="26">
        <f>IF(($A20/H$4)&gt;=31,0,INDEX(Data_EPA_Survival!$B$5:$B$36,INT(($A20/H$4))+1)+(($A20/H$4)-INT(($A20/H$4)))*(INDEX(Data_EPA_Survival!$B$5:$B$36,INT(($A20/H$4))+2)-INDEX(Data_EPA_Survival!$B$5:$B$36,INT(($A20/H$4))+1)))</f>
        <v/>
      </c>
      <c r="I20" s="26">
        <f>IF(($A20/I$4)&gt;=31,0,INDEX(Data_EPA_Survival!$B$5:$B$36,INT(($A20/I$4))+1)+(($A20/I$4)-INT(($A20/I$4)))*(INDEX(Data_EPA_Survival!$B$5:$B$36,INT(($A20/I$4))+2)-INDEX(Data_EPA_Survival!$B$5:$B$36,INT(($A20/I$4))+1)))</f>
        <v/>
      </c>
      <c r="J20" s="26">
        <f>IF(($A20/J$4)&gt;=31,0,INDEX(Data_EPA_Survival!$B$5:$B$36,INT(($A20/J$4))+1)+(($A20/J$4)-INT(($A20/J$4)))*(INDEX(Data_EPA_Survival!$B$5:$B$36,INT(($A20/J$4))+2)-INDEX(Data_EPA_Survival!$B$5:$B$36,INT(($A20/J$4))+1)))</f>
        <v/>
      </c>
      <c r="K20" s="26">
        <f>IF(($A20/K$4)&gt;=31,0,INDEX(Data_EPA_Survival!$B$5:$B$36,INT(($A20/K$4))+1)+(($A20/K$4)-INT(($A20/K$4)))*(INDEX(Data_EPA_Survival!$B$5:$B$36,INT(($A20/K$4))+2)-INDEX(Data_EPA_Survival!$B$5:$B$36,INT(($A20/K$4))+1)))</f>
        <v/>
      </c>
      <c r="L20" s="26">
        <f>IF(($A20/L$4)&gt;=31,0,INDEX(Data_EPA_Survival!$B$5:$B$36,INT(($A20/L$4))+1)+(($A20/L$4)-INT(($A20/L$4)))*(INDEX(Data_EPA_Survival!$B$5:$B$36,INT(($A20/L$4))+2)-INDEX(Data_EPA_Survival!$B$5:$B$36,INT(($A20/L$4))+1)))</f>
        <v/>
      </c>
      <c r="M20" s="26">
        <f>IF(($A20/M$4)&gt;=31,0,INDEX(Data_EPA_Survival!$B$5:$B$36,INT(($A20/M$4))+1)+(($A20/M$4)-INT(($A20/M$4)))*(INDEX(Data_EPA_Survival!$B$5:$B$36,INT(($A20/M$4))+2)-INDEX(Data_EPA_Survival!$B$5:$B$36,INT(($A20/M$4))+1)))</f>
        <v/>
      </c>
      <c r="N20" s="26">
        <f>IF(($A20/N$4)&gt;=31,0,INDEX(Data_EPA_Survival!$B$5:$B$36,INT(($A20/N$4))+1)+(($A20/N$4)-INT(($A20/N$4)))*(INDEX(Data_EPA_Survival!$B$5:$B$36,INT(($A20/N$4))+2)-INDEX(Data_EPA_Survival!$B$5:$B$36,INT(($A20/N$4))+1)))</f>
        <v/>
      </c>
      <c r="O20" s="26">
        <f>IF(($A20/O$4)&gt;=31,0,INDEX(Data_EPA_Survival!$B$5:$B$36,INT(($A20/O$4))+1)+(($A20/O$4)-INT(($A20/O$4)))*(INDEX(Data_EPA_Survival!$B$5:$B$36,INT(($A20/O$4))+2)-INDEX(Data_EPA_Survival!$B$5:$B$36,INT(($A20/O$4))+1)))</f>
        <v/>
      </c>
      <c r="P20" s="26">
        <f>IF(($A20/P$4)&gt;=31,0,INDEX(Data_EPA_Survival!$B$5:$B$36,INT(($A20/P$4))+1)+(($A20/P$4)-INT(($A20/P$4)))*(INDEX(Data_EPA_Survival!$B$5:$B$36,INT(($A20/P$4))+2)-INDEX(Data_EPA_Survival!$B$5:$B$36,INT(($A20/P$4))+1)))</f>
        <v/>
      </c>
      <c r="Q20" s="26">
        <f>IF(($A20/Q$4)&gt;=31,0,INDEX(Data_EPA_Survival!$B$5:$B$36,INT(($A20/Q$4))+1)+(($A20/Q$4)-INT(($A20/Q$4)))*(INDEX(Data_EPA_Survival!$B$5:$B$36,INT(($A20/Q$4))+2)-INDEX(Data_EPA_Survival!$B$5:$B$36,INT(($A20/Q$4))+1)))</f>
        <v/>
      </c>
      <c r="R20" s="26">
        <f>IF(($A20/R$4)&gt;=31,0,INDEX(Data_EPA_Survival!$B$5:$B$36,INT(($A20/R$4))+1)+(($A20/R$4)-INT(($A20/R$4)))*(INDEX(Data_EPA_Survival!$B$5:$B$36,INT(($A20/R$4))+2)-INDEX(Data_EPA_Survival!$B$5:$B$36,INT(($A20/R$4))+1)))</f>
        <v/>
      </c>
      <c r="S20" s="26">
        <f>IF(($A20/S$4)&gt;=31,0,INDEX(Data_EPA_Survival!$B$5:$B$36,INT(($A20/S$4))+1)+(($A20/S$4)-INT(($A20/S$4)))*(INDEX(Data_EPA_Survival!$B$5:$B$36,INT(($A20/S$4))+2)-INDEX(Data_EPA_Survival!$B$5:$B$36,INT(($A20/S$4))+1)))</f>
        <v/>
      </c>
      <c r="T20" s="26">
        <f>IF(($A20/T$4)&gt;=31,0,INDEX(Data_EPA_Survival!$B$5:$B$36,INT(($A20/T$4))+1)+(($A20/T$4)-INT(($A20/T$4)))*(INDEX(Data_EPA_Survival!$B$5:$B$36,INT(($A20/T$4))+2)-INDEX(Data_EPA_Survival!$B$5:$B$36,INT(($A20/T$4))+1)))</f>
        <v/>
      </c>
    </row>
    <row r="21">
      <c r="A21" s="9" t="n">
        <v>15</v>
      </c>
      <c r="C21" s="26">
        <f>IF(($A21/C$4)&gt;=31,0,INDEX(Data_EPA_Survival!$B$5:$B$36,INT(($A21/C$4))+1)+(($A21/C$4)-INT(($A21/C$4)))*(INDEX(Data_EPA_Survival!$B$5:$B$36,INT(($A21/C$4))+2)-INDEX(Data_EPA_Survival!$B$5:$B$36,INT(($A21/C$4))+1)))</f>
        <v/>
      </c>
      <c r="D21" s="26">
        <f>IF(($A21/D$4)&gt;=31,0,INDEX(Data_EPA_Survival!$B$5:$B$36,INT(($A21/D$4))+1)+(($A21/D$4)-INT(($A21/D$4)))*(INDEX(Data_EPA_Survival!$B$5:$B$36,INT(($A21/D$4))+2)-INDEX(Data_EPA_Survival!$B$5:$B$36,INT(($A21/D$4))+1)))</f>
        <v/>
      </c>
      <c r="E21" s="26">
        <f>IF(($A21/E$4)&gt;=31,0,INDEX(Data_EPA_Survival!$B$5:$B$36,INT(($A21/E$4))+1)+(($A21/E$4)-INT(($A21/E$4)))*(INDEX(Data_EPA_Survival!$B$5:$B$36,INT(($A21/E$4))+2)-INDEX(Data_EPA_Survival!$B$5:$B$36,INT(($A21/E$4))+1)))</f>
        <v/>
      </c>
      <c r="F21" s="26">
        <f>IF(($A21/F$4)&gt;=31,0,INDEX(Data_EPA_Survival!$B$5:$B$36,INT(($A21/F$4))+1)+(($A21/F$4)-INT(($A21/F$4)))*(INDEX(Data_EPA_Survival!$B$5:$B$36,INT(($A21/F$4))+2)-INDEX(Data_EPA_Survival!$B$5:$B$36,INT(($A21/F$4))+1)))</f>
        <v/>
      </c>
      <c r="G21" s="26">
        <f>IF(($A21/G$4)&gt;=31,0,INDEX(Data_EPA_Survival!$B$5:$B$36,INT(($A21/G$4))+1)+(($A21/G$4)-INT(($A21/G$4)))*(INDEX(Data_EPA_Survival!$B$5:$B$36,INT(($A21/G$4))+2)-INDEX(Data_EPA_Survival!$B$5:$B$36,INT(($A21/G$4))+1)))</f>
        <v/>
      </c>
      <c r="H21" s="26">
        <f>IF(($A21/H$4)&gt;=31,0,INDEX(Data_EPA_Survival!$B$5:$B$36,INT(($A21/H$4))+1)+(($A21/H$4)-INT(($A21/H$4)))*(INDEX(Data_EPA_Survival!$B$5:$B$36,INT(($A21/H$4))+2)-INDEX(Data_EPA_Survival!$B$5:$B$36,INT(($A21/H$4))+1)))</f>
        <v/>
      </c>
      <c r="I21" s="26">
        <f>IF(($A21/I$4)&gt;=31,0,INDEX(Data_EPA_Survival!$B$5:$B$36,INT(($A21/I$4))+1)+(($A21/I$4)-INT(($A21/I$4)))*(INDEX(Data_EPA_Survival!$B$5:$B$36,INT(($A21/I$4))+2)-INDEX(Data_EPA_Survival!$B$5:$B$36,INT(($A21/I$4))+1)))</f>
        <v/>
      </c>
      <c r="J21" s="26">
        <f>IF(($A21/J$4)&gt;=31,0,INDEX(Data_EPA_Survival!$B$5:$B$36,INT(($A21/J$4))+1)+(($A21/J$4)-INT(($A21/J$4)))*(INDEX(Data_EPA_Survival!$B$5:$B$36,INT(($A21/J$4))+2)-INDEX(Data_EPA_Survival!$B$5:$B$36,INT(($A21/J$4))+1)))</f>
        <v/>
      </c>
      <c r="K21" s="26">
        <f>IF(($A21/K$4)&gt;=31,0,INDEX(Data_EPA_Survival!$B$5:$B$36,INT(($A21/K$4))+1)+(($A21/K$4)-INT(($A21/K$4)))*(INDEX(Data_EPA_Survival!$B$5:$B$36,INT(($A21/K$4))+2)-INDEX(Data_EPA_Survival!$B$5:$B$36,INT(($A21/K$4))+1)))</f>
        <v/>
      </c>
      <c r="L21" s="26">
        <f>IF(($A21/L$4)&gt;=31,0,INDEX(Data_EPA_Survival!$B$5:$B$36,INT(($A21/L$4))+1)+(($A21/L$4)-INT(($A21/L$4)))*(INDEX(Data_EPA_Survival!$B$5:$B$36,INT(($A21/L$4))+2)-INDEX(Data_EPA_Survival!$B$5:$B$36,INT(($A21/L$4))+1)))</f>
        <v/>
      </c>
      <c r="M21" s="26">
        <f>IF(($A21/M$4)&gt;=31,0,INDEX(Data_EPA_Survival!$B$5:$B$36,INT(($A21/M$4))+1)+(($A21/M$4)-INT(($A21/M$4)))*(INDEX(Data_EPA_Survival!$B$5:$B$36,INT(($A21/M$4))+2)-INDEX(Data_EPA_Survival!$B$5:$B$36,INT(($A21/M$4))+1)))</f>
        <v/>
      </c>
      <c r="N21" s="26">
        <f>IF(($A21/N$4)&gt;=31,0,INDEX(Data_EPA_Survival!$B$5:$B$36,INT(($A21/N$4))+1)+(($A21/N$4)-INT(($A21/N$4)))*(INDEX(Data_EPA_Survival!$B$5:$B$36,INT(($A21/N$4))+2)-INDEX(Data_EPA_Survival!$B$5:$B$36,INT(($A21/N$4))+1)))</f>
        <v/>
      </c>
      <c r="O21" s="26">
        <f>IF(($A21/O$4)&gt;=31,0,INDEX(Data_EPA_Survival!$B$5:$B$36,INT(($A21/O$4))+1)+(($A21/O$4)-INT(($A21/O$4)))*(INDEX(Data_EPA_Survival!$B$5:$B$36,INT(($A21/O$4))+2)-INDEX(Data_EPA_Survival!$B$5:$B$36,INT(($A21/O$4))+1)))</f>
        <v/>
      </c>
      <c r="P21" s="26">
        <f>IF(($A21/P$4)&gt;=31,0,INDEX(Data_EPA_Survival!$B$5:$B$36,INT(($A21/P$4))+1)+(($A21/P$4)-INT(($A21/P$4)))*(INDEX(Data_EPA_Survival!$B$5:$B$36,INT(($A21/P$4))+2)-INDEX(Data_EPA_Survival!$B$5:$B$36,INT(($A21/P$4))+1)))</f>
        <v/>
      </c>
      <c r="Q21" s="26">
        <f>IF(($A21/Q$4)&gt;=31,0,INDEX(Data_EPA_Survival!$B$5:$B$36,INT(($A21/Q$4))+1)+(($A21/Q$4)-INT(($A21/Q$4)))*(INDEX(Data_EPA_Survival!$B$5:$B$36,INT(($A21/Q$4))+2)-INDEX(Data_EPA_Survival!$B$5:$B$36,INT(($A21/Q$4))+1)))</f>
        <v/>
      </c>
      <c r="R21" s="26">
        <f>IF(($A21/R$4)&gt;=31,0,INDEX(Data_EPA_Survival!$B$5:$B$36,INT(($A21/R$4))+1)+(($A21/R$4)-INT(($A21/R$4)))*(INDEX(Data_EPA_Survival!$B$5:$B$36,INT(($A21/R$4))+2)-INDEX(Data_EPA_Survival!$B$5:$B$36,INT(($A21/R$4))+1)))</f>
        <v/>
      </c>
      <c r="S21" s="26">
        <f>IF(($A21/S$4)&gt;=31,0,INDEX(Data_EPA_Survival!$B$5:$B$36,INT(($A21/S$4))+1)+(($A21/S$4)-INT(($A21/S$4)))*(INDEX(Data_EPA_Survival!$B$5:$B$36,INT(($A21/S$4))+2)-INDEX(Data_EPA_Survival!$B$5:$B$36,INT(($A21/S$4))+1)))</f>
        <v/>
      </c>
      <c r="T21" s="26">
        <f>IF(($A21/T$4)&gt;=31,0,INDEX(Data_EPA_Survival!$B$5:$B$36,INT(($A21/T$4))+1)+(($A21/T$4)-INT(($A21/T$4)))*(INDEX(Data_EPA_Survival!$B$5:$B$36,INT(($A21/T$4))+2)-INDEX(Data_EPA_Survival!$B$5:$B$36,INT(($A21/T$4))+1)))</f>
        <v/>
      </c>
    </row>
    <row r="22">
      <c r="A22" s="9" t="n">
        <v>16</v>
      </c>
      <c r="C22" s="26">
        <f>IF(($A22/C$4)&gt;=31,0,INDEX(Data_EPA_Survival!$B$5:$B$36,INT(($A22/C$4))+1)+(($A22/C$4)-INT(($A22/C$4)))*(INDEX(Data_EPA_Survival!$B$5:$B$36,INT(($A22/C$4))+2)-INDEX(Data_EPA_Survival!$B$5:$B$36,INT(($A22/C$4))+1)))</f>
        <v/>
      </c>
      <c r="D22" s="26">
        <f>IF(($A22/D$4)&gt;=31,0,INDEX(Data_EPA_Survival!$B$5:$B$36,INT(($A22/D$4))+1)+(($A22/D$4)-INT(($A22/D$4)))*(INDEX(Data_EPA_Survival!$B$5:$B$36,INT(($A22/D$4))+2)-INDEX(Data_EPA_Survival!$B$5:$B$36,INT(($A22/D$4))+1)))</f>
        <v/>
      </c>
      <c r="E22" s="26">
        <f>IF(($A22/E$4)&gt;=31,0,INDEX(Data_EPA_Survival!$B$5:$B$36,INT(($A22/E$4))+1)+(($A22/E$4)-INT(($A22/E$4)))*(INDEX(Data_EPA_Survival!$B$5:$B$36,INT(($A22/E$4))+2)-INDEX(Data_EPA_Survival!$B$5:$B$36,INT(($A22/E$4))+1)))</f>
        <v/>
      </c>
      <c r="F22" s="26">
        <f>IF(($A22/F$4)&gt;=31,0,INDEX(Data_EPA_Survival!$B$5:$B$36,INT(($A22/F$4))+1)+(($A22/F$4)-INT(($A22/F$4)))*(INDEX(Data_EPA_Survival!$B$5:$B$36,INT(($A22/F$4))+2)-INDEX(Data_EPA_Survival!$B$5:$B$36,INT(($A22/F$4))+1)))</f>
        <v/>
      </c>
      <c r="G22" s="26">
        <f>IF(($A22/G$4)&gt;=31,0,INDEX(Data_EPA_Survival!$B$5:$B$36,INT(($A22/G$4))+1)+(($A22/G$4)-INT(($A22/G$4)))*(INDEX(Data_EPA_Survival!$B$5:$B$36,INT(($A22/G$4))+2)-INDEX(Data_EPA_Survival!$B$5:$B$36,INT(($A22/G$4))+1)))</f>
        <v/>
      </c>
      <c r="H22" s="26">
        <f>IF(($A22/H$4)&gt;=31,0,INDEX(Data_EPA_Survival!$B$5:$B$36,INT(($A22/H$4))+1)+(($A22/H$4)-INT(($A22/H$4)))*(INDEX(Data_EPA_Survival!$B$5:$B$36,INT(($A22/H$4))+2)-INDEX(Data_EPA_Survival!$B$5:$B$36,INT(($A22/H$4))+1)))</f>
        <v/>
      </c>
      <c r="I22" s="26">
        <f>IF(($A22/I$4)&gt;=31,0,INDEX(Data_EPA_Survival!$B$5:$B$36,INT(($A22/I$4))+1)+(($A22/I$4)-INT(($A22/I$4)))*(INDEX(Data_EPA_Survival!$B$5:$B$36,INT(($A22/I$4))+2)-INDEX(Data_EPA_Survival!$B$5:$B$36,INT(($A22/I$4))+1)))</f>
        <v/>
      </c>
      <c r="J22" s="26">
        <f>IF(($A22/J$4)&gt;=31,0,INDEX(Data_EPA_Survival!$B$5:$B$36,INT(($A22/J$4))+1)+(($A22/J$4)-INT(($A22/J$4)))*(INDEX(Data_EPA_Survival!$B$5:$B$36,INT(($A22/J$4))+2)-INDEX(Data_EPA_Survival!$B$5:$B$36,INT(($A22/J$4))+1)))</f>
        <v/>
      </c>
      <c r="K22" s="26">
        <f>IF(($A22/K$4)&gt;=31,0,INDEX(Data_EPA_Survival!$B$5:$B$36,INT(($A22/K$4))+1)+(($A22/K$4)-INT(($A22/K$4)))*(INDEX(Data_EPA_Survival!$B$5:$B$36,INT(($A22/K$4))+2)-INDEX(Data_EPA_Survival!$B$5:$B$36,INT(($A22/K$4))+1)))</f>
        <v/>
      </c>
      <c r="L22" s="26">
        <f>IF(($A22/L$4)&gt;=31,0,INDEX(Data_EPA_Survival!$B$5:$B$36,INT(($A22/L$4))+1)+(($A22/L$4)-INT(($A22/L$4)))*(INDEX(Data_EPA_Survival!$B$5:$B$36,INT(($A22/L$4))+2)-INDEX(Data_EPA_Survival!$B$5:$B$36,INT(($A22/L$4))+1)))</f>
        <v/>
      </c>
      <c r="M22" s="26">
        <f>IF(($A22/M$4)&gt;=31,0,INDEX(Data_EPA_Survival!$B$5:$B$36,INT(($A22/M$4))+1)+(($A22/M$4)-INT(($A22/M$4)))*(INDEX(Data_EPA_Survival!$B$5:$B$36,INT(($A22/M$4))+2)-INDEX(Data_EPA_Survival!$B$5:$B$36,INT(($A22/M$4))+1)))</f>
        <v/>
      </c>
      <c r="N22" s="26">
        <f>IF(($A22/N$4)&gt;=31,0,INDEX(Data_EPA_Survival!$B$5:$B$36,INT(($A22/N$4))+1)+(($A22/N$4)-INT(($A22/N$4)))*(INDEX(Data_EPA_Survival!$B$5:$B$36,INT(($A22/N$4))+2)-INDEX(Data_EPA_Survival!$B$5:$B$36,INT(($A22/N$4))+1)))</f>
        <v/>
      </c>
      <c r="O22" s="26">
        <f>IF(($A22/O$4)&gt;=31,0,INDEX(Data_EPA_Survival!$B$5:$B$36,INT(($A22/O$4))+1)+(($A22/O$4)-INT(($A22/O$4)))*(INDEX(Data_EPA_Survival!$B$5:$B$36,INT(($A22/O$4))+2)-INDEX(Data_EPA_Survival!$B$5:$B$36,INT(($A22/O$4))+1)))</f>
        <v/>
      </c>
      <c r="P22" s="26">
        <f>IF(($A22/P$4)&gt;=31,0,INDEX(Data_EPA_Survival!$B$5:$B$36,INT(($A22/P$4))+1)+(($A22/P$4)-INT(($A22/P$4)))*(INDEX(Data_EPA_Survival!$B$5:$B$36,INT(($A22/P$4))+2)-INDEX(Data_EPA_Survival!$B$5:$B$36,INT(($A22/P$4))+1)))</f>
        <v/>
      </c>
      <c r="Q22" s="26">
        <f>IF(($A22/Q$4)&gt;=31,0,INDEX(Data_EPA_Survival!$B$5:$B$36,INT(($A22/Q$4))+1)+(($A22/Q$4)-INT(($A22/Q$4)))*(INDEX(Data_EPA_Survival!$B$5:$B$36,INT(($A22/Q$4))+2)-INDEX(Data_EPA_Survival!$B$5:$B$36,INT(($A22/Q$4))+1)))</f>
        <v/>
      </c>
      <c r="R22" s="26">
        <f>IF(($A22/R$4)&gt;=31,0,INDEX(Data_EPA_Survival!$B$5:$B$36,INT(($A22/R$4))+1)+(($A22/R$4)-INT(($A22/R$4)))*(INDEX(Data_EPA_Survival!$B$5:$B$36,INT(($A22/R$4))+2)-INDEX(Data_EPA_Survival!$B$5:$B$36,INT(($A22/R$4))+1)))</f>
        <v/>
      </c>
      <c r="S22" s="26">
        <f>IF(($A22/S$4)&gt;=31,0,INDEX(Data_EPA_Survival!$B$5:$B$36,INT(($A22/S$4))+1)+(($A22/S$4)-INT(($A22/S$4)))*(INDEX(Data_EPA_Survival!$B$5:$B$36,INT(($A22/S$4))+2)-INDEX(Data_EPA_Survival!$B$5:$B$36,INT(($A22/S$4))+1)))</f>
        <v/>
      </c>
      <c r="T22" s="26">
        <f>IF(($A22/T$4)&gt;=31,0,INDEX(Data_EPA_Survival!$B$5:$B$36,INT(($A22/T$4))+1)+(($A22/T$4)-INT(($A22/T$4)))*(INDEX(Data_EPA_Survival!$B$5:$B$36,INT(($A22/T$4))+2)-INDEX(Data_EPA_Survival!$B$5:$B$36,INT(($A22/T$4))+1)))</f>
        <v/>
      </c>
    </row>
    <row r="23">
      <c r="A23" s="9" t="n">
        <v>17</v>
      </c>
      <c r="C23" s="26">
        <f>IF(($A23/C$4)&gt;=31,0,INDEX(Data_EPA_Survival!$B$5:$B$36,INT(($A23/C$4))+1)+(($A23/C$4)-INT(($A23/C$4)))*(INDEX(Data_EPA_Survival!$B$5:$B$36,INT(($A23/C$4))+2)-INDEX(Data_EPA_Survival!$B$5:$B$36,INT(($A23/C$4))+1)))</f>
        <v/>
      </c>
      <c r="D23" s="26">
        <f>IF(($A23/D$4)&gt;=31,0,INDEX(Data_EPA_Survival!$B$5:$B$36,INT(($A23/D$4))+1)+(($A23/D$4)-INT(($A23/D$4)))*(INDEX(Data_EPA_Survival!$B$5:$B$36,INT(($A23/D$4))+2)-INDEX(Data_EPA_Survival!$B$5:$B$36,INT(($A23/D$4))+1)))</f>
        <v/>
      </c>
      <c r="E23" s="26">
        <f>IF(($A23/E$4)&gt;=31,0,INDEX(Data_EPA_Survival!$B$5:$B$36,INT(($A23/E$4))+1)+(($A23/E$4)-INT(($A23/E$4)))*(INDEX(Data_EPA_Survival!$B$5:$B$36,INT(($A23/E$4))+2)-INDEX(Data_EPA_Survival!$B$5:$B$36,INT(($A23/E$4))+1)))</f>
        <v/>
      </c>
      <c r="F23" s="26">
        <f>IF(($A23/F$4)&gt;=31,0,INDEX(Data_EPA_Survival!$B$5:$B$36,INT(($A23/F$4))+1)+(($A23/F$4)-INT(($A23/F$4)))*(INDEX(Data_EPA_Survival!$B$5:$B$36,INT(($A23/F$4))+2)-INDEX(Data_EPA_Survival!$B$5:$B$36,INT(($A23/F$4))+1)))</f>
        <v/>
      </c>
      <c r="G23" s="26">
        <f>IF(($A23/G$4)&gt;=31,0,INDEX(Data_EPA_Survival!$B$5:$B$36,INT(($A23/G$4))+1)+(($A23/G$4)-INT(($A23/G$4)))*(INDEX(Data_EPA_Survival!$B$5:$B$36,INT(($A23/G$4))+2)-INDEX(Data_EPA_Survival!$B$5:$B$36,INT(($A23/G$4))+1)))</f>
        <v/>
      </c>
      <c r="H23" s="26">
        <f>IF(($A23/H$4)&gt;=31,0,INDEX(Data_EPA_Survival!$B$5:$B$36,INT(($A23/H$4))+1)+(($A23/H$4)-INT(($A23/H$4)))*(INDEX(Data_EPA_Survival!$B$5:$B$36,INT(($A23/H$4))+2)-INDEX(Data_EPA_Survival!$B$5:$B$36,INT(($A23/H$4))+1)))</f>
        <v/>
      </c>
      <c r="I23" s="26">
        <f>IF(($A23/I$4)&gt;=31,0,INDEX(Data_EPA_Survival!$B$5:$B$36,INT(($A23/I$4))+1)+(($A23/I$4)-INT(($A23/I$4)))*(INDEX(Data_EPA_Survival!$B$5:$B$36,INT(($A23/I$4))+2)-INDEX(Data_EPA_Survival!$B$5:$B$36,INT(($A23/I$4))+1)))</f>
        <v/>
      </c>
      <c r="J23" s="26">
        <f>IF(($A23/J$4)&gt;=31,0,INDEX(Data_EPA_Survival!$B$5:$B$36,INT(($A23/J$4))+1)+(($A23/J$4)-INT(($A23/J$4)))*(INDEX(Data_EPA_Survival!$B$5:$B$36,INT(($A23/J$4))+2)-INDEX(Data_EPA_Survival!$B$5:$B$36,INT(($A23/J$4))+1)))</f>
        <v/>
      </c>
      <c r="K23" s="26">
        <f>IF(($A23/K$4)&gt;=31,0,INDEX(Data_EPA_Survival!$B$5:$B$36,INT(($A23/K$4))+1)+(($A23/K$4)-INT(($A23/K$4)))*(INDEX(Data_EPA_Survival!$B$5:$B$36,INT(($A23/K$4))+2)-INDEX(Data_EPA_Survival!$B$5:$B$36,INT(($A23/K$4))+1)))</f>
        <v/>
      </c>
      <c r="L23" s="26">
        <f>IF(($A23/L$4)&gt;=31,0,INDEX(Data_EPA_Survival!$B$5:$B$36,INT(($A23/L$4))+1)+(($A23/L$4)-INT(($A23/L$4)))*(INDEX(Data_EPA_Survival!$B$5:$B$36,INT(($A23/L$4))+2)-INDEX(Data_EPA_Survival!$B$5:$B$36,INT(($A23/L$4))+1)))</f>
        <v/>
      </c>
      <c r="M23" s="26">
        <f>IF(($A23/M$4)&gt;=31,0,INDEX(Data_EPA_Survival!$B$5:$B$36,INT(($A23/M$4))+1)+(($A23/M$4)-INT(($A23/M$4)))*(INDEX(Data_EPA_Survival!$B$5:$B$36,INT(($A23/M$4))+2)-INDEX(Data_EPA_Survival!$B$5:$B$36,INT(($A23/M$4))+1)))</f>
        <v/>
      </c>
      <c r="N23" s="26">
        <f>IF(($A23/N$4)&gt;=31,0,INDEX(Data_EPA_Survival!$B$5:$B$36,INT(($A23/N$4))+1)+(($A23/N$4)-INT(($A23/N$4)))*(INDEX(Data_EPA_Survival!$B$5:$B$36,INT(($A23/N$4))+2)-INDEX(Data_EPA_Survival!$B$5:$B$36,INT(($A23/N$4))+1)))</f>
        <v/>
      </c>
      <c r="O23" s="26">
        <f>IF(($A23/O$4)&gt;=31,0,INDEX(Data_EPA_Survival!$B$5:$B$36,INT(($A23/O$4))+1)+(($A23/O$4)-INT(($A23/O$4)))*(INDEX(Data_EPA_Survival!$B$5:$B$36,INT(($A23/O$4))+2)-INDEX(Data_EPA_Survival!$B$5:$B$36,INT(($A23/O$4))+1)))</f>
        <v/>
      </c>
      <c r="P23" s="26">
        <f>IF(($A23/P$4)&gt;=31,0,INDEX(Data_EPA_Survival!$B$5:$B$36,INT(($A23/P$4))+1)+(($A23/P$4)-INT(($A23/P$4)))*(INDEX(Data_EPA_Survival!$B$5:$B$36,INT(($A23/P$4))+2)-INDEX(Data_EPA_Survival!$B$5:$B$36,INT(($A23/P$4))+1)))</f>
        <v/>
      </c>
      <c r="Q23" s="26">
        <f>IF(($A23/Q$4)&gt;=31,0,INDEX(Data_EPA_Survival!$B$5:$B$36,INT(($A23/Q$4))+1)+(($A23/Q$4)-INT(($A23/Q$4)))*(INDEX(Data_EPA_Survival!$B$5:$B$36,INT(($A23/Q$4))+2)-INDEX(Data_EPA_Survival!$B$5:$B$36,INT(($A23/Q$4))+1)))</f>
        <v/>
      </c>
      <c r="R23" s="26">
        <f>IF(($A23/R$4)&gt;=31,0,INDEX(Data_EPA_Survival!$B$5:$B$36,INT(($A23/R$4))+1)+(($A23/R$4)-INT(($A23/R$4)))*(INDEX(Data_EPA_Survival!$B$5:$B$36,INT(($A23/R$4))+2)-INDEX(Data_EPA_Survival!$B$5:$B$36,INT(($A23/R$4))+1)))</f>
        <v/>
      </c>
      <c r="S23" s="26">
        <f>IF(($A23/S$4)&gt;=31,0,INDEX(Data_EPA_Survival!$B$5:$B$36,INT(($A23/S$4))+1)+(($A23/S$4)-INT(($A23/S$4)))*(INDEX(Data_EPA_Survival!$B$5:$B$36,INT(($A23/S$4))+2)-INDEX(Data_EPA_Survival!$B$5:$B$36,INT(($A23/S$4))+1)))</f>
        <v/>
      </c>
      <c r="T23" s="26">
        <f>IF(($A23/T$4)&gt;=31,0,INDEX(Data_EPA_Survival!$B$5:$B$36,INT(($A23/T$4))+1)+(($A23/T$4)-INT(($A23/T$4)))*(INDEX(Data_EPA_Survival!$B$5:$B$36,INT(($A23/T$4))+2)-INDEX(Data_EPA_Survival!$B$5:$B$36,INT(($A23/T$4))+1)))</f>
        <v/>
      </c>
    </row>
    <row r="24">
      <c r="A24" s="9" t="n">
        <v>18</v>
      </c>
      <c r="C24" s="26">
        <f>IF(($A24/C$4)&gt;=31,0,INDEX(Data_EPA_Survival!$B$5:$B$36,INT(($A24/C$4))+1)+(($A24/C$4)-INT(($A24/C$4)))*(INDEX(Data_EPA_Survival!$B$5:$B$36,INT(($A24/C$4))+2)-INDEX(Data_EPA_Survival!$B$5:$B$36,INT(($A24/C$4))+1)))</f>
        <v/>
      </c>
      <c r="D24" s="26">
        <f>IF(($A24/D$4)&gt;=31,0,INDEX(Data_EPA_Survival!$B$5:$B$36,INT(($A24/D$4))+1)+(($A24/D$4)-INT(($A24/D$4)))*(INDEX(Data_EPA_Survival!$B$5:$B$36,INT(($A24/D$4))+2)-INDEX(Data_EPA_Survival!$B$5:$B$36,INT(($A24/D$4))+1)))</f>
        <v/>
      </c>
      <c r="E24" s="26">
        <f>IF(($A24/E$4)&gt;=31,0,INDEX(Data_EPA_Survival!$B$5:$B$36,INT(($A24/E$4))+1)+(($A24/E$4)-INT(($A24/E$4)))*(INDEX(Data_EPA_Survival!$B$5:$B$36,INT(($A24/E$4))+2)-INDEX(Data_EPA_Survival!$B$5:$B$36,INT(($A24/E$4))+1)))</f>
        <v/>
      </c>
      <c r="F24" s="26">
        <f>IF(($A24/F$4)&gt;=31,0,INDEX(Data_EPA_Survival!$B$5:$B$36,INT(($A24/F$4))+1)+(($A24/F$4)-INT(($A24/F$4)))*(INDEX(Data_EPA_Survival!$B$5:$B$36,INT(($A24/F$4))+2)-INDEX(Data_EPA_Survival!$B$5:$B$36,INT(($A24/F$4))+1)))</f>
        <v/>
      </c>
      <c r="G24" s="26">
        <f>IF(($A24/G$4)&gt;=31,0,INDEX(Data_EPA_Survival!$B$5:$B$36,INT(($A24/G$4))+1)+(($A24/G$4)-INT(($A24/G$4)))*(INDEX(Data_EPA_Survival!$B$5:$B$36,INT(($A24/G$4))+2)-INDEX(Data_EPA_Survival!$B$5:$B$36,INT(($A24/G$4))+1)))</f>
        <v/>
      </c>
      <c r="H24" s="26">
        <f>IF(($A24/H$4)&gt;=31,0,INDEX(Data_EPA_Survival!$B$5:$B$36,INT(($A24/H$4))+1)+(($A24/H$4)-INT(($A24/H$4)))*(INDEX(Data_EPA_Survival!$B$5:$B$36,INT(($A24/H$4))+2)-INDEX(Data_EPA_Survival!$B$5:$B$36,INT(($A24/H$4))+1)))</f>
        <v/>
      </c>
      <c r="I24" s="26">
        <f>IF(($A24/I$4)&gt;=31,0,INDEX(Data_EPA_Survival!$B$5:$B$36,INT(($A24/I$4))+1)+(($A24/I$4)-INT(($A24/I$4)))*(INDEX(Data_EPA_Survival!$B$5:$B$36,INT(($A24/I$4))+2)-INDEX(Data_EPA_Survival!$B$5:$B$36,INT(($A24/I$4))+1)))</f>
        <v/>
      </c>
      <c r="J24" s="26">
        <f>IF(($A24/J$4)&gt;=31,0,INDEX(Data_EPA_Survival!$B$5:$B$36,INT(($A24/J$4))+1)+(($A24/J$4)-INT(($A24/J$4)))*(INDEX(Data_EPA_Survival!$B$5:$B$36,INT(($A24/J$4))+2)-INDEX(Data_EPA_Survival!$B$5:$B$36,INT(($A24/J$4))+1)))</f>
        <v/>
      </c>
      <c r="K24" s="26">
        <f>IF(($A24/K$4)&gt;=31,0,INDEX(Data_EPA_Survival!$B$5:$B$36,INT(($A24/K$4))+1)+(($A24/K$4)-INT(($A24/K$4)))*(INDEX(Data_EPA_Survival!$B$5:$B$36,INT(($A24/K$4))+2)-INDEX(Data_EPA_Survival!$B$5:$B$36,INT(($A24/K$4))+1)))</f>
        <v/>
      </c>
      <c r="L24" s="26">
        <f>IF(($A24/L$4)&gt;=31,0,INDEX(Data_EPA_Survival!$B$5:$B$36,INT(($A24/L$4))+1)+(($A24/L$4)-INT(($A24/L$4)))*(INDEX(Data_EPA_Survival!$B$5:$B$36,INT(($A24/L$4))+2)-INDEX(Data_EPA_Survival!$B$5:$B$36,INT(($A24/L$4))+1)))</f>
        <v/>
      </c>
      <c r="M24" s="26">
        <f>IF(($A24/M$4)&gt;=31,0,INDEX(Data_EPA_Survival!$B$5:$B$36,INT(($A24/M$4))+1)+(($A24/M$4)-INT(($A24/M$4)))*(INDEX(Data_EPA_Survival!$B$5:$B$36,INT(($A24/M$4))+2)-INDEX(Data_EPA_Survival!$B$5:$B$36,INT(($A24/M$4))+1)))</f>
        <v/>
      </c>
      <c r="N24" s="26">
        <f>IF(($A24/N$4)&gt;=31,0,INDEX(Data_EPA_Survival!$B$5:$B$36,INT(($A24/N$4))+1)+(($A24/N$4)-INT(($A24/N$4)))*(INDEX(Data_EPA_Survival!$B$5:$B$36,INT(($A24/N$4))+2)-INDEX(Data_EPA_Survival!$B$5:$B$36,INT(($A24/N$4))+1)))</f>
        <v/>
      </c>
      <c r="O24" s="26">
        <f>IF(($A24/O$4)&gt;=31,0,INDEX(Data_EPA_Survival!$B$5:$B$36,INT(($A24/O$4))+1)+(($A24/O$4)-INT(($A24/O$4)))*(INDEX(Data_EPA_Survival!$B$5:$B$36,INT(($A24/O$4))+2)-INDEX(Data_EPA_Survival!$B$5:$B$36,INT(($A24/O$4))+1)))</f>
        <v/>
      </c>
      <c r="P24" s="26">
        <f>IF(($A24/P$4)&gt;=31,0,INDEX(Data_EPA_Survival!$B$5:$B$36,INT(($A24/P$4))+1)+(($A24/P$4)-INT(($A24/P$4)))*(INDEX(Data_EPA_Survival!$B$5:$B$36,INT(($A24/P$4))+2)-INDEX(Data_EPA_Survival!$B$5:$B$36,INT(($A24/P$4))+1)))</f>
        <v/>
      </c>
      <c r="Q24" s="26">
        <f>IF(($A24/Q$4)&gt;=31,0,INDEX(Data_EPA_Survival!$B$5:$B$36,INT(($A24/Q$4))+1)+(($A24/Q$4)-INT(($A24/Q$4)))*(INDEX(Data_EPA_Survival!$B$5:$B$36,INT(($A24/Q$4))+2)-INDEX(Data_EPA_Survival!$B$5:$B$36,INT(($A24/Q$4))+1)))</f>
        <v/>
      </c>
      <c r="R24" s="26">
        <f>IF(($A24/R$4)&gt;=31,0,INDEX(Data_EPA_Survival!$B$5:$B$36,INT(($A24/R$4))+1)+(($A24/R$4)-INT(($A24/R$4)))*(INDEX(Data_EPA_Survival!$B$5:$B$36,INT(($A24/R$4))+2)-INDEX(Data_EPA_Survival!$B$5:$B$36,INT(($A24/R$4))+1)))</f>
        <v/>
      </c>
      <c r="S24" s="26">
        <f>IF(($A24/S$4)&gt;=31,0,INDEX(Data_EPA_Survival!$B$5:$B$36,INT(($A24/S$4))+1)+(($A24/S$4)-INT(($A24/S$4)))*(INDEX(Data_EPA_Survival!$B$5:$B$36,INT(($A24/S$4))+2)-INDEX(Data_EPA_Survival!$B$5:$B$36,INT(($A24/S$4))+1)))</f>
        <v/>
      </c>
      <c r="T24" s="26">
        <f>IF(($A24/T$4)&gt;=31,0,INDEX(Data_EPA_Survival!$B$5:$B$36,INT(($A24/T$4))+1)+(($A24/T$4)-INT(($A24/T$4)))*(INDEX(Data_EPA_Survival!$B$5:$B$36,INT(($A24/T$4))+2)-INDEX(Data_EPA_Survival!$B$5:$B$36,INT(($A24/T$4))+1)))</f>
        <v/>
      </c>
    </row>
    <row r="25">
      <c r="A25" s="9" t="n">
        <v>19</v>
      </c>
      <c r="C25" s="26">
        <f>IF(($A25/C$4)&gt;=31,0,INDEX(Data_EPA_Survival!$B$5:$B$36,INT(($A25/C$4))+1)+(($A25/C$4)-INT(($A25/C$4)))*(INDEX(Data_EPA_Survival!$B$5:$B$36,INT(($A25/C$4))+2)-INDEX(Data_EPA_Survival!$B$5:$B$36,INT(($A25/C$4))+1)))</f>
        <v/>
      </c>
      <c r="D25" s="26">
        <f>IF(($A25/D$4)&gt;=31,0,INDEX(Data_EPA_Survival!$B$5:$B$36,INT(($A25/D$4))+1)+(($A25/D$4)-INT(($A25/D$4)))*(INDEX(Data_EPA_Survival!$B$5:$B$36,INT(($A25/D$4))+2)-INDEX(Data_EPA_Survival!$B$5:$B$36,INT(($A25/D$4))+1)))</f>
        <v/>
      </c>
      <c r="E25" s="26">
        <f>IF(($A25/E$4)&gt;=31,0,INDEX(Data_EPA_Survival!$B$5:$B$36,INT(($A25/E$4))+1)+(($A25/E$4)-INT(($A25/E$4)))*(INDEX(Data_EPA_Survival!$B$5:$B$36,INT(($A25/E$4))+2)-INDEX(Data_EPA_Survival!$B$5:$B$36,INT(($A25/E$4))+1)))</f>
        <v/>
      </c>
      <c r="F25" s="26">
        <f>IF(($A25/F$4)&gt;=31,0,INDEX(Data_EPA_Survival!$B$5:$B$36,INT(($A25/F$4))+1)+(($A25/F$4)-INT(($A25/F$4)))*(INDEX(Data_EPA_Survival!$B$5:$B$36,INT(($A25/F$4))+2)-INDEX(Data_EPA_Survival!$B$5:$B$36,INT(($A25/F$4))+1)))</f>
        <v/>
      </c>
      <c r="G25" s="26">
        <f>IF(($A25/G$4)&gt;=31,0,INDEX(Data_EPA_Survival!$B$5:$B$36,INT(($A25/G$4))+1)+(($A25/G$4)-INT(($A25/G$4)))*(INDEX(Data_EPA_Survival!$B$5:$B$36,INT(($A25/G$4))+2)-INDEX(Data_EPA_Survival!$B$5:$B$36,INT(($A25/G$4))+1)))</f>
        <v/>
      </c>
      <c r="H25" s="26">
        <f>IF(($A25/H$4)&gt;=31,0,INDEX(Data_EPA_Survival!$B$5:$B$36,INT(($A25/H$4))+1)+(($A25/H$4)-INT(($A25/H$4)))*(INDEX(Data_EPA_Survival!$B$5:$B$36,INT(($A25/H$4))+2)-INDEX(Data_EPA_Survival!$B$5:$B$36,INT(($A25/H$4))+1)))</f>
        <v/>
      </c>
      <c r="I25" s="26">
        <f>IF(($A25/I$4)&gt;=31,0,INDEX(Data_EPA_Survival!$B$5:$B$36,INT(($A25/I$4))+1)+(($A25/I$4)-INT(($A25/I$4)))*(INDEX(Data_EPA_Survival!$B$5:$B$36,INT(($A25/I$4))+2)-INDEX(Data_EPA_Survival!$B$5:$B$36,INT(($A25/I$4))+1)))</f>
        <v/>
      </c>
      <c r="J25" s="26">
        <f>IF(($A25/J$4)&gt;=31,0,INDEX(Data_EPA_Survival!$B$5:$B$36,INT(($A25/J$4))+1)+(($A25/J$4)-INT(($A25/J$4)))*(INDEX(Data_EPA_Survival!$B$5:$B$36,INT(($A25/J$4))+2)-INDEX(Data_EPA_Survival!$B$5:$B$36,INT(($A25/J$4))+1)))</f>
        <v/>
      </c>
      <c r="K25" s="26">
        <f>IF(($A25/K$4)&gt;=31,0,INDEX(Data_EPA_Survival!$B$5:$B$36,INT(($A25/K$4))+1)+(($A25/K$4)-INT(($A25/K$4)))*(INDEX(Data_EPA_Survival!$B$5:$B$36,INT(($A25/K$4))+2)-INDEX(Data_EPA_Survival!$B$5:$B$36,INT(($A25/K$4))+1)))</f>
        <v/>
      </c>
      <c r="L25" s="26">
        <f>IF(($A25/L$4)&gt;=31,0,INDEX(Data_EPA_Survival!$B$5:$B$36,INT(($A25/L$4))+1)+(($A25/L$4)-INT(($A25/L$4)))*(INDEX(Data_EPA_Survival!$B$5:$B$36,INT(($A25/L$4))+2)-INDEX(Data_EPA_Survival!$B$5:$B$36,INT(($A25/L$4))+1)))</f>
        <v/>
      </c>
      <c r="M25" s="26">
        <f>IF(($A25/M$4)&gt;=31,0,INDEX(Data_EPA_Survival!$B$5:$B$36,INT(($A25/M$4))+1)+(($A25/M$4)-INT(($A25/M$4)))*(INDEX(Data_EPA_Survival!$B$5:$B$36,INT(($A25/M$4))+2)-INDEX(Data_EPA_Survival!$B$5:$B$36,INT(($A25/M$4))+1)))</f>
        <v/>
      </c>
      <c r="N25" s="26">
        <f>IF(($A25/N$4)&gt;=31,0,INDEX(Data_EPA_Survival!$B$5:$B$36,INT(($A25/N$4))+1)+(($A25/N$4)-INT(($A25/N$4)))*(INDEX(Data_EPA_Survival!$B$5:$B$36,INT(($A25/N$4))+2)-INDEX(Data_EPA_Survival!$B$5:$B$36,INT(($A25/N$4))+1)))</f>
        <v/>
      </c>
      <c r="O25" s="26">
        <f>IF(($A25/O$4)&gt;=31,0,INDEX(Data_EPA_Survival!$B$5:$B$36,INT(($A25/O$4))+1)+(($A25/O$4)-INT(($A25/O$4)))*(INDEX(Data_EPA_Survival!$B$5:$B$36,INT(($A25/O$4))+2)-INDEX(Data_EPA_Survival!$B$5:$B$36,INT(($A25/O$4))+1)))</f>
        <v/>
      </c>
      <c r="P25" s="26">
        <f>IF(($A25/P$4)&gt;=31,0,INDEX(Data_EPA_Survival!$B$5:$B$36,INT(($A25/P$4))+1)+(($A25/P$4)-INT(($A25/P$4)))*(INDEX(Data_EPA_Survival!$B$5:$B$36,INT(($A25/P$4))+2)-INDEX(Data_EPA_Survival!$B$5:$B$36,INT(($A25/P$4))+1)))</f>
        <v/>
      </c>
      <c r="Q25" s="26">
        <f>IF(($A25/Q$4)&gt;=31,0,INDEX(Data_EPA_Survival!$B$5:$B$36,INT(($A25/Q$4))+1)+(($A25/Q$4)-INT(($A25/Q$4)))*(INDEX(Data_EPA_Survival!$B$5:$B$36,INT(($A25/Q$4))+2)-INDEX(Data_EPA_Survival!$B$5:$B$36,INT(($A25/Q$4))+1)))</f>
        <v/>
      </c>
      <c r="R25" s="26">
        <f>IF(($A25/R$4)&gt;=31,0,INDEX(Data_EPA_Survival!$B$5:$B$36,INT(($A25/R$4))+1)+(($A25/R$4)-INT(($A25/R$4)))*(INDEX(Data_EPA_Survival!$B$5:$B$36,INT(($A25/R$4))+2)-INDEX(Data_EPA_Survival!$B$5:$B$36,INT(($A25/R$4))+1)))</f>
        <v/>
      </c>
      <c r="S25" s="26">
        <f>IF(($A25/S$4)&gt;=31,0,INDEX(Data_EPA_Survival!$B$5:$B$36,INT(($A25/S$4))+1)+(($A25/S$4)-INT(($A25/S$4)))*(INDEX(Data_EPA_Survival!$B$5:$B$36,INT(($A25/S$4))+2)-INDEX(Data_EPA_Survival!$B$5:$B$36,INT(($A25/S$4))+1)))</f>
        <v/>
      </c>
      <c r="T25" s="26">
        <f>IF(($A25/T$4)&gt;=31,0,INDEX(Data_EPA_Survival!$B$5:$B$36,INT(($A25/T$4))+1)+(($A25/T$4)-INT(($A25/T$4)))*(INDEX(Data_EPA_Survival!$B$5:$B$36,INT(($A25/T$4))+2)-INDEX(Data_EPA_Survival!$B$5:$B$36,INT(($A25/T$4))+1)))</f>
        <v/>
      </c>
    </row>
    <row r="26">
      <c r="A26" s="9" t="n">
        <v>20</v>
      </c>
      <c r="C26" s="26">
        <f>IF(($A26/C$4)&gt;=31,0,INDEX(Data_EPA_Survival!$B$5:$B$36,INT(($A26/C$4))+1)+(($A26/C$4)-INT(($A26/C$4)))*(INDEX(Data_EPA_Survival!$B$5:$B$36,INT(($A26/C$4))+2)-INDEX(Data_EPA_Survival!$B$5:$B$36,INT(($A26/C$4))+1)))</f>
        <v/>
      </c>
      <c r="D26" s="26">
        <f>IF(($A26/D$4)&gt;=31,0,INDEX(Data_EPA_Survival!$B$5:$B$36,INT(($A26/D$4))+1)+(($A26/D$4)-INT(($A26/D$4)))*(INDEX(Data_EPA_Survival!$B$5:$B$36,INT(($A26/D$4))+2)-INDEX(Data_EPA_Survival!$B$5:$B$36,INT(($A26/D$4))+1)))</f>
        <v/>
      </c>
      <c r="E26" s="26">
        <f>IF(($A26/E$4)&gt;=31,0,INDEX(Data_EPA_Survival!$B$5:$B$36,INT(($A26/E$4))+1)+(($A26/E$4)-INT(($A26/E$4)))*(INDEX(Data_EPA_Survival!$B$5:$B$36,INT(($A26/E$4))+2)-INDEX(Data_EPA_Survival!$B$5:$B$36,INT(($A26/E$4))+1)))</f>
        <v/>
      </c>
      <c r="F26" s="26">
        <f>IF(($A26/F$4)&gt;=31,0,INDEX(Data_EPA_Survival!$B$5:$B$36,INT(($A26/F$4))+1)+(($A26/F$4)-INT(($A26/F$4)))*(INDEX(Data_EPA_Survival!$B$5:$B$36,INT(($A26/F$4))+2)-INDEX(Data_EPA_Survival!$B$5:$B$36,INT(($A26/F$4))+1)))</f>
        <v/>
      </c>
      <c r="G26" s="26">
        <f>IF(($A26/G$4)&gt;=31,0,INDEX(Data_EPA_Survival!$B$5:$B$36,INT(($A26/G$4))+1)+(($A26/G$4)-INT(($A26/G$4)))*(INDEX(Data_EPA_Survival!$B$5:$B$36,INT(($A26/G$4))+2)-INDEX(Data_EPA_Survival!$B$5:$B$36,INT(($A26/G$4))+1)))</f>
        <v/>
      </c>
      <c r="H26" s="26">
        <f>IF(($A26/H$4)&gt;=31,0,INDEX(Data_EPA_Survival!$B$5:$B$36,INT(($A26/H$4))+1)+(($A26/H$4)-INT(($A26/H$4)))*(INDEX(Data_EPA_Survival!$B$5:$B$36,INT(($A26/H$4))+2)-INDEX(Data_EPA_Survival!$B$5:$B$36,INT(($A26/H$4))+1)))</f>
        <v/>
      </c>
      <c r="I26" s="26">
        <f>IF(($A26/I$4)&gt;=31,0,INDEX(Data_EPA_Survival!$B$5:$B$36,INT(($A26/I$4))+1)+(($A26/I$4)-INT(($A26/I$4)))*(INDEX(Data_EPA_Survival!$B$5:$B$36,INT(($A26/I$4))+2)-INDEX(Data_EPA_Survival!$B$5:$B$36,INT(($A26/I$4))+1)))</f>
        <v/>
      </c>
      <c r="J26" s="26">
        <f>IF(($A26/J$4)&gt;=31,0,INDEX(Data_EPA_Survival!$B$5:$B$36,INT(($A26/J$4))+1)+(($A26/J$4)-INT(($A26/J$4)))*(INDEX(Data_EPA_Survival!$B$5:$B$36,INT(($A26/J$4))+2)-INDEX(Data_EPA_Survival!$B$5:$B$36,INT(($A26/J$4))+1)))</f>
        <v/>
      </c>
      <c r="K26" s="26">
        <f>IF(($A26/K$4)&gt;=31,0,INDEX(Data_EPA_Survival!$B$5:$B$36,INT(($A26/K$4))+1)+(($A26/K$4)-INT(($A26/K$4)))*(INDEX(Data_EPA_Survival!$B$5:$B$36,INT(($A26/K$4))+2)-INDEX(Data_EPA_Survival!$B$5:$B$36,INT(($A26/K$4))+1)))</f>
        <v/>
      </c>
      <c r="L26" s="26">
        <f>IF(($A26/L$4)&gt;=31,0,INDEX(Data_EPA_Survival!$B$5:$B$36,INT(($A26/L$4))+1)+(($A26/L$4)-INT(($A26/L$4)))*(INDEX(Data_EPA_Survival!$B$5:$B$36,INT(($A26/L$4))+2)-INDEX(Data_EPA_Survival!$B$5:$B$36,INT(($A26/L$4))+1)))</f>
        <v/>
      </c>
      <c r="M26" s="26">
        <f>IF(($A26/M$4)&gt;=31,0,INDEX(Data_EPA_Survival!$B$5:$B$36,INT(($A26/M$4))+1)+(($A26/M$4)-INT(($A26/M$4)))*(INDEX(Data_EPA_Survival!$B$5:$B$36,INT(($A26/M$4))+2)-INDEX(Data_EPA_Survival!$B$5:$B$36,INT(($A26/M$4))+1)))</f>
        <v/>
      </c>
      <c r="N26" s="26">
        <f>IF(($A26/N$4)&gt;=31,0,INDEX(Data_EPA_Survival!$B$5:$B$36,INT(($A26/N$4))+1)+(($A26/N$4)-INT(($A26/N$4)))*(INDEX(Data_EPA_Survival!$B$5:$B$36,INT(($A26/N$4))+2)-INDEX(Data_EPA_Survival!$B$5:$B$36,INT(($A26/N$4))+1)))</f>
        <v/>
      </c>
      <c r="O26" s="26">
        <f>IF(($A26/O$4)&gt;=31,0,INDEX(Data_EPA_Survival!$B$5:$B$36,INT(($A26/O$4))+1)+(($A26/O$4)-INT(($A26/O$4)))*(INDEX(Data_EPA_Survival!$B$5:$B$36,INT(($A26/O$4))+2)-INDEX(Data_EPA_Survival!$B$5:$B$36,INT(($A26/O$4))+1)))</f>
        <v/>
      </c>
      <c r="P26" s="26">
        <f>IF(($A26/P$4)&gt;=31,0,INDEX(Data_EPA_Survival!$B$5:$B$36,INT(($A26/P$4))+1)+(($A26/P$4)-INT(($A26/P$4)))*(INDEX(Data_EPA_Survival!$B$5:$B$36,INT(($A26/P$4))+2)-INDEX(Data_EPA_Survival!$B$5:$B$36,INT(($A26/P$4))+1)))</f>
        <v/>
      </c>
      <c r="Q26" s="26">
        <f>IF(($A26/Q$4)&gt;=31,0,INDEX(Data_EPA_Survival!$B$5:$B$36,INT(($A26/Q$4))+1)+(($A26/Q$4)-INT(($A26/Q$4)))*(INDEX(Data_EPA_Survival!$B$5:$B$36,INT(($A26/Q$4))+2)-INDEX(Data_EPA_Survival!$B$5:$B$36,INT(($A26/Q$4))+1)))</f>
        <v/>
      </c>
      <c r="R26" s="26">
        <f>IF(($A26/R$4)&gt;=31,0,INDEX(Data_EPA_Survival!$B$5:$B$36,INT(($A26/R$4))+1)+(($A26/R$4)-INT(($A26/R$4)))*(INDEX(Data_EPA_Survival!$B$5:$B$36,INT(($A26/R$4))+2)-INDEX(Data_EPA_Survival!$B$5:$B$36,INT(($A26/R$4))+1)))</f>
        <v/>
      </c>
      <c r="S26" s="26">
        <f>IF(($A26/S$4)&gt;=31,0,INDEX(Data_EPA_Survival!$B$5:$B$36,INT(($A26/S$4))+1)+(($A26/S$4)-INT(($A26/S$4)))*(INDEX(Data_EPA_Survival!$B$5:$B$36,INT(($A26/S$4))+2)-INDEX(Data_EPA_Survival!$B$5:$B$36,INT(($A26/S$4))+1)))</f>
        <v/>
      </c>
      <c r="T26" s="26">
        <f>IF(($A26/T$4)&gt;=31,0,INDEX(Data_EPA_Survival!$B$5:$B$36,INT(($A26/T$4))+1)+(($A26/T$4)-INT(($A26/T$4)))*(INDEX(Data_EPA_Survival!$B$5:$B$36,INT(($A26/T$4))+2)-INDEX(Data_EPA_Survival!$B$5:$B$36,INT(($A26/T$4))+1)))</f>
        <v/>
      </c>
    </row>
    <row r="27">
      <c r="A27" s="9" t="n">
        <v>21</v>
      </c>
      <c r="C27" s="26">
        <f>IF(($A27/C$4)&gt;=31,0,INDEX(Data_EPA_Survival!$B$5:$B$36,INT(($A27/C$4))+1)+(($A27/C$4)-INT(($A27/C$4)))*(INDEX(Data_EPA_Survival!$B$5:$B$36,INT(($A27/C$4))+2)-INDEX(Data_EPA_Survival!$B$5:$B$36,INT(($A27/C$4))+1)))</f>
        <v/>
      </c>
      <c r="D27" s="26">
        <f>IF(($A27/D$4)&gt;=31,0,INDEX(Data_EPA_Survival!$B$5:$B$36,INT(($A27/D$4))+1)+(($A27/D$4)-INT(($A27/D$4)))*(INDEX(Data_EPA_Survival!$B$5:$B$36,INT(($A27/D$4))+2)-INDEX(Data_EPA_Survival!$B$5:$B$36,INT(($A27/D$4))+1)))</f>
        <v/>
      </c>
      <c r="E27" s="26">
        <f>IF(($A27/E$4)&gt;=31,0,INDEX(Data_EPA_Survival!$B$5:$B$36,INT(($A27/E$4))+1)+(($A27/E$4)-INT(($A27/E$4)))*(INDEX(Data_EPA_Survival!$B$5:$B$36,INT(($A27/E$4))+2)-INDEX(Data_EPA_Survival!$B$5:$B$36,INT(($A27/E$4))+1)))</f>
        <v/>
      </c>
      <c r="F27" s="26">
        <f>IF(($A27/F$4)&gt;=31,0,INDEX(Data_EPA_Survival!$B$5:$B$36,INT(($A27/F$4))+1)+(($A27/F$4)-INT(($A27/F$4)))*(INDEX(Data_EPA_Survival!$B$5:$B$36,INT(($A27/F$4))+2)-INDEX(Data_EPA_Survival!$B$5:$B$36,INT(($A27/F$4))+1)))</f>
        <v/>
      </c>
      <c r="G27" s="26">
        <f>IF(($A27/G$4)&gt;=31,0,INDEX(Data_EPA_Survival!$B$5:$B$36,INT(($A27/G$4))+1)+(($A27/G$4)-INT(($A27/G$4)))*(INDEX(Data_EPA_Survival!$B$5:$B$36,INT(($A27/G$4))+2)-INDEX(Data_EPA_Survival!$B$5:$B$36,INT(($A27/G$4))+1)))</f>
        <v/>
      </c>
      <c r="H27" s="26">
        <f>IF(($A27/H$4)&gt;=31,0,INDEX(Data_EPA_Survival!$B$5:$B$36,INT(($A27/H$4))+1)+(($A27/H$4)-INT(($A27/H$4)))*(INDEX(Data_EPA_Survival!$B$5:$B$36,INT(($A27/H$4))+2)-INDEX(Data_EPA_Survival!$B$5:$B$36,INT(($A27/H$4))+1)))</f>
        <v/>
      </c>
      <c r="I27" s="26">
        <f>IF(($A27/I$4)&gt;=31,0,INDEX(Data_EPA_Survival!$B$5:$B$36,INT(($A27/I$4))+1)+(($A27/I$4)-INT(($A27/I$4)))*(INDEX(Data_EPA_Survival!$B$5:$B$36,INT(($A27/I$4))+2)-INDEX(Data_EPA_Survival!$B$5:$B$36,INT(($A27/I$4))+1)))</f>
        <v/>
      </c>
      <c r="J27" s="26">
        <f>IF(($A27/J$4)&gt;=31,0,INDEX(Data_EPA_Survival!$B$5:$B$36,INT(($A27/J$4))+1)+(($A27/J$4)-INT(($A27/J$4)))*(INDEX(Data_EPA_Survival!$B$5:$B$36,INT(($A27/J$4))+2)-INDEX(Data_EPA_Survival!$B$5:$B$36,INT(($A27/J$4))+1)))</f>
        <v/>
      </c>
      <c r="K27" s="26">
        <f>IF(($A27/K$4)&gt;=31,0,INDEX(Data_EPA_Survival!$B$5:$B$36,INT(($A27/K$4))+1)+(($A27/K$4)-INT(($A27/K$4)))*(INDEX(Data_EPA_Survival!$B$5:$B$36,INT(($A27/K$4))+2)-INDEX(Data_EPA_Survival!$B$5:$B$36,INT(($A27/K$4))+1)))</f>
        <v/>
      </c>
      <c r="L27" s="26">
        <f>IF(($A27/L$4)&gt;=31,0,INDEX(Data_EPA_Survival!$B$5:$B$36,INT(($A27/L$4))+1)+(($A27/L$4)-INT(($A27/L$4)))*(INDEX(Data_EPA_Survival!$B$5:$B$36,INT(($A27/L$4))+2)-INDEX(Data_EPA_Survival!$B$5:$B$36,INT(($A27/L$4))+1)))</f>
        <v/>
      </c>
      <c r="M27" s="26">
        <f>IF(($A27/M$4)&gt;=31,0,INDEX(Data_EPA_Survival!$B$5:$B$36,INT(($A27/M$4))+1)+(($A27/M$4)-INT(($A27/M$4)))*(INDEX(Data_EPA_Survival!$B$5:$B$36,INT(($A27/M$4))+2)-INDEX(Data_EPA_Survival!$B$5:$B$36,INT(($A27/M$4))+1)))</f>
        <v/>
      </c>
      <c r="N27" s="26">
        <f>IF(($A27/N$4)&gt;=31,0,INDEX(Data_EPA_Survival!$B$5:$B$36,INT(($A27/N$4))+1)+(($A27/N$4)-INT(($A27/N$4)))*(INDEX(Data_EPA_Survival!$B$5:$B$36,INT(($A27/N$4))+2)-INDEX(Data_EPA_Survival!$B$5:$B$36,INT(($A27/N$4))+1)))</f>
        <v/>
      </c>
      <c r="O27" s="26">
        <f>IF(($A27/O$4)&gt;=31,0,INDEX(Data_EPA_Survival!$B$5:$B$36,INT(($A27/O$4))+1)+(($A27/O$4)-INT(($A27/O$4)))*(INDEX(Data_EPA_Survival!$B$5:$B$36,INT(($A27/O$4))+2)-INDEX(Data_EPA_Survival!$B$5:$B$36,INT(($A27/O$4))+1)))</f>
        <v/>
      </c>
      <c r="P27" s="26">
        <f>IF(($A27/P$4)&gt;=31,0,INDEX(Data_EPA_Survival!$B$5:$B$36,INT(($A27/P$4))+1)+(($A27/P$4)-INT(($A27/P$4)))*(INDEX(Data_EPA_Survival!$B$5:$B$36,INT(($A27/P$4))+2)-INDEX(Data_EPA_Survival!$B$5:$B$36,INT(($A27/P$4))+1)))</f>
        <v/>
      </c>
      <c r="Q27" s="26">
        <f>IF(($A27/Q$4)&gt;=31,0,INDEX(Data_EPA_Survival!$B$5:$B$36,INT(($A27/Q$4))+1)+(($A27/Q$4)-INT(($A27/Q$4)))*(INDEX(Data_EPA_Survival!$B$5:$B$36,INT(($A27/Q$4))+2)-INDEX(Data_EPA_Survival!$B$5:$B$36,INT(($A27/Q$4))+1)))</f>
        <v/>
      </c>
      <c r="R27" s="26">
        <f>IF(($A27/R$4)&gt;=31,0,INDEX(Data_EPA_Survival!$B$5:$B$36,INT(($A27/R$4))+1)+(($A27/R$4)-INT(($A27/R$4)))*(INDEX(Data_EPA_Survival!$B$5:$B$36,INT(($A27/R$4))+2)-INDEX(Data_EPA_Survival!$B$5:$B$36,INT(($A27/R$4))+1)))</f>
        <v/>
      </c>
      <c r="S27" s="26">
        <f>IF(($A27/S$4)&gt;=31,0,INDEX(Data_EPA_Survival!$B$5:$B$36,INT(($A27/S$4))+1)+(($A27/S$4)-INT(($A27/S$4)))*(INDEX(Data_EPA_Survival!$B$5:$B$36,INT(($A27/S$4))+2)-INDEX(Data_EPA_Survival!$B$5:$B$36,INT(($A27/S$4))+1)))</f>
        <v/>
      </c>
      <c r="T27" s="26">
        <f>IF(($A27/T$4)&gt;=31,0,INDEX(Data_EPA_Survival!$B$5:$B$36,INT(($A27/T$4))+1)+(($A27/T$4)-INT(($A27/T$4)))*(INDEX(Data_EPA_Survival!$B$5:$B$36,INT(($A27/T$4))+2)-INDEX(Data_EPA_Survival!$B$5:$B$36,INT(($A27/T$4))+1)))</f>
        <v/>
      </c>
    </row>
    <row r="28">
      <c r="A28" s="9" t="n">
        <v>22</v>
      </c>
      <c r="C28" s="26">
        <f>IF(($A28/C$4)&gt;=31,0,INDEX(Data_EPA_Survival!$B$5:$B$36,INT(($A28/C$4))+1)+(($A28/C$4)-INT(($A28/C$4)))*(INDEX(Data_EPA_Survival!$B$5:$B$36,INT(($A28/C$4))+2)-INDEX(Data_EPA_Survival!$B$5:$B$36,INT(($A28/C$4))+1)))</f>
        <v/>
      </c>
      <c r="D28" s="26">
        <f>IF(($A28/D$4)&gt;=31,0,INDEX(Data_EPA_Survival!$B$5:$B$36,INT(($A28/D$4))+1)+(($A28/D$4)-INT(($A28/D$4)))*(INDEX(Data_EPA_Survival!$B$5:$B$36,INT(($A28/D$4))+2)-INDEX(Data_EPA_Survival!$B$5:$B$36,INT(($A28/D$4))+1)))</f>
        <v/>
      </c>
      <c r="E28" s="26">
        <f>IF(($A28/E$4)&gt;=31,0,INDEX(Data_EPA_Survival!$B$5:$B$36,INT(($A28/E$4))+1)+(($A28/E$4)-INT(($A28/E$4)))*(INDEX(Data_EPA_Survival!$B$5:$B$36,INT(($A28/E$4))+2)-INDEX(Data_EPA_Survival!$B$5:$B$36,INT(($A28/E$4))+1)))</f>
        <v/>
      </c>
      <c r="F28" s="26">
        <f>IF(($A28/F$4)&gt;=31,0,INDEX(Data_EPA_Survival!$B$5:$B$36,INT(($A28/F$4))+1)+(($A28/F$4)-INT(($A28/F$4)))*(INDEX(Data_EPA_Survival!$B$5:$B$36,INT(($A28/F$4))+2)-INDEX(Data_EPA_Survival!$B$5:$B$36,INT(($A28/F$4))+1)))</f>
        <v/>
      </c>
      <c r="G28" s="26">
        <f>IF(($A28/G$4)&gt;=31,0,INDEX(Data_EPA_Survival!$B$5:$B$36,INT(($A28/G$4))+1)+(($A28/G$4)-INT(($A28/G$4)))*(INDEX(Data_EPA_Survival!$B$5:$B$36,INT(($A28/G$4))+2)-INDEX(Data_EPA_Survival!$B$5:$B$36,INT(($A28/G$4))+1)))</f>
        <v/>
      </c>
      <c r="H28" s="26">
        <f>IF(($A28/H$4)&gt;=31,0,INDEX(Data_EPA_Survival!$B$5:$B$36,INT(($A28/H$4))+1)+(($A28/H$4)-INT(($A28/H$4)))*(INDEX(Data_EPA_Survival!$B$5:$B$36,INT(($A28/H$4))+2)-INDEX(Data_EPA_Survival!$B$5:$B$36,INT(($A28/H$4))+1)))</f>
        <v/>
      </c>
      <c r="I28" s="26">
        <f>IF(($A28/I$4)&gt;=31,0,INDEX(Data_EPA_Survival!$B$5:$B$36,INT(($A28/I$4))+1)+(($A28/I$4)-INT(($A28/I$4)))*(INDEX(Data_EPA_Survival!$B$5:$B$36,INT(($A28/I$4))+2)-INDEX(Data_EPA_Survival!$B$5:$B$36,INT(($A28/I$4))+1)))</f>
        <v/>
      </c>
      <c r="J28" s="26">
        <f>IF(($A28/J$4)&gt;=31,0,INDEX(Data_EPA_Survival!$B$5:$B$36,INT(($A28/J$4))+1)+(($A28/J$4)-INT(($A28/J$4)))*(INDEX(Data_EPA_Survival!$B$5:$B$36,INT(($A28/J$4))+2)-INDEX(Data_EPA_Survival!$B$5:$B$36,INT(($A28/J$4))+1)))</f>
        <v/>
      </c>
      <c r="K28" s="26">
        <f>IF(($A28/K$4)&gt;=31,0,INDEX(Data_EPA_Survival!$B$5:$B$36,INT(($A28/K$4))+1)+(($A28/K$4)-INT(($A28/K$4)))*(INDEX(Data_EPA_Survival!$B$5:$B$36,INT(($A28/K$4))+2)-INDEX(Data_EPA_Survival!$B$5:$B$36,INT(($A28/K$4))+1)))</f>
        <v/>
      </c>
      <c r="L28" s="26">
        <f>IF(($A28/L$4)&gt;=31,0,INDEX(Data_EPA_Survival!$B$5:$B$36,INT(($A28/L$4))+1)+(($A28/L$4)-INT(($A28/L$4)))*(INDEX(Data_EPA_Survival!$B$5:$B$36,INT(($A28/L$4))+2)-INDEX(Data_EPA_Survival!$B$5:$B$36,INT(($A28/L$4))+1)))</f>
        <v/>
      </c>
      <c r="M28" s="26">
        <f>IF(($A28/M$4)&gt;=31,0,INDEX(Data_EPA_Survival!$B$5:$B$36,INT(($A28/M$4))+1)+(($A28/M$4)-INT(($A28/M$4)))*(INDEX(Data_EPA_Survival!$B$5:$B$36,INT(($A28/M$4))+2)-INDEX(Data_EPA_Survival!$B$5:$B$36,INT(($A28/M$4))+1)))</f>
        <v/>
      </c>
      <c r="N28" s="26">
        <f>IF(($A28/N$4)&gt;=31,0,INDEX(Data_EPA_Survival!$B$5:$B$36,INT(($A28/N$4))+1)+(($A28/N$4)-INT(($A28/N$4)))*(INDEX(Data_EPA_Survival!$B$5:$B$36,INT(($A28/N$4))+2)-INDEX(Data_EPA_Survival!$B$5:$B$36,INT(($A28/N$4))+1)))</f>
        <v/>
      </c>
      <c r="O28" s="26">
        <f>IF(($A28/O$4)&gt;=31,0,INDEX(Data_EPA_Survival!$B$5:$B$36,INT(($A28/O$4))+1)+(($A28/O$4)-INT(($A28/O$4)))*(INDEX(Data_EPA_Survival!$B$5:$B$36,INT(($A28/O$4))+2)-INDEX(Data_EPA_Survival!$B$5:$B$36,INT(($A28/O$4))+1)))</f>
        <v/>
      </c>
      <c r="P28" s="26">
        <f>IF(($A28/P$4)&gt;=31,0,INDEX(Data_EPA_Survival!$B$5:$B$36,INT(($A28/P$4))+1)+(($A28/P$4)-INT(($A28/P$4)))*(INDEX(Data_EPA_Survival!$B$5:$B$36,INT(($A28/P$4))+2)-INDEX(Data_EPA_Survival!$B$5:$B$36,INT(($A28/P$4))+1)))</f>
        <v/>
      </c>
      <c r="Q28" s="26">
        <f>IF(($A28/Q$4)&gt;=31,0,INDEX(Data_EPA_Survival!$B$5:$B$36,INT(($A28/Q$4))+1)+(($A28/Q$4)-INT(($A28/Q$4)))*(INDEX(Data_EPA_Survival!$B$5:$B$36,INT(($A28/Q$4))+2)-INDEX(Data_EPA_Survival!$B$5:$B$36,INT(($A28/Q$4))+1)))</f>
        <v/>
      </c>
      <c r="R28" s="26">
        <f>IF(($A28/R$4)&gt;=31,0,INDEX(Data_EPA_Survival!$B$5:$B$36,INT(($A28/R$4))+1)+(($A28/R$4)-INT(($A28/R$4)))*(INDEX(Data_EPA_Survival!$B$5:$B$36,INT(($A28/R$4))+2)-INDEX(Data_EPA_Survival!$B$5:$B$36,INT(($A28/R$4))+1)))</f>
        <v/>
      </c>
      <c r="S28" s="26">
        <f>IF(($A28/S$4)&gt;=31,0,INDEX(Data_EPA_Survival!$B$5:$B$36,INT(($A28/S$4))+1)+(($A28/S$4)-INT(($A28/S$4)))*(INDEX(Data_EPA_Survival!$B$5:$B$36,INT(($A28/S$4))+2)-INDEX(Data_EPA_Survival!$B$5:$B$36,INT(($A28/S$4))+1)))</f>
        <v/>
      </c>
      <c r="T28" s="26">
        <f>IF(($A28/T$4)&gt;=31,0,INDEX(Data_EPA_Survival!$B$5:$B$36,INT(($A28/T$4))+1)+(($A28/T$4)-INT(($A28/T$4)))*(INDEX(Data_EPA_Survival!$B$5:$B$36,INT(($A28/T$4))+2)-INDEX(Data_EPA_Survival!$B$5:$B$36,INT(($A28/T$4))+1)))</f>
        <v/>
      </c>
    </row>
    <row r="29">
      <c r="A29" s="9" t="n">
        <v>23</v>
      </c>
      <c r="C29" s="26">
        <f>IF(($A29/C$4)&gt;=31,0,INDEX(Data_EPA_Survival!$B$5:$B$36,INT(($A29/C$4))+1)+(($A29/C$4)-INT(($A29/C$4)))*(INDEX(Data_EPA_Survival!$B$5:$B$36,INT(($A29/C$4))+2)-INDEX(Data_EPA_Survival!$B$5:$B$36,INT(($A29/C$4))+1)))</f>
        <v/>
      </c>
      <c r="D29" s="26">
        <f>IF(($A29/D$4)&gt;=31,0,INDEX(Data_EPA_Survival!$B$5:$B$36,INT(($A29/D$4))+1)+(($A29/D$4)-INT(($A29/D$4)))*(INDEX(Data_EPA_Survival!$B$5:$B$36,INT(($A29/D$4))+2)-INDEX(Data_EPA_Survival!$B$5:$B$36,INT(($A29/D$4))+1)))</f>
        <v/>
      </c>
      <c r="E29" s="26">
        <f>IF(($A29/E$4)&gt;=31,0,INDEX(Data_EPA_Survival!$B$5:$B$36,INT(($A29/E$4))+1)+(($A29/E$4)-INT(($A29/E$4)))*(INDEX(Data_EPA_Survival!$B$5:$B$36,INT(($A29/E$4))+2)-INDEX(Data_EPA_Survival!$B$5:$B$36,INT(($A29/E$4))+1)))</f>
        <v/>
      </c>
      <c r="F29" s="26">
        <f>IF(($A29/F$4)&gt;=31,0,INDEX(Data_EPA_Survival!$B$5:$B$36,INT(($A29/F$4))+1)+(($A29/F$4)-INT(($A29/F$4)))*(INDEX(Data_EPA_Survival!$B$5:$B$36,INT(($A29/F$4))+2)-INDEX(Data_EPA_Survival!$B$5:$B$36,INT(($A29/F$4))+1)))</f>
        <v/>
      </c>
      <c r="G29" s="26">
        <f>IF(($A29/G$4)&gt;=31,0,INDEX(Data_EPA_Survival!$B$5:$B$36,INT(($A29/G$4))+1)+(($A29/G$4)-INT(($A29/G$4)))*(INDEX(Data_EPA_Survival!$B$5:$B$36,INT(($A29/G$4))+2)-INDEX(Data_EPA_Survival!$B$5:$B$36,INT(($A29/G$4))+1)))</f>
        <v/>
      </c>
      <c r="H29" s="26">
        <f>IF(($A29/H$4)&gt;=31,0,INDEX(Data_EPA_Survival!$B$5:$B$36,INT(($A29/H$4))+1)+(($A29/H$4)-INT(($A29/H$4)))*(INDEX(Data_EPA_Survival!$B$5:$B$36,INT(($A29/H$4))+2)-INDEX(Data_EPA_Survival!$B$5:$B$36,INT(($A29/H$4))+1)))</f>
        <v/>
      </c>
      <c r="I29" s="26">
        <f>IF(($A29/I$4)&gt;=31,0,INDEX(Data_EPA_Survival!$B$5:$B$36,INT(($A29/I$4))+1)+(($A29/I$4)-INT(($A29/I$4)))*(INDEX(Data_EPA_Survival!$B$5:$B$36,INT(($A29/I$4))+2)-INDEX(Data_EPA_Survival!$B$5:$B$36,INT(($A29/I$4))+1)))</f>
        <v/>
      </c>
      <c r="J29" s="26">
        <f>IF(($A29/J$4)&gt;=31,0,INDEX(Data_EPA_Survival!$B$5:$B$36,INT(($A29/J$4))+1)+(($A29/J$4)-INT(($A29/J$4)))*(INDEX(Data_EPA_Survival!$B$5:$B$36,INT(($A29/J$4))+2)-INDEX(Data_EPA_Survival!$B$5:$B$36,INT(($A29/J$4))+1)))</f>
        <v/>
      </c>
      <c r="K29" s="26">
        <f>IF(($A29/K$4)&gt;=31,0,INDEX(Data_EPA_Survival!$B$5:$B$36,INT(($A29/K$4))+1)+(($A29/K$4)-INT(($A29/K$4)))*(INDEX(Data_EPA_Survival!$B$5:$B$36,INT(($A29/K$4))+2)-INDEX(Data_EPA_Survival!$B$5:$B$36,INT(($A29/K$4))+1)))</f>
        <v/>
      </c>
      <c r="L29" s="26">
        <f>IF(($A29/L$4)&gt;=31,0,INDEX(Data_EPA_Survival!$B$5:$B$36,INT(($A29/L$4))+1)+(($A29/L$4)-INT(($A29/L$4)))*(INDEX(Data_EPA_Survival!$B$5:$B$36,INT(($A29/L$4))+2)-INDEX(Data_EPA_Survival!$B$5:$B$36,INT(($A29/L$4))+1)))</f>
        <v/>
      </c>
      <c r="M29" s="26">
        <f>IF(($A29/M$4)&gt;=31,0,INDEX(Data_EPA_Survival!$B$5:$B$36,INT(($A29/M$4))+1)+(($A29/M$4)-INT(($A29/M$4)))*(INDEX(Data_EPA_Survival!$B$5:$B$36,INT(($A29/M$4))+2)-INDEX(Data_EPA_Survival!$B$5:$B$36,INT(($A29/M$4))+1)))</f>
        <v/>
      </c>
      <c r="N29" s="26">
        <f>IF(($A29/N$4)&gt;=31,0,INDEX(Data_EPA_Survival!$B$5:$B$36,INT(($A29/N$4))+1)+(($A29/N$4)-INT(($A29/N$4)))*(INDEX(Data_EPA_Survival!$B$5:$B$36,INT(($A29/N$4))+2)-INDEX(Data_EPA_Survival!$B$5:$B$36,INT(($A29/N$4))+1)))</f>
        <v/>
      </c>
      <c r="O29" s="26">
        <f>IF(($A29/O$4)&gt;=31,0,INDEX(Data_EPA_Survival!$B$5:$B$36,INT(($A29/O$4))+1)+(($A29/O$4)-INT(($A29/O$4)))*(INDEX(Data_EPA_Survival!$B$5:$B$36,INT(($A29/O$4))+2)-INDEX(Data_EPA_Survival!$B$5:$B$36,INT(($A29/O$4))+1)))</f>
        <v/>
      </c>
      <c r="P29" s="26">
        <f>IF(($A29/P$4)&gt;=31,0,INDEX(Data_EPA_Survival!$B$5:$B$36,INT(($A29/P$4))+1)+(($A29/P$4)-INT(($A29/P$4)))*(INDEX(Data_EPA_Survival!$B$5:$B$36,INT(($A29/P$4))+2)-INDEX(Data_EPA_Survival!$B$5:$B$36,INT(($A29/P$4))+1)))</f>
        <v/>
      </c>
      <c r="Q29" s="26">
        <f>IF(($A29/Q$4)&gt;=31,0,INDEX(Data_EPA_Survival!$B$5:$B$36,INT(($A29/Q$4))+1)+(($A29/Q$4)-INT(($A29/Q$4)))*(INDEX(Data_EPA_Survival!$B$5:$B$36,INT(($A29/Q$4))+2)-INDEX(Data_EPA_Survival!$B$5:$B$36,INT(($A29/Q$4))+1)))</f>
        <v/>
      </c>
      <c r="R29" s="26">
        <f>IF(($A29/R$4)&gt;=31,0,INDEX(Data_EPA_Survival!$B$5:$B$36,INT(($A29/R$4))+1)+(($A29/R$4)-INT(($A29/R$4)))*(INDEX(Data_EPA_Survival!$B$5:$B$36,INT(($A29/R$4))+2)-INDEX(Data_EPA_Survival!$B$5:$B$36,INT(($A29/R$4))+1)))</f>
        <v/>
      </c>
      <c r="S29" s="26">
        <f>IF(($A29/S$4)&gt;=31,0,INDEX(Data_EPA_Survival!$B$5:$B$36,INT(($A29/S$4))+1)+(($A29/S$4)-INT(($A29/S$4)))*(INDEX(Data_EPA_Survival!$B$5:$B$36,INT(($A29/S$4))+2)-INDEX(Data_EPA_Survival!$B$5:$B$36,INT(($A29/S$4))+1)))</f>
        <v/>
      </c>
      <c r="T29" s="26">
        <f>IF(($A29/T$4)&gt;=31,0,INDEX(Data_EPA_Survival!$B$5:$B$36,INT(($A29/T$4))+1)+(($A29/T$4)-INT(($A29/T$4)))*(INDEX(Data_EPA_Survival!$B$5:$B$36,INT(($A29/T$4))+2)-INDEX(Data_EPA_Survival!$B$5:$B$36,INT(($A29/T$4))+1)))</f>
        <v/>
      </c>
    </row>
    <row r="30">
      <c r="A30" s="9" t="n">
        <v>24</v>
      </c>
      <c r="C30" s="26">
        <f>IF(($A30/C$4)&gt;=31,0,INDEX(Data_EPA_Survival!$B$5:$B$36,INT(($A30/C$4))+1)+(($A30/C$4)-INT(($A30/C$4)))*(INDEX(Data_EPA_Survival!$B$5:$B$36,INT(($A30/C$4))+2)-INDEX(Data_EPA_Survival!$B$5:$B$36,INT(($A30/C$4))+1)))</f>
        <v/>
      </c>
      <c r="D30" s="26">
        <f>IF(($A30/D$4)&gt;=31,0,INDEX(Data_EPA_Survival!$B$5:$B$36,INT(($A30/D$4))+1)+(($A30/D$4)-INT(($A30/D$4)))*(INDEX(Data_EPA_Survival!$B$5:$B$36,INT(($A30/D$4))+2)-INDEX(Data_EPA_Survival!$B$5:$B$36,INT(($A30/D$4))+1)))</f>
        <v/>
      </c>
      <c r="E30" s="26">
        <f>IF(($A30/E$4)&gt;=31,0,INDEX(Data_EPA_Survival!$B$5:$B$36,INT(($A30/E$4))+1)+(($A30/E$4)-INT(($A30/E$4)))*(INDEX(Data_EPA_Survival!$B$5:$B$36,INT(($A30/E$4))+2)-INDEX(Data_EPA_Survival!$B$5:$B$36,INT(($A30/E$4))+1)))</f>
        <v/>
      </c>
      <c r="F30" s="26">
        <f>IF(($A30/F$4)&gt;=31,0,INDEX(Data_EPA_Survival!$B$5:$B$36,INT(($A30/F$4))+1)+(($A30/F$4)-INT(($A30/F$4)))*(INDEX(Data_EPA_Survival!$B$5:$B$36,INT(($A30/F$4))+2)-INDEX(Data_EPA_Survival!$B$5:$B$36,INT(($A30/F$4))+1)))</f>
        <v/>
      </c>
      <c r="G30" s="26">
        <f>IF(($A30/G$4)&gt;=31,0,INDEX(Data_EPA_Survival!$B$5:$B$36,INT(($A30/G$4))+1)+(($A30/G$4)-INT(($A30/G$4)))*(INDEX(Data_EPA_Survival!$B$5:$B$36,INT(($A30/G$4))+2)-INDEX(Data_EPA_Survival!$B$5:$B$36,INT(($A30/G$4))+1)))</f>
        <v/>
      </c>
      <c r="H30" s="26">
        <f>IF(($A30/H$4)&gt;=31,0,INDEX(Data_EPA_Survival!$B$5:$B$36,INT(($A30/H$4))+1)+(($A30/H$4)-INT(($A30/H$4)))*(INDEX(Data_EPA_Survival!$B$5:$B$36,INT(($A30/H$4))+2)-INDEX(Data_EPA_Survival!$B$5:$B$36,INT(($A30/H$4))+1)))</f>
        <v/>
      </c>
      <c r="I30" s="26">
        <f>IF(($A30/I$4)&gt;=31,0,INDEX(Data_EPA_Survival!$B$5:$B$36,INT(($A30/I$4))+1)+(($A30/I$4)-INT(($A30/I$4)))*(INDEX(Data_EPA_Survival!$B$5:$B$36,INT(($A30/I$4))+2)-INDEX(Data_EPA_Survival!$B$5:$B$36,INT(($A30/I$4))+1)))</f>
        <v/>
      </c>
      <c r="J30" s="26">
        <f>IF(($A30/J$4)&gt;=31,0,INDEX(Data_EPA_Survival!$B$5:$B$36,INT(($A30/J$4))+1)+(($A30/J$4)-INT(($A30/J$4)))*(INDEX(Data_EPA_Survival!$B$5:$B$36,INT(($A30/J$4))+2)-INDEX(Data_EPA_Survival!$B$5:$B$36,INT(($A30/J$4))+1)))</f>
        <v/>
      </c>
      <c r="K30" s="26">
        <f>IF(($A30/K$4)&gt;=31,0,INDEX(Data_EPA_Survival!$B$5:$B$36,INT(($A30/K$4))+1)+(($A30/K$4)-INT(($A30/K$4)))*(INDEX(Data_EPA_Survival!$B$5:$B$36,INT(($A30/K$4))+2)-INDEX(Data_EPA_Survival!$B$5:$B$36,INT(($A30/K$4))+1)))</f>
        <v/>
      </c>
      <c r="L30" s="26">
        <f>IF(($A30/L$4)&gt;=31,0,INDEX(Data_EPA_Survival!$B$5:$B$36,INT(($A30/L$4))+1)+(($A30/L$4)-INT(($A30/L$4)))*(INDEX(Data_EPA_Survival!$B$5:$B$36,INT(($A30/L$4))+2)-INDEX(Data_EPA_Survival!$B$5:$B$36,INT(($A30/L$4))+1)))</f>
        <v/>
      </c>
      <c r="M30" s="26">
        <f>IF(($A30/M$4)&gt;=31,0,INDEX(Data_EPA_Survival!$B$5:$B$36,INT(($A30/M$4))+1)+(($A30/M$4)-INT(($A30/M$4)))*(INDEX(Data_EPA_Survival!$B$5:$B$36,INT(($A30/M$4))+2)-INDEX(Data_EPA_Survival!$B$5:$B$36,INT(($A30/M$4))+1)))</f>
        <v/>
      </c>
      <c r="N30" s="26">
        <f>IF(($A30/N$4)&gt;=31,0,INDEX(Data_EPA_Survival!$B$5:$B$36,INT(($A30/N$4))+1)+(($A30/N$4)-INT(($A30/N$4)))*(INDEX(Data_EPA_Survival!$B$5:$B$36,INT(($A30/N$4))+2)-INDEX(Data_EPA_Survival!$B$5:$B$36,INT(($A30/N$4))+1)))</f>
        <v/>
      </c>
      <c r="O30" s="26">
        <f>IF(($A30/O$4)&gt;=31,0,INDEX(Data_EPA_Survival!$B$5:$B$36,INT(($A30/O$4))+1)+(($A30/O$4)-INT(($A30/O$4)))*(INDEX(Data_EPA_Survival!$B$5:$B$36,INT(($A30/O$4))+2)-INDEX(Data_EPA_Survival!$B$5:$B$36,INT(($A30/O$4))+1)))</f>
        <v/>
      </c>
      <c r="P30" s="26">
        <f>IF(($A30/P$4)&gt;=31,0,INDEX(Data_EPA_Survival!$B$5:$B$36,INT(($A30/P$4))+1)+(($A30/P$4)-INT(($A30/P$4)))*(INDEX(Data_EPA_Survival!$B$5:$B$36,INT(($A30/P$4))+2)-INDEX(Data_EPA_Survival!$B$5:$B$36,INT(($A30/P$4))+1)))</f>
        <v/>
      </c>
      <c r="Q30" s="26">
        <f>IF(($A30/Q$4)&gt;=31,0,INDEX(Data_EPA_Survival!$B$5:$B$36,INT(($A30/Q$4))+1)+(($A30/Q$4)-INT(($A30/Q$4)))*(INDEX(Data_EPA_Survival!$B$5:$B$36,INT(($A30/Q$4))+2)-INDEX(Data_EPA_Survival!$B$5:$B$36,INT(($A30/Q$4))+1)))</f>
        <v/>
      </c>
      <c r="R30" s="26">
        <f>IF(($A30/R$4)&gt;=31,0,INDEX(Data_EPA_Survival!$B$5:$B$36,INT(($A30/R$4))+1)+(($A30/R$4)-INT(($A30/R$4)))*(INDEX(Data_EPA_Survival!$B$5:$B$36,INT(($A30/R$4))+2)-INDEX(Data_EPA_Survival!$B$5:$B$36,INT(($A30/R$4))+1)))</f>
        <v/>
      </c>
      <c r="S30" s="26">
        <f>IF(($A30/S$4)&gt;=31,0,INDEX(Data_EPA_Survival!$B$5:$B$36,INT(($A30/S$4))+1)+(($A30/S$4)-INT(($A30/S$4)))*(INDEX(Data_EPA_Survival!$B$5:$B$36,INT(($A30/S$4))+2)-INDEX(Data_EPA_Survival!$B$5:$B$36,INT(($A30/S$4))+1)))</f>
        <v/>
      </c>
      <c r="T30" s="26">
        <f>IF(($A30/T$4)&gt;=31,0,INDEX(Data_EPA_Survival!$B$5:$B$36,INT(($A30/T$4))+1)+(($A30/T$4)-INT(($A30/T$4)))*(INDEX(Data_EPA_Survival!$B$5:$B$36,INT(($A30/T$4))+2)-INDEX(Data_EPA_Survival!$B$5:$B$36,INT(($A30/T$4))+1)))</f>
        <v/>
      </c>
    </row>
    <row r="31">
      <c r="A31" s="9" t="n">
        <v>25</v>
      </c>
      <c r="C31" s="26">
        <f>IF(($A31/C$4)&gt;=31,0,INDEX(Data_EPA_Survival!$B$5:$B$36,INT(($A31/C$4))+1)+(($A31/C$4)-INT(($A31/C$4)))*(INDEX(Data_EPA_Survival!$B$5:$B$36,INT(($A31/C$4))+2)-INDEX(Data_EPA_Survival!$B$5:$B$36,INT(($A31/C$4))+1)))</f>
        <v/>
      </c>
      <c r="D31" s="26">
        <f>IF(($A31/D$4)&gt;=31,0,INDEX(Data_EPA_Survival!$B$5:$B$36,INT(($A31/D$4))+1)+(($A31/D$4)-INT(($A31/D$4)))*(INDEX(Data_EPA_Survival!$B$5:$B$36,INT(($A31/D$4))+2)-INDEX(Data_EPA_Survival!$B$5:$B$36,INT(($A31/D$4))+1)))</f>
        <v/>
      </c>
      <c r="E31" s="26">
        <f>IF(($A31/E$4)&gt;=31,0,INDEX(Data_EPA_Survival!$B$5:$B$36,INT(($A31/E$4))+1)+(($A31/E$4)-INT(($A31/E$4)))*(INDEX(Data_EPA_Survival!$B$5:$B$36,INT(($A31/E$4))+2)-INDEX(Data_EPA_Survival!$B$5:$B$36,INT(($A31/E$4))+1)))</f>
        <v/>
      </c>
      <c r="F31" s="26">
        <f>IF(($A31/F$4)&gt;=31,0,INDEX(Data_EPA_Survival!$B$5:$B$36,INT(($A31/F$4))+1)+(($A31/F$4)-INT(($A31/F$4)))*(INDEX(Data_EPA_Survival!$B$5:$B$36,INT(($A31/F$4))+2)-INDEX(Data_EPA_Survival!$B$5:$B$36,INT(($A31/F$4))+1)))</f>
        <v/>
      </c>
      <c r="G31" s="26">
        <f>IF(($A31/G$4)&gt;=31,0,INDEX(Data_EPA_Survival!$B$5:$B$36,INT(($A31/G$4))+1)+(($A31/G$4)-INT(($A31/G$4)))*(INDEX(Data_EPA_Survival!$B$5:$B$36,INT(($A31/G$4))+2)-INDEX(Data_EPA_Survival!$B$5:$B$36,INT(($A31/G$4))+1)))</f>
        <v/>
      </c>
      <c r="H31" s="26">
        <f>IF(($A31/H$4)&gt;=31,0,INDEX(Data_EPA_Survival!$B$5:$B$36,INT(($A31/H$4))+1)+(($A31/H$4)-INT(($A31/H$4)))*(INDEX(Data_EPA_Survival!$B$5:$B$36,INT(($A31/H$4))+2)-INDEX(Data_EPA_Survival!$B$5:$B$36,INT(($A31/H$4))+1)))</f>
        <v/>
      </c>
      <c r="I31" s="26">
        <f>IF(($A31/I$4)&gt;=31,0,INDEX(Data_EPA_Survival!$B$5:$B$36,INT(($A31/I$4))+1)+(($A31/I$4)-INT(($A31/I$4)))*(INDEX(Data_EPA_Survival!$B$5:$B$36,INT(($A31/I$4))+2)-INDEX(Data_EPA_Survival!$B$5:$B$36,INT(($A31/I$4))+1)))</f>
        <v/>
      </c>
      <c r="J31" s="26">
        <f>IF(($A31/J$4)&gt;=31,0,INDEX(Data_EPA_Survival!$B$5:$B$36,INT(($A31/J$4))+1)+(($A31/J$4)-INT(($A31/J$4)))*(INDEX(Data_EPA_Survival!$B$5:$B$36,INT(($A31/J$4))+2)-INDEX(Data_EPA_Survival!$B$5:$B$36,INT(($A31/J$4))+1)))</f>
        <v/>
      </c>
      <c r="K31" s="26">
        <f>IF(($A31/K$4)&gt;=31,0,INDEX(Data_EPA_Survival!$B$5:$B$36,INT(($A31/K$4))+1)+(($A31/K$4)-INT(($A31/K$4)))*(INDEX(Data_EPA_Survival!$B$5:$B$36,INT(($A31/K$4))+2)-INDEX(Data_EPA_Survival!$B$5:$B$36,INT(($A31/K$4))+1)))</f>
        <v/>
      </c>
      <c r="L31" s="26">
        <f>IF(($A31/L$4)&gt;=31,0,INDEX(Data_EPA_Survival!$B$5:$B$36,INT(($A31/L$4))+1)+(($A31/L$4)-INT(($A31/L$4)))*(INDEX(Data_EPA_Survival!$B$5:$B$36,INT(($A31/L$4))+2)-INDEX(Data_EPA_Survival!$B$5:$B$36,INT(($A31/L$4))+1)))</f>
        <v/>
      </c>
      <c r="M31" s="26">
        <f>IF(($A31/M$4)&gt;=31,0,INDEX(Data_EPA_Survival!$B$5:$B$36,INT(($A31/M$4))+1)+(($A31/M$4)-INT(($A31/M$4)))*(INDEX(Data_EPA_Survival!$B$5:$B$36,INT(($A31/M$4))+2)-INDEX(Data_EPA_Survival!$B$5:$B$36,INT(($A31/M$4))+1)))</f>
        <v/>
      </c>
      <c r="N31" s="26">
        <f>IF(($A31/N$4)&gt;=31,0,INDEX(Data_EPA_Survival!$B$5:$B$36,INT(($A31/N$4))+1)+(($A31/N$4)-INT(($A31/N$4)))*(INDEX(Data_EPA_Survival!$B$5:$B$36,INT(($A31/N$4))+2)-INDEX(Data_EPA_Survival!$B$5:$B$36,INT(($A31/N$4))+1)))</f>
        <v/>
      </c>
      <c r="O31" s="26">
        <f>IF(($A31/O$4)&gt;=31,0,INDEX(Data_EPA_Survival!$B$5:$B$36,INT(($A31/O$4))+1)+(($A31/O$4)-INT(($A31/O$4)))*(INDEX(Data_EPA_Survival!$B$5:$B$36,INT(($A31/O$4))+2)-INDEX(Data_EPA_Survival!$B$5:$B$36,INT(($A31/O$4))+1)))</f>
        <v/>
      </c>
      <c r="P31" s="26">
        <f>IF(($A31/P$4)&gt;=31,0,INDEX(Data_EPA_Survival!$B$5:$B$36,INT(($A31/P$4))+1)+(($A31/P$4)-INT(($A31/P$4)))*(INDEX(Data_EPA_Survival!$B$5:$B$36,INT(($A31/P$4))+2)-INDEX(Data_EPA_Survival!$B$5:$B$36,INT(($A31/P$4))+1)))</f>
        <v/>
      </c>
      <c r="Q31" s="26">
        <f>IF(($A31/Q$4)&gt;=31,0,INDEX(Data_EPA_Survival!$B$5:$B$36,INT(($A31/Q$4))+1)+(($A31/Q$4)-INT(($A31/Q$4)))*(INDEX(Data_EPA_Survival!$B$5:$B$36,INT(($A31/Q$4))+2)-INDEX(Data_EPA_Survival!$B$5:$B$36,INT(($A31/Q$4))+1)))</f>
        <v/>
      </c>
      <c r="R31" s="26">
        <f>IF(($A31/R$4)&gt;=31,0,INDEX(Data_EPA_Survival!$B$5:$B$36,INT(($A31/R$4))+1)+(($A31/R$4)-INT(($A31/R$4)))*(INDEX(Data_EPA_Survival!$B$5:$B$36,INT(($A31/R$4))+2)-INDEX(Data_EPA_Survival!$B$5:$B$36,INT(($A31/R$4))+1)))</f>
        <v/>
      </c>
      <c r="S31" s="26">
        <f>IF(($A31/S$4)&gt;=31,0,INDEX(Data_EPA_Survival!$B$5:$B$36,INT(($A31/S$4))+1)+(($A31/S$4)-INT(($A31/S$4)))*(INDEX(Data_EPA_Survival!$B$5:$B$36,INT(($A31/S$4))+2)-INDEX(Data_EPA_Survival!$B$5:$B$36,INT(($A31/S$4))+1)))</f>
        <v/>
      </c>
      <c r="T31" s="26">
        <f>IF(($A31/T$4)&gt;=31,0,INDEX(Data_EPA_Survival!$B$5:$B$36,INT(($A31/T$4))+1)+(($A31/T$4)-INT(($A31/T$4)))*(INDEX(Data_EPA_Survival!$B$5:$B$36,INT(($A31/T$4))+2)-INDEX(Data_EPA_Survival!$B$5:$B$36,INT(($A31/T$4))+1)))</f>
        <v/>
      </c>
    </row>
    <row r="32">
      <c r="A32" s="9" t="n">
        <v>26</v>
      </c>
      <c r="C32" s="26">
        <f>IF(($A32/C$4)&gt;=31,0,INDEX(Data_EPA_Survival!$B$5:$B$36,INT(($A32/C$4))+1)+(($A32/C$4)-INT(($A32/C$4)))*(INDEX(Data_EPA_Survival!$B$5:$B$36,INT(($A32/C$4))+2)-INDEX(Data_EPA_Survival!$B$5:$B$36,INT(($A32/C$4))+1)))</f>
        <v/>
      </c>
      <c r="D32" s="26">
        <f>IF(($A32/D$4)&gt;=31,0,INDEX(Data_EPA_Survival!$B$5:$B$36,INT(($A32/D$4))+1)+(($A32/D$4)-INT(($A32/D$4)))*(INDEX(Data_EPA_Survival!$B$5:$B$36,INT(($A32/D$4))+2)-INDEX(Data_EPA_Survival!$B$5:$B$36,INT(($A32/D$4))+1)))</f>
        <v/>
      </c>
      <c r="E32" s="26">
        <f>IF(($A32/E$4)&gt;=31,0,INDEX(Data_EPA_Survival!$B$5:$B$36,INT(($A32/E$4))+1)+(($A32/E$4)-INT(($A32/E$4)))*(INDEX(Data_EPA_Survival!$B$5:$B$36,INT(($A32/E$4))+2)-INDEX(Data_EPA_Survival!$B$5:$B$36,INT(($A32/E$4))+1)))</f>
        <v/>
      </c>
      <c r="F32" s="26">
        <f>IF(($A32/F$4)&gt;=31,0,INDEX(Data_EPA_Survival!$B$5:$B$36,INT(($A32/F$4))+1)+(($A32/F$4)-INT(($A32/F$4)))*(INDEX(Data_EPA_Survival!$B$5:$B$36,INT(($A32/F$4))+2)-INDEX(Data_EPA_Survival!$B$5:$B$36,INT(($A32/F$4))+1)))</f>
        <v/>
      </c>
      <c r="G32" s="26">
        <f>IF(($A32/G$4)&gt;=31,0,INDEX(Data_EPA_Survival!$B$5:$B$36,INT(($A32/G$4))+1)+(($A32/G$4)-INT(($A32/G$4)))*(INDEX(Data_EPA_Survival!$B$5:$B$36,INT(($A32/G$4))+2)-INDEX(Data_EPA_Survival!$B$5:$B$36,INT(($A32/G$4))+1)))</f>
        <v/>
      </c>
      <c r="H32" s="26">
        <f>IF(($A32/H$4)&gt;=31,0,INDEX(Data_EPA_Survival!$B$5:$B$36,INT(($A32/H$4))+1)+(($A32/H$4)-INT(($A32/H$4)))*(INDEX(Data_EPA_Survival!$B$5:$B$36,INT(($A32/H$4))+2)-INDEX(Data_EPA_Survival!$B$5:$B$36,INT(($A32/H$4))+1)))</f>
        <v/>
      </c>
      <c r="I32" s="26">
        <f>IF(($A32/I$4)&gt;=31,0,INDEX(Data_EPA_Survival!$B$5:$B$36,INT(($A32/I$4))+1)+(($A32/I$4)-INT(($A32/I$4)))*(INDEX(Data_EPA_Survival!$B$5:$B$36,INT(($A32/I$4))+2)-INDEX(Data_EPA_Survival!$B$5:$B$36,INT(($A32/I$4))+1)))</f>
        <v/>
      </c>
      <c r="J32" s="26">
        <f>IF(($A32/J$4)&gt;=31,0,INDEX(Data_EPA_Survival!$B$5:$B$36,INT(($A32/J$4))+1)+(($A32/J$4)-INT(($A32/J$4)))*(INDEX(Data_EPA_Survival!$B$5:$B$36,INT(($A32/J$4))+2)-INDEX(Data_EPA_Survival!$B$5:$B$36,INT(($A32/J$4))+1)))</f>
        <v/>
      </c>
      <c r="K32" s="26">
        <f>IF(($A32/K$4)&gt;=31,0,INDEX(Data_EPA_Survival!$B$5:$B$36,INT(($A32/K$4))+1)+(($A32/K$4)-INT(($A32/K$4)))*(INDEX(Data_EPA_Survival!$B$5:$B$36,INT(($A32/K$4))+2)-INDEX(Data_EPA_Survival!$B$5:$B$36,INT(($A32/K$4))+1)))</f>
        <v/>
      </c>
      <c r="L32" s="26">
        <f>IF(($A32/L$4)&gt;=31,0,INDEX(Data_EPA_Survival!$B$5:$B$36,INT(($A32/L$4))+1)+(($A32/L$4)-INT(($A32/L$4)))*(INDEX(Data_EPA_Survival!$B$5:$B$36,INT(($A32/L$4))+2)-INDEX(Data_EPA_Survival!$B$5:$B$36,INT(($A32/L$4))+1)))</f>
        <v/>
      </c>
      <c r="M32" s="26">
        <f>IF(($A32/M$4)&gt;=31,0,INDEX(Data_EPA_Survival!$B$5:$B$36,INT(($A32/M$4))+1)+(($A32/M$4)-INT(($A32/M$4)))*(INDEX(Data_EPA_Survival!$B$5:$B$36,INT(($A32/M$4))+2)-INDEX(Data_EPA_Survival!$B$5:$B$36,INT(($A32/M$4))+1)))</f>
        <v/>
      </c>
      <c r="N32" s="26">
        <f>IF(($A32/N$4)&gt;=31,0,INDEX(Data_EPA_Survival!$B$5:$B$36,INT(($A32/N$4))+1)+(($A32/N$4)-INT(($A32/N$4)))*(INDEX(Data_EPA_Survival!$B$5:$B$36,INT(($A32/N$4))+2)-INDEX(Data_EPA_Survival!$B$5:$B$36,INT(($A32/N$4))+1)))</f>
        <v/>
      </c>
      <c r="O32" s="26">
        <f>IF(($A32/O$4)&gt;=31,0,INDEX(Data_EPA_Survival!$B$5:$B$36,INT(($A32/O$4))+1)+(($A32/O$4)-INT(($A32/O$4)))*(INDEX(Data_EPA_Survival!$B$5:$B$36,INT(($A32/O$4))+2)-INDEX(Data_EPA_Survival!$B$5:$B$36,INT(($A32/O$4))+1)))</f>
        <v/>
      </c>
      <c r="P32" s="26">
        <f>IF(($A32/P$4)&gt;=31,0,INDEX(Data_EPA_Survival!$B$5:$B$36,INT(($A32/P$4))+1)+(($A32/P$4)-INT(($A32/P$4)))*(INDEX(Data_EPA_Survival!$B$5:$B$36,INT(($A32/P$4))+2)-INDEX(Data_EPA_Survival!$B$5:$B$36,INT(($A32/P$4))+1)))</f>
        <v/>
      </c>
      <c r="Q32" s="26">
        <f>IF(($A32/Q$4)&gt;=31,0,INDEX(Data_EPA_Survival!$B$5:$B$36,INT(($A32/Q$4))+1)+(($A32/Q$4)-INT(($A32/Q$4)))*(INDEX(Data_EPA_Survival!$B$5:$B$36,INT(($A32/Q$4))+2)-INDEX(Data_EPA_Survival!$B$5:$B$36,INT(($A32/Q$4))+1)))</f>
        <v/>
      </c>
      <c r="R32" s="26">
        <f>IF(($A32/R$4)&gt;=31,0,INDEX(Data_EPA_Survival!$B$5:$B$36,INT(($A32/R$4))+1)+(($A32/R$4)-INT(($A32/R$4)))*(INDEX(Data_EPA_Survival!$B$5:$B$36,INT(($A32/R$4))+2)-INDEX(Data_EPA_Survival!$B$5:$B$36,INT(($A32/R$4))+1)))</f>
        <v/>
      </c>
      <c r="S32" s="26">
        <f>IF(($A32/S$4)&gt;=31,0,INDEX(Data_EPA_Survival!$B$5:$B$36,INT(($A32/S$4))+1)+(($A32/S$4)-INT(($A32/S$4)))*(INDEX(Data_EPA_Survival!$B$5:$B$36,INT(($A32/S$4))+2)-INDEX(Data_EPA_Survival!$B$5:$B$36,INT(($A32/S$4))+1)))</f>
        <v/>
      </c>
      <c r="T32" s="26">
        <f>IF(($A32/T$4)&gt;=31,0,INDEX(Data_EPA_Survival!$B$5:$B$36,INT(($A32/T$4))+1)+(($A32/T$4)-INT(($A32/T$4)))*(INDEX(Data_EPA_Survival!$B$5:$B$36,INT(($A32/T$4))+2)-INDEX(Data_EPA_Survival!$B$5:$B$36,INT(($A32/T$4))+1)))</f>
        <v/>
      </c>
    </row>
    <row r="33">
      <c r="A33" s="9" t="n">
        <v>27</v>
      </c>
      <c r="C33" s="26">
        <f>IF(($A33/C$4)&gt;=31,0,INDEX(Data_EPA_Survival!$B$5:$B$36,INT(($A33/C$4))+1)+(($A33/C$4)-INT(($A33/C$4)))*(INDEX(Data_EPA_Survival!$B$5:$B$36,INT(($A33/C$4))+2)-INDEX(Data_EPA_Survival!$B$5:$B$36,INT(($A33/C$4))+1)))</f>
        <v/>
      </c>
      <c r="D33" s="26">
        <f>IF(($A33/D$4)&gt;=31,0,INDEX(Data_EPA_Survival!$B$5:$B$36,INT(($A33/D$4))+1)+(($A33/D$4)-INT(($A33/D$4)))*(INDEX(Data_EPA_Survival!$B$5:$B$36,INT(($A33/D$4))+2)-INDEX(Data_EPA_Survival!$B$5:$B$36,INT(($A33/D$4))+1)))</f>
        <v/>
      </c>
      <c r="E33" s="26">
        <f>IF(($A33/E$4)&gt;=31,0,INDEX(Data_EPA_Survival!$B$5:$B$36,INT(($A33/E$4))+1)+(($A33/E$4)-INT(($A33/E$4)))*(INDEX(Data_EPA_Survival!$B$5:$B$36,INT(($A33/E$4))+2)-INDEX(Data_EPA_Survival!$B$5:$B$36,INT(($A33/E$4))+1)))</f>
        <v/>
      </c>
      <c r="F33" s="26">
        <f>IF(($A33/F$4)&gt;=31,0,INDEX(Data_EPA_Survival!$B$5:$B$36,INT(($A33/F$4))+1)+(($A33/F$4)-INT(($A33/F$4)))*(INDEX(Data_EPA_Survival!$B$5:$B$36,INT(($A33/F$4))+2)-INDEX(Data_EPA_Survival!$B$5:$B$36,INT(($A33/F$4))+1)))</f>
        <v/>
      </c>
      <c r="G33" s="26">
        <f>IF(($A33/G$4)&gt;=31,0,INDEX(Data_EPA_Survival!$B$5:$B$36,INT(($A33/G$4))+1)+(($A33/G$4)-INT(($A33/G$4)))*(INDEX(Data_EPA_Survival!$B$5:$B$36,INT(($A33/G$4))+2)-INDEX(Data_EPA_Survival!$B$5:$B$36,INT(($A33/G$4))+1)))</f>
        <v/>
      </c>
      <c r="H33" s="26">
        <f>IF(($A33/H$4)&gt;=31,0,INDEX(Data_EPA_Survival!$B$5:$B$36,INT(($A33/H$4))+1)+(($A33/H$4)-INT(($A33/H$4)))*(INDEX(Data_EPA_Survival!$B$5:$B$36,INT(($A33/H$4))+2)-INDEX(Data_EPA_Survival!$B$5:$B$36,INT(($A33/H$4))+1)))</f>
        <v/>
      </c>
      <c r="I33" s="26">
        <f>IF(($A33/I$4)&gt;=31,0,INDEX(Data_EPA_Survival!$B$5:$B$36,INT(($A33/I$4))+1)+(($A33/I$4)-INT(($A33/I$4)))*(INDEX(Data_EPA_Survival!$B$5:$B$36,INT(($A33/I$4))+2)-INDEX(Data_EPA_Survival!$B$5:$B$36,INT(($A33/I$4))+1)))</f>
        <v/>
      </c>
      <c r="J33" s="26">
        <f>IF(($A33/J$4)&gt;=31,0,INDEX(Data_EPA_Survival!$B$5:$B$36,INT(($A33/J$4))+1)+(($A33/J$4)-INT(($A33/J$4)))*(INDEX(Data_EPA_Survival!$B$5:$B$36,INT(($A33/J$4))+2)-INDEX(Data_EPA_Survival!$B$5:$B$36,INT(($A33/J$4))+1)))</f>
        <v/>
      </c>
      <c r="K33" s="26">
        <f>IF(($A33/K$4)&gt;=31,0,INDEX(Data_EPA_Survival!$B$5:$B$36,INT(($A33/K$4))+1)+(($A33/K$4)-INT(($A33/K$4)))*(INDEX(Data_EPA_Survival!$B$5:$B$36,INT(($A33/K$4))+2)-INDEX(Data_EPA_Survival!$B$5:$B$36,INT(($A33/K$4))+1)))</f>
        <v/>
      </c>
      <c r="L33" s="26">
        <f>IF(($A33/L$4)&gt;=31,0,INDEX(Data_EPA_Survival!$B$5:$B$36,INT(($A33/L$4))+1)+(($A33/L$4)-INT(($A33/L$4)))*(INDEX(Data_EPA_Survival!$B$5:$B$36,INT(($A33/L$4))+2)-INDEX(Data_EPA_Survival!$B$5:$B$36,INT(($A33/L$4))+1)))</f>
        <v/>
      </c>
      <c r="M33" s="26">
        <f>IF(($A33/M$4)&gt;=31,0,INDEX(Data_EPA_Survival!$B$5:$B$36,INT(($A33/M$4))+1)+(($A33/M$4)-INT(($A33/M$4)))*(INDEX(Data_EPA_Survival!$B$5:$B$36,INT(($A33/M$4))+2)-INDEX(Data_EPA_Survival!$B$5:$B$36,INT(($A33/M$4))+1)))</f>
        <v/>
      </c>
      <c r="N33" s="26">
        <f>IF(($A33/N$4)&gt;=31,0,INDEX(Data_EPA_Survival!$B$5:$B$36,INT(($A33/N$4))+1)+(($A33/N$4)-INT(($A33/N$4)))*(INDEX(Data_EPA_Survival!$B$5:$B$36,INT(($A33/N$4))+2)-INDEX(Data_EPA_Survival!$B$5:$B$36,INT(($A33/N$4))+1)))</f>
        <v/>
      </c>
      <c r="O33" s="26">
        <f>IF(($A33/O$4)&gt;=31,0,INDEX(Data_EPA_Survival!$B$5:$B$36,INT(($A33/O$4))+1)+(($A33/O$4)-INT(($A33/O$4)))*(INDEX(Data_EPA_Survival!$B$5:$B$36,INT(($A33/O$4))+2)-INDEX(Data_EPA_Survival!$B$5:$B$36,INT(($A33/O$4))+1)))</f>
        <v/>
      </c>
      <c r="P33" s="26">
        <f>IF(($A33/P$4)&gt;=31,0,INDEX(Data_EPA_Survival!$B$5:$B$36,INT(($A33/P$4))+1)+(($A33/P$4)-INT(($A33/P$4)))*(INDEX(Data_EPA_Survival!$B$5:$B$36,INT(($A33/P$4))+2)-INDEX(Data_EPA_Survival!$B$5:$B$36,INT(($A33/P$4))+1)))</f>
        <v/>
      </c>
      <c r="Q33" s="26">
        <f>IF(($A33/Q$4)&gt;=31,0,INDEX(Data_EPA_Survival!$B$5:$B$36,INT(($A33/Q$4))+1)+(($A33/Q$4)-INT(($A33/Q$4)))*(INDEX(Data_EPA_Survival!$B$5:$B$36,INT(($A33/Q$4))+2)-INDEX(Data_EPA_Survival!$B$5:$B$36,INT(($A33/Q$4))+1)))</f>
        <v/>
      </c>
      <c r="R33" s="26">
        <f>IF(($A33/R$4)&gt;=31,0,INDEX(Data_EPA_Survival!$B$5:$B$36,INT(($A33/R$4))+1)+(($A33/R$4)-INT(($A33/R$4)))*(INDEX(Data_EPA_Survival!$B$5:$B$36,INT(($A33/R$4))+2)-INDEX(Data_EPA_Survival!$B$5:$B$36,INT(($A33/R$4))+1)))</f>
        <v/>
      </c>
      <c r="S33" s="26">
        <f>IF(($A33/S$4)&gt;=31,0,INDEX(Data_EPA_Survival!$B$5:$B$36,INT(($A33/S$4))+1)+(($A33/S$4)-INT(($A33/S$4)))*(INDEX(Data_EPA_Survival!$B$5:$B$36,INT(($A33/S$4))+2)-INDEX(Data_EPA_Survival!$B$5:$B$36,INT(($A33/S$4))+1)))</f>
        <v/>
      </c>
      <c r="T33" s="26">
        <f>IF(($A33/T$4)&gt;=31,0,INDEX(Data_EPA_Survival!$B$5:$B$36,INT(($A33/T$4))+1)+(($A33/T$4)-INT(($A33/T$4)))*(INDEX(Data_EPA_Survival!$B$5:$B$36,INT(($A33/T$4))+2)-INDEX(Data_EPA_Survival!$B$5:$B$36,INT(($A33/T$4))+1)))</f>
        <v/>
      </c>
    </row>
    <row r="34">
      <c r="A34" s="9" t="n">
        <v>28</v>
      </c>
      <c r="C34" s="26">
        <f>IF(($A34/C$4)&gt;=31,0,INDEX(Data_EPA_Survival!$B$5:$B$36,INT(($A34/C$4))+1)+(($A34/C$4)-INT(($A34/C$4)))*(INDEX(Data_EPA_Survival!$B$5:$B$36,INT(($A34/C$4))+2)-INDEX(Data_EPA_Survival!$B$5:$B$36,INT(($A34/C$4))+1)))</f>
        <v/>
      </c>
      <c r="D34" s="26">
        <f>IF(($A34/D$4)&gt;=31,0,INDEX(Data_EPA_Survival!$B$5:$B$36,INT(($A34/D$4))+1)+(($A34/D$4)-INT(($A34/D$4)))*(INDEX(Data_EPA_Survival!$B$5:$B$36,INT(($A34/D$4))+2)-INDEX(Data_EPA_Survival!$B$5:$B$36,INT(($A34/D$4))+1)))</f>
        <v/>
      </c>
      <c r="E34" s="26">
        <f>IF(($A34/E$4)&gt;=31,0,INDEX(Data_EPA_Survival!$B$5:$B$36,INT(($A34/E$4))+1)+(($A34/E$4)-INT(($A34/E$4)))*(INDEX(Data_EPA_Survival!$B$5:$B$36,INT(($A34/E$4))+2)-INDEX(Data_EPA_Survival!$B$5:$B$36,INT(($A34/E$4))+1)))</f>
        <v/>
      </c>
      <c r="F34" s="26">
        <f>IF(($A34/F$4)&gt;=31,0,INDEX(Data_EPA_Survival!$B$5:$B$36,INT(($A34/F$4))+1)+(($A34/F$4)-INT(($A34/F$4)))*(INDEX(Data_EPA_Survival!$B$5:$B$36,INT(($A34/F$4))+2)-INDEX(Data_EPA_Survival!$B$5:$B$36,INT(($A34/F$4))+1)))</f>
        <v/>
      </c>
      <c r="G34" s="26">
        <f>IF(($A34/G$4)&gt;=31,0,INDEX(Data_EPA_Survival!$B$5:$B$36,INT(($A34/G$4))+1)+(($A34/G$4)-INT(($A34/G$4)))*(INDEX(Data_EPA_Survival!$B$5:$B$36,INT(($A34/G$4))+2)-INDEX(Data_EPA_Survival!$B$5:$B$36,INT(($A34/G$4))+1)))</f>
        <v/>
      </c>
      <c r="H34" s="26">
        <f>IF(($A34/H$4)&gt;=31,0,INDEX(Data_EPA_Survival!$B$5:$B$36,INT(($A34/H$4))+1)+(($A34/H$4)-INT(($A34/H$4)))*(INDEX(Data_EPA_Survival!$B$5:$B$36,INT(($A34/H$4))+2)-INDEX(Data_EPA_Survival!$B$5:$B$36,INT(($A34/H$4))+1)))</f>
        <v/>
      </c>
      <c r="I34" s="26">
        <f>IF(($A34/I$4)&gt;=31,0,INDEX(Data_EPA_Survival!$B$5:$B$36,INT(($A34/I$4))+1)+(($A34/I$4)-INT(($A34/I$4)))*(INDEX(Data_EPA_Survival!$B$5:$B$36,INT(($A34/I$4))+2)-INDEX(Data_EPA_Survival!$B$5:$B$36,INT(($A34/I$4))+1)))</f>
        <v/>
      </c>
      <c r="J34" s="26">
        <f>IF(($A34/J$4)&gt;=31,0,INDEX(Data_EPA_Survival!$B$5:$B$36,INT(($A34/J$4))+1)+(($A34/J$4)-INT(($A34/J$4)))*(INDEX(Data_EPA_Survival!$B$5:$B$36,INT(($A34/J$4))+2)-INDEX(Data_EPA_Survival!$B$5:$B$36,INT(($A34/J$4))+1)))</f>
        <v/>
      </c>
      <c r="K34" s="26">
        <f>IF(($A34/K$4)&gt;=31,0,INDEX(Data_EPA_Survival!$B$5:$B$36,INT(($A34/K$4))+1)+(($A34/K$4)-INT(($A34/K$4)))*(INDEX(Data_EPA_Survival!$B$5:$B$36,INT(($A34/K$4))+2)-INDEX(Data_EPA_Survival!$B$5:$B$36,INT(($A34/K$4))+1)))</f>
        <v/>
      </c>
      <c r="L34" s="26">
        <f>IF(($A34/L$4)&gt;=31,0,INDEX(Data_EPA_Survival!$B$5:$B$36,INT(($A34/L$4))+1)+(($A34/L$4)-INT(($A34/L$4)))*(INDEX(Data_EPA_Survival!$B$5:$B$36,INT(($A34/L$4))+2)-INDEX(Data_EPA_Survival!$B$5:$B$36,INT(($A34/L$4))+1)))</f>
        <v/>
      </c>
      <c r="M34" s="26">
        <f>IF(($A34/M$4)&gt;=31,0,INDEX(Data_EPA_Survival!$B$5:$B$36,INT(($A34/M$4))+1)+(($A34/M$4)-INT(($A34/M$4)))*(INDEX(Data_EPA_Survival!$B$5:$B$36,INT(($A34/M$4))+2)-INDEX(Data_EPA_Survival!$B$5:$B$36,INT(($A34/M$4))+1)))</f>
        <v/>
      </c>
      <c r="N34" s="26">
        <f>IF(($A34/N$4)&gt;=31,0,INDEX(Data_EPA_Survival!$B$5:$B$36,INT(($A34/N$4))+1)+(($A34/N$4)-INT(($A34/N$4)))*(INDEX(Data_EPA_Survival!$B$5:$B$36,INT(($A34/N$4))+2)-INDEX(Data_EPA_Survival!$B$5:$B$36,INT(($A34/N$4))+1)))</f>
        <v/>
      </c>
      <c r="O34" s="26">
        <f>IF(($A34/O$4)&gt;=31,0,INDEX(Data_EPA_Survival!$B$5:$B$36,INT(($A34/O$4))+1)+(($A34/O$4)-INT(($A34/O$4)))*(INDEX(Data_EPA_Survival!$B$5:$B$36,INT(($A34/O$4))+2)-INDEX(Data_EPA_Survival!$B$5:$B$36,INT(($A34/O$4))+1)))</f>
        <v/>
      </c>
      <c r="P34" s="26">
        <f>IF(($A34/P$4)&gt;=31,0,INDEX(Data_EPA_Survival!$B$5:$B$36,INT(($A34/P$4))+1)+(($A34/P$4)-INT(($A34/P$4)))*(INDEX(Data_EPA_Survival!$B$5:$B$36,INT(($A34/P$4))+2)-INDEX(Data_EPA_Survival!$B$5:$B$36,INT(($A34/P$4))+1)))</f>
        <v/>
      </c>
      <c r="Q34" s="26">
        <f>IF(($A34/Q$4)&gt;=31,0,INDEX(Data_EPA_Survival!$B$5:$B$36,INT(($A34/Q$4))+1)+(($A34/Q$4)-INT(($A34/Q$4)))*(INDEX(Data_EPA_Survival!$B$5:$B$36,INT(($A34/Q$4))+2)-INDEX(Data_EPA_Survival!$B$5:$B$36,INT(($A34/Q$4))+1)))</f>
        <v/>
      </c>
      <c r="R34" s="26">
        <f>IF(($A34/R$4)&gt;=31,0,INDEX(Data_EPA_Survival!$B$5:$B$36,INT(($A34/R$4))+1)+(($A34/R$4)-INT(($A34/R$4)))*(INDEX(Data_EPA_Survival!$B$5:$B$36,INT(($A34/R$4))+2)-INDEX(Data_EPA_Survival!$B$5:$B$36,INT(($A34/R$4))+1)))</f>
        <v/>
      </c>
      <c r="S34" s="26">
        <f>IF(($A34/S$4)&gt;=31,0,INDEX(Data_EPA_Survival!$B$5:$B$36,INT(($A34/S$4))+1)+(($A34/S$4)-INT(($A34/S$4)))*(INDEX(Data_EPA_Survival!$B$5:$B$36,INT(($A34/S$4))+2)-INDEX(Data_EPA_Survival!$B$5:$B$36,INT(($A34/S$4))+1)))</f>
        <v/>
      </c>
      <c r="T34" s="26">
        <f>IF(($A34/T$4)&gt;=31,0,INDEX(Data_EPA_Survival!$B$5:$B$36,INT(($A34/T$4))+1)+(($A34/T$4)-INT(($A34/T$4)))*(INDEX(Data_EPA_Survival!$B$5:$B$36,INT(($A34/T$4))+2)-INDEX(Data_EPA_Survival!$B$5:$B$36,INT(($A34/T$4))+1)))</f>
        <v/>
      </c>
    </row>
    <row r="35">
      <c r="A35" s="9" t="n">
        <v>29</v>
      </c>
      <c r="C35" s="26">
        <f>IF(($A35/C$4)&gt;=31,0,INDEX(Data_EPA_Survival!$B$5:$B$36,INT(($A35/C$4))+1)+(($A35/C$4)-INT(($A35/C$4)))*(INDEX(Data_EPA_Survival!$B$5:$B$36,INT(($A35/C$4))+2)-INDEX(Data_EPA_Survival!$B$5:$B$36,INT(($A35/C$4))+1)))</f>
        <v/>
      </c>
      <c r="D35" s="26">
        <f>IF(($A35/D$4)&gt;=31,0,INDEX(Data_EPA_Survival!$B$5:$B$36,INT(($A35/D$4))+1)+(($A35/D$4)-INT(($A35/D$4)))*(INDEX(Data_EPA_Survival!$B$5:$B$36,INT(($A35/D$4))+2)-INDEX(Data_EPA_Survival!$B$5:$B$36,INT(($A35/D$4))+1)))</f>
        <v/>
      </c>
      <c r="E35" s="26">
        <f>IF(($A35/E$4)&gt;=31,0,INDEX(Data_EPA_Survival!$B$5:$B$36,INT(($A35/E$4))+1)+(($A35/E$4)-INT(($A35/E$4)))*(INDEX(Data_EPA_Survival!$B$5:$B$36,INT(($A35/E$4))+2)-INDEX(Data_EPA_Survival!$B$5:$B$36,INT(($A35/E$4))+1)))</f>
        <v/>
      </c>
      <c r="F35" s="26">
        <f>IF(($A35/F$4)&gt;=31,0,INDEX(Data_EPA_Survival!$B$5:$B$36,INT(($A35/F$4))+1)+(($A35/F$4)-INT(($A35/F$4)))*(INDEX(Data_EPA_Survival!$B$5:$B$36,INT(($A35/F$4))+2)-INDEX(Data_EPA_Survival!$B$5:$B$36,INT(($A35/F$4))+1)))</f>
        <v/>
      </c>
      <c r="G35" s="26">
        <f>IF(($A35/G$4)&gt;=31,0,INDEX(Data_EPA_Survival!$B$5:$B$36,INT(($A35/G$4))+1)+(($A35/G$4)-INT(($A35/G$4)))*(INDEX(Data_EPA_Survival!$B$5:$B$36,INT(($A35/G$4))+2)-INDEX(Data_EPA_Survival!$B$5:$B$36,INT(($A35/G$4))+1)))</f>
        <v/>
      </c>
      <c r="H35" s="26">
        <f>IF(($A35/H$4)&gt;=31,0,INDEX(Data_EPA_Survival!$B$5:$B$36,INT(($A35/H$4))+1)+(($A35/H$4)-INT(($A35/H$4)))*(INDEX(Data_EPA_Survival!$B$5:$B$36,INT(($A35/H$4))+2)-INDEX(Data_EPA_Survival!$B$5:$B$36,INT(($A35/H$4))+1)))</f>
        <v/>
      </c>
      <c r="I35" s="26">
        <f>IF(($A35/I$4)&gt;=31,0,INDEX(Data_EPA_Survival!$B$5:$B$36,INT(($A35/I$4))+1)+(($A35/I$4)-INT(($A35/I$4)))*(INDEX(Data_EPA_Survival!$B$5:$B$36,INT(($A35/I$4))+2)-INDEX(Data_EPA_Survival!$B$5:$B$36,INT(($A35/I$4))+1)))</f>
        <v/>
      </c>
      <c r="J35" s="26">
        <f>IF(($A35/J$4)&gt;=31,0,INDEX(Data_EPA_Survival!$B$5:$B$36,INT(($A35/J$4))+1)+(($A35/J$4)-INT(($A35/J$4)))*(INDEX(Data_EPA_Survival!$B$5:$B$36,INT(($A35/J$4))+2)-INDEX(Data_EPA_Survival!$B$5:$B$36,INT(($A35/J$4))+1)))</f>
        <v/>
      </c>
      <c r="K35" s="26">
        <f>IF(($A35/K$4)&gt;=31,0,INDEX(Data_EPA_Survival!$B$5:$B$36,INT(($A35/K$4))+1)+(($A35/K$4)-INT(($A35/K$4)))*(INDEX(Data_EPA_Survival!$B$5:$B$36,INT(($A35/K$4))+2)-INDEX(Data_EPA_Survival!$B$5:$B$36,INT(($A35/K$4))+1)))</f>
        <v/>
      </c>
      <c r="L35" s="26">
        <f>IF(($A35/L$4)&gt;=31,0,INDEX(Data_EPA_Survival!$B$5:$B$36,INT(($A35/L$4))+1)+(($A35/L$4)-INT(($A35/L$4)))*(INDEX(Data_EPA_Survival!$B$5:$B$36,INT(($A35/L$4))+2)-INDEX(Data_EPA_Survival!$B$5:$B$36,INT(($A35/L$4))+1)))</f>
        <v/>
      </c>
      <c r="M35" s="26">
        <f>IF(($A35/M$4)&gt;=31,0,INDEX(Data_EPA_Survival!$B$5:$B$36,INT(($A35/M$4))+1)+(($A35/M$4)-INT(($A35/M$4)))*(INDEX(Data_EPA_Survival!$B$5:$B$36,INT(($A35/M$4))+2)-INDEX(Data_EPA_Survival!$B$5:$B$36,INT(($A35/M$4))+1)))</f>
        <v/>
      </c>
      <c r="N35" s="26">
        <f>IF(($A35/N$4)&gt;=31,0,INDEX(Data_EPA_Survival!$B$5:$B$36,INT(($A35/N$4))+1)+(($A35/N$4)-INT(($A35/N$4)))*(INDEX(Data_EPA_Survival!$B$5:$B$36,INT(($A35/N$4))+2)-INDEX(Data_EPA_Survival!$B$5:$B$36,INT(($A35/N$4))+1)))</f>
        <v/>
      </c>
      <c r="O35" s="26">
        <f>IF(($A35/O$4)&gt;=31,0,INDEX(Data_EPA_Survival!$B$5:$B$36,INT(($A35/O$4))+1)+(($A35/O$4)-INT(($A35/O$4)))*(INDEX(Data_EPA_Survival!$B$5:$B$36,INT(($A35/O$4))+2)-INDEX(Data_EPA_Survival!$B$5:$B$36,INT(($A35/O$4))+1)))</f>
        <v/>
      </c>
      <c r="P35" s="26">
        <f>IF(($A35/P$4)&gt;=31,0,INDEX(Data_EPA_Survival!$B$5:$B$36,INT(($A35/P$4))+1)+(($A35/P$4)-INT(($A35/P$4)))*(INDEX(Data_EPA_Survival!$B$5:$B$36,INT(($A35/P$4))+2)-INDEX(Data_EPA_Survival!$B$5:$B$36,INT(($A35/P$4))+1)))</f>
        <v/>
      </c>
      <c r="Q35" s="26">
        <f>IF(($A35/Q$4)&gt;=31,0,INDEX(Data_EPA_Survival!$B$5:$B$36,INT(($A35/Q$4))+1)+(($A35/Q$4)-INT(($A35/Q$4)))*(INDEX(Data_EPA_Survival!$B$5:$B$36,INT(($A35/Q$4))+2)-INDEX(Data_EPA_Survival!$B$5:$B$36,INT(($A35/Q$4))+1)))</f>
        <v/>
      </c>
      <c r="R35" s="26">
        <f>IF(($A35/R$4)&gt;=31,0,INDEX(Data_EPA_Survival!$B$5:$B$36,INT(($A35/R$4))+1)+(($A35/R$4)-INT(($A35/R$4)))*(INDEX(Data_EPA_Survival!$B$5:$B$36,INT(($A35/R$4))+2)-INDEX(Data_EPA_Survival!$B$5:$B$36,INT(($A35/R$4))+1)))</f>
        <v/>
      </c>
      <c r="S35" s="26">
        <f>IF(($A35/S$4)&gt;=31,0,INDEX(Data_EPA_Survival!$B$5:$B$36,INT(($A35/S$4))+1)+(($A35/S$4)-INT(($A35/S$4)))*(INDEX(Data_EPA_Survival!$B$5:$B$36,INT(($A35/S$4))+2)-INDEX(Data_EPA_Survival!$B$5:$B$36,INT(($A35/S$4))+1)))</f>
        <v/>
      </c>
      <c r="T35" s="26">
        <f>IF(($A35/T$4)&gt;=31,0,INDEX(Data_EPA_Survival!$B$5:$B$36,INT(($A35/T$4))+1)+(($A35/T$4)-INT(($A35/T$4)))*(INDEX(Data_EPA_Survival!$B$5:$B$36,INT(($A35/T$4))+2)-INDEX(Data_EPA_Survival!$B$5:$B$36,INT(($A35/T$4))+1)))</f>
        <v/>
      </c>
    </row>
    <row r="36">
      <c r="A36" s="9" t="n">
        <v>30</v>
      </c>
      <c r="C36" s="26">
        <f>IF(($A36/C$4)&gt;=31,0,INDEX(Data_EPA_Survival!$B$5:$B$36,INT(($A36/C$4))+1)+(($A36/C$4)-INT(($A36/C$4)))*(INDEX(Data_EPA_Survival!$B$5:$B$36,INT(($A36/C$4))+2)-INDEX(Data_EPA_Survival!$B$5:$B$36,INT(($A36/C$4))+1)))</f>
        <v/>
      </c>
      <c r="D36" s="26">
        <f>IF(($A36/D$4)&gt;=31,0,INDEX(Data_EPA_Survival!$B$5:$B$36,INT(($A36/D$4))+1)+(($A36/D$4)-INT(($A36/D$4)))*(INDEX(Data_EPA_Survival!$B$5:$B$36,INT(($A36/D$4))+2)-INDEX(Data_EPA_Survival!$B$5:$B$36,INT(($A36/D$4))+1)))</f>
        <v/>
      </c>
      <c r="E36" s="26">
        <f>IF(($A36/E$4)&gt;=31,0,INDEX(Data_EPA_Survival!$B$5:$B$36,INT(($A36/E$4))+1)+(($A36/E$4)-INT(($A36/E$4)))*(INDEX(Data_EPA_Survival!$B$5:$B$36,INT(($A36/E$4))+2)-INDEX(Data_EPA_Survival!$B$5:$B$36,INT(($A36/E$4))+1)))</f>
        <v/>
      </c>
      <c r="F36" s="26">
        <f>IF(($A36/F$4)&gt;=31,0,INDEX(Data_EPA_Survival!$B$5:$B$36,INT(($A36/F$4))+1)+(($A36/F$4)-INT(($A36/F$4)))*(INDEX(Data_EPA_Survival!$B$5:$B$36,INT(($A36/F$4))+2)-INDEX(Data_EPA_Survival!$B$5:$B$36,INT(($A36/F$4))+1)))</f>
        <v/>
      </c>
      <c r="G36" s="26">
        <f>IF(($A36/G$4)&gt;=31,0,INDEX(Data_EPA_Survival!$B$5:$B$36,INT(($A36/G$4))+1)+(($A36/G$4)-INT(($A36/G$4)))*(INDEX(Data_EPA_Survival!$B$5:$B$36,INT(($A36/G$4))+2)-INDEX(Data_EPA_Survival!$B$5:$B$36,INT(($A36/G$4))+1)))</f>
        <v/>
      </c>
      <c r="H36" s="26">
        <f>IF(($A36/H$4)&gt;=31,0,INDEX(Data_EPA_Survival!$B$5:$B$36,INT(($A36/H$4))+1)+(($A36/H$4)-INT(($A36/H$4)))*(INDEX(Data_EPA_Survival!$B$5:$B$36,INT(($A36/H$4))+2)-INDEX(Data_EPA_Survival!$B$5:$B$36,INT(($A36/H$4))+1)))</f>
        <v/>
      </c>
      <c r="I36" s="26">
        <f>IF(($A36/I$4)&gt;=31,0,INDEX(Data_EPA_Survival!$B$5:$B$36,INT(($A36/I$4))+1)+(($A36/I$4)-INT(($A36/I$4)))*(INDEX(Data_EPA_Survival!$B$5:$B$36,INT(($A36/I$4))+2)-INDEX(Data_EPA_Survival!$B$5:$B$36,INT(($A36/I$4))+1)))</f>
        <v/>
      </c>
      <c r="J36" s="26">
        <f>IF(($A36/J$4)&gt;=31,0,INDEX(Data_EPA_Survival!$B$5:$B$36,INT(($A36/J$4))+1)+(($A36/J$4)-INT(($A36/J$4)))*(INDEX(Data_EPA_Survival!$B$5:$B$36,INT(($A36/J$4))+2)-INDEX(Data_EPA_Survival!$B$5:$B$36,INT(($A36/J$4))+1)))</f>
        <v/>
      </c>
      <c r="K36" s="26">
        <f>IF(($A36/K$4)&gt;=31,0,INDEX(Data_EPA_Survival!$B$5:$B$36,INT(($A36/K$4))+1)+(($A36/K$4)-INT(($A36/K$4)))*(INDEX(Data_EPA_Survival!$B$5:$B$36,INT(($A36/K$4))+2)-INDEX(Data_EPA_Survival!$B$5:$B$36,INT(($A36/K$4))+1)))</f>
        <v/>
      </c>
      <c r="L36" s="26">
        <f>IF(($A36/L$4)&gt;=31,0,INDEX(Data_EPA_Survival!$B$5:$B$36,INT(($A36/L$4))+1)+(($A36/L$4)-INT(($A36/L$4)))*(INDEX(Data_EPA_Survival!$B$5:$B$36,INT(($A36/L$4))+2)-INDEX(Data_EPA_Survival!$B$5:$B$36,INT(($A36/L$4))+1)))</f>
        <v/>
      </c>
      <c r="M36" s="26">
        <f>IF(($A36/M$4)&gt;=31,0,INDEX(Data_EPA_Survival!$B$5:$B$36,INT(($A36/M$4))+1)+(($A36/M$4)-INT(($A36/M$4)))*(INDEX(Data_EPA_Survival!$B$5:$B$36,INT(($A36/M$4))+2)-INDEX(Data_EPA_Survival!$B$5:$B$36,INT(($A36/M$4))+1)))</f>
        <v/>
      </c>
      <c r="N36" s="26">
        <f>IF(($A36/N$4)&gt;=31,0,INDEX(Data_EPA_Survival!$B$5:$B$36,INT(($A36/N$4))+1)+(($A36/N$4)-INT(($A36/N$4)))*(INDEX(Data_EPA_Survival!$B$5:$B$36,INT(($A36/N$4))+2)-INDEX(Data_EPA_Survival!$B$5:$B$36,INT(($A36/N$4))+1)))</f>
        <v/>
      </c>
      <c r="O36" s="26">
        <f>IF(($A36/O$4)&gt;=31,0,INDEX(Data_EPA_Survival!$B$5:$B$36,INT(($A36/O$4))+1)+(($A36/O$4)-INT(($A36/O$4)))*(INDEX(Data_EPA_Survival!$B$5:$B$36,INT(($A36/O$4))+2)-INDEX(Data_EPA_Survival!$B$5:$B$36,INT(($A36/O$4))+1)))</f>
        <v/>
      </c>
      <c r="P36" s="26">
        <f>IF(($A36/P$4)&gt;=31,0,INDEX(Data_EPA_Survival!$B$5:$B$36,INT(($A36/P$4))+1)+(($A36/P$4)-INT(($A36/P$4)))*(INDEX(Data_EPA_Survival!$B$5:$B$36,INT(($A36/P$4))+2)-INDEX(Data_EPA_Survival!$B$5:$B$36,INT(($A36/P$4))+1)))</f>
        <v/>
      </c>
      <c r="Q36" s="26">
        <f>IF(($A36/Q$4)&gt;=31,0,INDEX(Data_EPA_Survival!$B$5:$B$36,INT(($A36/Q$4))+1)+(($A36/Q$4)-INT(($A36/Q$4)))*(INDEX(Data_EPA_Survival!$B$5:$B$36,INT(($A36/Q$4))+2)-INDEX(Data_EPA_Survival!$B$5:$B$36,INT(($A36/Q$4))+1)))</f>
        <v/>
      </c>
      <c r="R36" s="26">
        <f>IF(($A36/R$4)&gt;=31,0,INDEX(Data_EPA_Survival!$B$5:$B$36,INT(($A36/R$4))+1)+(($A36/R$4)-INT(($A36/R$4)))*(INDEX(Data_EPA_Survival!$B$5:$B$36,INT(($A36/R$4))+2)-INDEX(Data_EPA_Survival!$B$5:$B$36,INT(($A36/R$4))+1)))</f>
        <v/>
      </c>
      <c r="S36" s="26">
        <f>IF(($A36/S$4)&gt;=31,0,INDEX(Data_EPA_Survival!$B$5:$B$36,INT(($A36/S$4))+1)+(($A36/S$4)-INT(($A36/S$4)))*(INDEX(Data_EPA_Survival!$B$5:$B$36,INT(($A36/S$4))+2)-INDEX(Data_EPA_Survival!$B$5:$B$36,INT(($A36/S$4))+1)))</f>
        <v/>
      </c>
      <c r="T36" s="26">
        <f>IF(($A36/T$4)&gt;=31,0,INDEX(Data_EPA_Survival!$B$5:$B$36,INT(($A36/T$4))+1)+(($A36/T$4)-INT(($A36/T$4)))*(INDEX(Data_EPA_Survival!$B$5:$B$36,INT(($A36/T$4))+2)-INDEX(Data_EPA_Survival!$B$5:$B$36,INT(($A36/T$4))+1)))</f>
        <v/>
      </c>
    </row>
    <row r="37">
      <c r="A37" s="9" t="n">
        <v>31</v>
      </c>
      <c r="C37" s="26">
        <f>IF(($A37/C$4)&gt;=31,0,INDEX(Data_EPA_Survival!$B$5:$B$36,INT(($A37/C$4))+1)+(($A37/C$4)-INT(($A37/C$4)))*(INDEX(Data_EPA_Survival!$B$5:$B$36,INT(($A37/C$4))+2)-INDEX(Data_EPA_Survival!$B$5:$B$36,INT(($A37/C$4))+1)))</f>
        <v/>
      </c>
      <c r="D37" s="26">
        <f>IF(($A37/D$4)&gt;=31,0,INDEX(Data_EPA_Survival!$B$5:$B$36,INT(($A37/D$4))+1)+(($A37/D$4)-INT(($A37/D$4)))*(INDEX(Data_EPA_Survival!$B$5:$B$36,INT(($A37/D$4))+2)-INDEX(Data_EPA_Survival!$B$5:$B$36,INT(($A37/D$4))+1)))</f>
        <v/>
      </c>
      <c r="E37" s="26">
        <f>IF(($A37/E$4)&gt;=31,0,INDEX(Data_EPA_Survival!$B$5:$B$36,INT(($A37/E$4))+1)+(($A37/E$4)-INT(($A37/E$4)))*(INDEX(Data_EPA_Survival!$B$5:$B$36,INT(($A37/E$4))+2)-INDEX(Data_EPA_Survival!$B$5:$B$36,INT(($A37/E$4))+1)))</f>
        <v/>
      </c>
      <c r="F37" s="26">
        <f>IF(($A37/F$4)&gt;=31,0,INDEX(Data_EPA_Survival!$B$5:$B$36,INT(($A37/F$4))+1)+(($A37/F$4)-INT(($A37/F$4)))*(INDEX(Data_EPA_Survival!$B$5:$B$36,INT(($A37/F$4))+2)-INDEX(Data_EPA_Survival!$B$5:$B$36,INT(($A37/F$4))+1)))</f>
        <v/>
      </c>
      <c r="G37" s="26">
        <f>IF(($A37/G$4)&gt;=31,0,INDEX(Data_EPA_Survival!$B$5:$B$36,INT(($A37/G$4))+1)+(($A37/G$4)-INT(($A37/G$4)))*(INDEX(Data_EPA_Survival!$B$5:$B$36,INT(($A37/G$4))+2)-INDEX(Data_EPA_Survival!$B$5:$B$36,INT(($A37/G$4))+1)))</f>
        <v/>
      </c>
      <c r="H37" s="26">
        <f>IF(($A37/H$4)&gt;=31,0,INDEX(Data_EPA_Survival!$B$5:$B$36,INT(($A37/H$4))+1)+(($A37/H$4)-INT(($A37/H$4)))*(INDEX(Data_EPA_Survival!$B$5:$B$36,INT(($A37/H$4))+2)-INDEX(Data_EPA_Survival!$B$5:$B$36,INT(($A37/H$4))+1)))</f>
        <v/>
      </c>
      <c r="I37" s="26">
        <f>IF(($A37/I$4)&gt;=31,0,INDEX(Data_EPA_Survival!$B$5:$B$36,INT(($A37/I$4))+1)+(($A37/I$4)-INT(($A37/I$4)))*(INDEX(Data_EPA_Survival!$B$5:$B$36,INT(($A37/I$4))+2)-INDEX(Data_EPA_Survival!$B$5:$B$36,INT(($A37/I$4))+1)))</f>
        <v/>
      </c>
      <c r="J37" s="26">
        <f>IF(($A37/J$4)&gt;=31,0,INDEX(Data_EPA_Survival!$B$5:$B$36,INT(($A37/J$4))+1)+(($A37/J$4)-INT(($A37/J$4)))*(INDEX(Data_EPA_Survival!$B$5:$B$36,INT(($A37/J$4))+2)-INDEX(Data_EPA_Survival!$B$5:$B$36,INT(($A37/J$4))+1)))</f>
        <v/>
      </c>
      <c r="K37" s="26">
        <f>IF(($A37/K$4)&gt;=31,0,INDEX(Data_EPA_Survival!$B$5:$B$36,INT(($A37/K$4))+1)+(($A37/K$4)-INT(($A37/K$4)))*(INDEX(Data_EPA_Survival!$B$5:$B$36,INT(($A37/K$4))+2)-INDEX(Data_EPA_Survival!$B$5:$B$36,INT(($A37/K$4))+1)))</f>
        <v/>
      </c>
      <c r="L37" s="26">
        <f>IF(($A37/L$4)&gt;=31,0,INDEX(Data_EPA_Survival!$B$5:$B$36,INT(($A37/L$4))+1)+(($A37/L$4)-INT(($A37/L$4)))*(INDEX(Data_EPA_Survival!$B$5:$B$36,INT(($A37/L$4))+2)-INDEX(Data_EPA_Survival!$B$5:$B$36,INT(($A37/L$4))+1)))</f>
        <v/>
      </c>
      <c r="M37" s="26">
        <f>IF(($A37/M$4)&gt;=31,0,INDEX(Data_EPA_Survival!$B$5:$B$36,INT(($A37/M$4))+1)+(($A37/M$4)-INT(($A37/M$4)))*(INDEX(Data_EPA_Survival!$B$5:$B$36,INT(($A37/M$4))+2)-INDEX(Data_EPA_Survival!$B$5:$B$36,INT(($A37/M$4))+1)))</f>
        <v/>
      </c>
      <c r="N37" s="26">
        <f>IF(($A37/N$4)&gt;=31,0,INDEX(Data_EPA_Survival!$B$5:$B$36,INT(($A37/N$4))+1)+(($A37/N$4)-INT(($A37/N$4)))*(INDEX(Data_EPA_Survival!$B$5:$B$36,INT(($A37/N$4))+2)-INDEX(Data_EPA_Survival!$B$5:$B$36,INT(($A37/N$4))+1)))</f>
        <v/>
      </c>
      <c r="O37" s="26">
        <f>IF(($A37/O$4)&gt;=31,0,INDEX(Data_EPA_Survival!$B$5:$B$36,INT(($A37/O$4))+1)+(($A37/O$4)-INT(($A37/O$4)))*(INDEX(Data_EPA_Survival!$B$5:$B$36,INT(($A37/O$4))+2)-INDEX(Data_EPA_Survival!$B$5:$B$36,INT(($A37/O$4))+1)))</f>
        <v/>
      </c>
      <c r="P37" s="26">
        <f>IF(($A37/P$4)&gt;=31,0,INDEX(Data_EPA_Survival!$B$5:$B$36,INT(($A37/P$4))+1)+(($A37/P$4)-INT(($A37/P$4)))*(INDEX(Data_EPA_Survival!$B$5:$B$36,INT(($A37/P$4))+2)-INDEX(Data_EPA_Survival!$B$5:$B$36,INT(($A37/P$4))+1)))</f>
        <v/>
      </c>
      <c r="Q37" s="26">
        <f>IF(($A37/Q$4)&gt;=31,0,INDEX(Data_EPA_Survival!$B$5:$B$36,INT(($A37/Q$4))+1)+(($A37/Q$4)-INT(($A37/Q$4)))*(INDEX(Data_EPA_Survival!$B$5:$B$36,INT(($A37/Q$4))+2)-INDEX(Data_EPA_Survival!$B$5:$B$36,INT(($A37/Q$4))+1)))</f>
        <v/>
      </c>
      <c r="R37" s="26">
        <f>IF(($A37/R$4)&gt;=31,0,INDEX(Data_EPA_Survival!$B$5:$B$36,INT(($A37/R$4))+1)+(($A37/R$4)-INT(($A37/R$4)))*(INDEX(Data_EPA_Survival!$B$5:$B$36,INT(($A37/R$4))+2)-INDEX(Data_EPA_Survival!$B$5:$B$36,INT(($A37/R$4))+1)))</f>
        <v/>
      </c>
      <c r="S37" s="26">
        <f>IF(($A37/S$4)&gt;=31,0,INDEX(Data_EPA_Survival!$B$5:$B$36,INT(($A37/S$4))+1)+(($A37/S$4)-INT(($A37/S$4)))*(INDEX(Data_EPA_Survival!$B$5:$B$36,INT(($A37/S$4))+2)-INDEX(Data_EPA_Survival!$B$5:$B$36,INT(($A37/S$4))+1)))</f>
        <v/>
      </c>
      <c r="T37" s="26">
        <f>IF(($A37/T$4)&gt;=31,0,INDEX(Data_EPA_Survival!$B$5:$B$36,INT(($A37/T$4))+1)+(($A37/T$4)-INT(($A37/T$4)))*(INDEX(Data_EPA_Survival!$B$5:$B$36,INT(($A37/T$4))+2)-INDEX(Data_EPA_Survival!$B$5:$B$36,INT(($A37/T$4))+1)))</f>
        <v/>
      </c>
    </row>
    <row r="38">
      <c r="A38" s="9" t="n">
        <v>32</v>
      </c>
      <c r="C38" s="26">
        <f>IF(($A38/C$4)&gt;=31,0,INDEX(Data_EPA_Survival!$B$5:$B$36,INT(($A38/C$4))+1)+(($A38/C$4)-INT(($A38/C$4)))*(INDEX(Data_EPA_Survival!$B$5:$B$36,INT(($A38/C$4))+2)-INDEX(Data_EPA_Survival!$B$5:$B$36,INT(($A38/C$4))+1)))</f>
        <v/>
      </c>
      <c r="D38" s="26">
        <f>IF(($A38/D$4)&gt;=31,0,INDEX(Data_EPA_Survival!$B$5:$B$36,INT(($A38/D$4))+1)+(($A38/D$4)-INT(($A38/D$4)))*(INDEX(Data_EPA_Survival!$B$5:$B$36,INT(($A38/D$4))+2)-INDEX(Data_EPA_Survival!$B$5:$B$36,INT(($A38/D$4))+1)))</f>
        <v/>
      </c>
      <c r="E38" s="26">
        <f>IF(($A38/E$4)&gt;=31,0,INDEX(Data_EPA_Survival!$B$5:$B$36,INT(($A38/E$4))+1)+(($A38/E$4)-INT(($A38/E$4)))*(INDEX(Data_EPA_Survival!$B$5:$B$36,INT(($A38/E$4))+2)-INDEX(Data_EPA_Survival!$B$5:$B$36,INT(($A38/E$4))+1)))</f>
        <v/>
      </c>
      <c r="F38" s="26">
        <f>IF(($A38/F$4)&gt;=31,0,INDEX(Data_EPA_Survival!$B$5:$B$36,INT(($A38/F$4))+1)+(($A38/F$4)-INT(($A38/F$4)))*(INDEX(Data_EPA_Survival!$B$5:$B$36,INT(($A38/F$4))+2)-INDEX(Data_EPA_Survival!$B$5:$B$36,INT(($A38/F$4))+1)))</f>
        <v/>
      </c>
      <c r="G38" s="26">
        <f>IF(($A38/G$4)&gt;=31,0,INDEX(Data_EPA_Survival!$B$5:$B$36,INT(($A38/G$4))+1)+(($A38/G$4)-INT(($A38/G$4)))*(INDEX(Data_EPA_Survival!$B$5:$B$36,INT(($A38/G$4))+2)-INDEX(Data_EPA_Survival!$B$5:$B$36,INT(($A38/G$4))+1)))</f>
        <v/>
      </c>
      <c r="H38" s="26">
        <f>IF(($A38/H$4)&gt;=31,0,INDEX(Data_EPA_Survival!$B$5:$B$36,INT(($A38/H$4))+1)+(($A38/H$4)-INT(($A38/H$4)))*(INDEX(Data_EPA_Survival!$B$5:$B$36,INT(($A38/H$4))+2)-INDEX(Data_EPA_Survival!$B$5:$B$36,INT(($A38/H$4))+1)))</f>
        <v/>
      </c>
      <c r="I38" s="26">
        <f>IF(($A38/I$4)&gt;=31,0,INDEX(Data_EPA_Survival!$B$5:$B$36,INT(($A38/I$4))+1)+(($A38/I$4)-INT(($A38/I$4)))*(INDEX(Data_EPA_Survival!$B$5:$B$36,INT(($A38/I$4))+2)-INDEX(Data_EPA_Survival!$B$5:$B$36,INT(($A38/I$4))+1)))</f>
        <v/>
      </c>
      <c r="J38" s="26">
        <f>IF(($A38/J$4)&gt;=31,0,INDEX(Data_EPA_Survival!$B$5:$B$36,INT(($A38/J$4))+1)+(($A38/J$4)-INT(($A38/J$4)))*(INDEX(Data_EPA_Survival!$B$5:$B$36,INT(($A38/J$4))+2)-INDEX(Data_EPA_Survival!$B$5:$B$36,INT(($A38/J$4))+1)))</f>
        <v/>
      </c>
      <c r="K38" s="26">
        <f>IF(($A38/K$4)&gt;=31,0,INDEX(Data_EPA_Survival!$B$5:$B$36,INT(($A38/K$4))+1)+(($A38/K$4)-INT(($A38/K$4)))*(INDEX(Data_EPA_Survival!$B$5:$B$36,INT(($A38/K$4))+2)-INDEX(Data_EPA_Survival!$B$5:$B$36,INT(($A38/K$4))+1)))</f>
        <v/>
      </c>
      <c r="L38" s="26">
        <f>IF(($A38/L$4)&gt;=31,0,INDEX(Data_EPA_Survival!$B$5:$B$36,INT(($A38/L$4))+1)+(($A38/L$4)-INT(($A38/L$4)))*(INDEX(Data_EPA_Survival!$B$5:$B$36,INT(($A38/L$4))+2)-INDEX(Data_EPA_Survival!$B$5:$B$36,INT(($A38/L$4))+1)))</f>
        <v/>
      </c>
      <c r="M38" s="26">
        <f>IF(($A38/M$4)&gt;=31,0,INDEX(Data_EPA_Survival!$B$5:$B$36,INT(($A38/M$4))+1)+(($A38/M$4)-INT(($A38/M$4)))*(INDEX(Data_EPA_Survival!$B$5:$B$36,INT(($A38/M$4))+2)-INDEX(Data_EPA_Survival!$B$5:$B$36,INT(($A38/M$4))+1)))</f>
        <v/>
      </c>
      <c r="N38" s="26">
        <f>IF(($A38/N$4)&gt;=31,0,INDEX(Data_EPA_Survival!$B$5:$B$36,INT(($A38/N$4))+1)+(($A38/N$4)-INT(($A38/N$4)))*(INDEX(Data_EPA_Survival!$B$5:$B$36,INT(($A38/N$4))+2)-INDEX(Data_EPA_Survival!$B$5:$B$36,INT(($A38/N$4))+1)))</f>
        <v/>
      </c>
      <c r="O38" s="26">
        <f>IF(($A38/O$4)&gt;=31,0,INDEX(Data_EPA_Survival!$B$5:$B$36,INT(($A38/O$4))+1)+(($A38/O$4)-INT(($A38/O$4)))*(INDEX(Data_EPA_Survival!$B$5:$B$36,INT(($A38/O$4))+2)-INDEX(Data_EPA_Survival!$B$5:$B$36,INT(($A38/O$4))+1)))</f>
        <v/>
      </c>
      <c r="P38" s="26">
        <f>IF(($A38/P$4)&gt;=31,0,INDEX(Data_EPA_Survival!$B$5:$B$36,INT(($A38/P$4))+1)+(($A38/P$4)-INT(($A38/P$4)))*(INDEX(Data_EPA_Survival!$B$5:$B$36,INT(($A38/P$4))+2)-INDEX(Data_EPA_Survival!$B$5:$B$36,INT(($A38/P$4))+1)))</f>
        <v/>
      </c>
      <c r="Q38" s="26">
        <f>IF(($A38/Q$4)&gt;=31,0,INDEX(Data_EPA_Survival!$B$5:$B$36,INT(($A38/Q$4))+1)+(($A38/Q$4)-INT(($A38/Q$4)))*(INDEX(Data_EPA_Survival!$B$5:$B$36,INT(($A38/Q$4))+2)-INDEX(Data_EPA_Survival!$B$5:$B$36,INT(($A38/Q$4))+1)))</f>
        <v/>
      </c>
      <c r="R38" s="26">
        <f>IF(($A38/R$4)&gt;=31,0,INDEX(Data_EPA_Survival!$B$5:$B$36,INT(($A38/R$4))+1)+(($A38/R$4)-INT(($A38/R$4)))*(INDEX(Data_EPA_Survival!$B$5:$B$36,INT(($A38/R$4))+2)-INDEX(Data_EPA_Survival!$B$5:$B$36,INT(($A38/R$4))+1)))</f>
        <v/>
      </c>
      <c r="S38" s="26">
        <f>IF(($A38/S$4)&gt;=31,0,INDEX(Data_EPA_Survival!$B$5:$B$36,INT(($A38/S$4))+1)+(($A38/S$4)-INT(($A38/S$4)))*(INDEX(Data_EPA_Survival!$B$5:$B$36,INT(($A38/S$4))+2)-INDEX(Data_EPA_Survival!$B$5:$B$36,INT(($A38/S$4))+1)))</f>
        <v/>
      </c>
      <c r="T38" s="26">
        <f>IF(($A38/T$4)&gt;=31,0,INDEX(Data_EPA_Survival!$B$5:$B$36,INT(($A38/T$4))+1)+(($A38/T$4)-INT(($A38/T$4)))*(INDEX(Data_EPA_Survival!$B$5:$B$36,INT(($A38/T$4))+2)-INDEX(Data_EPA_Survival!$B$5:$B$36,INT(($A38/T$4))+1)))</f>
        <v/>
      </c>
    </row>
    <row r="39">
      <c r="A39" s="9" t="n">
        <v>33</v>
      </c>
      <c r="C39" s="26">
        <f>IF(($A39/C$4)&gt;=31,0,INDEX(Data_EPA_Survival!$B$5:$B$36,INT(($A39/C$4))+1)+(($A39/C$4)-INT(($A39/C$4)))*(INDEX(Data_EPA_Survival!$B$5:$B$36,INT(($A39/C$4))+2)-INDEX(Data_EPA_Survival!$B$5:$B$36,INT(($A39/C$4))+1)))</f>
        <v/>
      </c>
      <c r="D39" s="26">
        <f>IF(($A39/D$4)&gt;=31,0,INDEX(Data_EPA_Survival!$B$5:$B$36,INT(($A39/D$4))+1)+(($A39/D$4)-INT(($A39/D$4)))*(INDEX(Data_EPA_Survival!$B$5:$B$36,INT(($A39/D$4))+2)-INDEX(Data_EPA_Survival!$B$5:$B$36,INT(($A39/D$4))+1)))</f>
        <v/>
      </c>
      <c r="E39" s="26">
        <f>IF(($A39/E$4)&gt;=31,0,INDEX(Data_EPA_Survival!$B$5:$B$36,INT(($A39/E$4))+1)+(($A39/E$4)-INT(($A39/E$4)))*(INDEX(Data_EPA_Survival!$B$5:$B$36,INT(($A39/E$4))+2)-INDEX(Data_EPA_Survival!$B$5:$B$36,INT(($A39/E$4))+1)))</f>
        <v/>
      </c>
      <c r="F39" s="26">
        <f>IF(($A39/F$4)&gt;=31,0,INDEX(Data_EPA_Survival!$B$5:$B$36,INT(($A39/F$4))+1)+(($A39/F$4)-INT(($A39/F$4)))*(INDEX(Data_EPA_Survival!$B$5:$B$36,INT(($A39/F$4))+2)-INDEX(Data_EPA_Survival!$B$5:$B$36,INT(($A39/F$4))+1)))</f>
        <v/>
      </c>
      <c r="G39" s="26">
        <f>IF(($A39/G$4)&gt;=31,0,INDEX(Data_EPA_Survival!$B$5:$B$36,INT(($A39/G$4))+1)+(($A39/G$4)-INT(($A39/G$4)))*(INDEX(Data_EPA_Survival!$B$5:$B$36,INT(($A39/G$4))+2)-INDEX(Data_EPA_Survival!$B$5:$B$36,INT(($A39/G$4))+1)))</f>
        <v/>
      </c>
      <c r="H39" s="26">
        <f>IF(($A39/H$4)&gt;=31,0,INDEX(Data_EPA_Survival!$B$5:$B$36,INT(($A39/H$4))+1)+(($A39/H$4)-INT(($A39/H$4)))*(INDEX(Data_EPA_Survival!$B$5:$B$36,INT(($A39/H$4))+2)-INDEX(Data_EPA_Survival!$B$5:$B$36,INT(($A39/H$4))+1)))</f>
        <v/>
      </c>
      <c r="I39" s="26">
        <f>IF(($A39/I$4)&gt;=31,0,INDEX(Data_EPA_Survival!$B$5:$B$36,INT(($A39/I$4))+1)+(($A39/I$4)-INT(($A39/I$4)))*(INDEX(Data_EPA_Survival!$B$5:$B$36,INT(($A39/I$4))+2)-INDEX(Data_EPA_Survival!$B$5:$B$36,INT(($A39/I$4))+1)))</f>
        <v/>
      </c>
      <c r="J39" s="26">
        <f>IF(($A39/J$4)&gt;=31,0,INDEX(Data_EPA_Survival!$B$5:$B$36,INT(($A39/J$4))+1)+(($A39/J$4)-INT(($A39/J$4)))*(INDEX(Data_EPA_Survival!$B$5:$B$36,INT(($A39/J$4))+2)-INDEX(Data_EPA_Survival!$B$5:$B$36,INT(($A39/J$4))+1)))</f>
        <v/>
      </c>
      <c r="K39" s="26">
        <f>IF(($A39/K$4)&gt;=31,0,INDEX(Data_EPA_Survival!$B$5:$B$36,INT(($A39/K$4))+1)+(($A39/K$4)-INT(($A39/K$4)))*(INDEX(Data_EPA_Survival!$B$5:$B$36,INT(($A39/K$4))+2)-INDEX(Data_EPA_Survival!$B$5:$B$36,INT(($A39/K$4))+1)))</f>
        <v/>
      </c>
      <c r="L39" s="26">
        <f>IF(($A39/L$4)&gt;=31,0,INDEX(Data_EPA_Survival!$B$5:$B$36,INT(($A39/L$4))+1)+(($A39/L$4)-INT(($A39/L$4)))*(INDEX(Data_EPA_Survival!$B$5:$B$36,INT(($A39/L$4))+2)-INDEX(Data_EPA_Survival!$B$5:$B$36,INT(($A39/L$4))+1)))</f>
        <v/>
      </c>
      <c r="M39" s="26">
        <f>IF(($A39/M$4)&gt;=31,0,INDEX(Data_EPA_Survival!$B$5:$B$36,INT(($A39/M$4))+1)+(($A39/M$4)-INT(($A39/M$4)))*(INDEX(Data_EPA_Survival!$B$5:$B$36,INT(($A39/M$4))+2)-INDEX(Data_EPA_Survival!$B$5:$B$36,INT(($A39/M$4))+1)))</f>
        <v/>
      </c>
      <c r="N39" s="26">
        <f>IF(($A39/N$4)&gt;=31,0,INDEX(Data_EPA_Survival!$B$5:$B$36,INT(($A39/N$4))+1)+(($A39/N$4)-INT(($A39/N$4)))*(INDEX(Data_EPA_Survival!$B$5:$B$36,INT(($A39/N$4))+2)-INDEX(Data_EPA_Survival!$B$5:$B$36,INT(($A39/N$4))+1)))</f>
        <v/>
      </c>
      <c r="O39" s="26">
        <f>IF(($A39/O$4)&gt;=31,0,INDEX(Data_EPA_Survival!$B$5:$B$36,INT(($A39/O$4))+1)+(($A39/O$4)-INT(($A39/O$4)))*(INDEX(Data_EPA_Survival!$B$5:$B$36,INT(($A39/O$4))+2)-INDEX(Data_EPA_Survival!$B$5:$B$36,INT(($A39/O$4))+1)))</f>
        <v/>
      </c>
      <c r="P39" s="26">
        <f>IF(($A39/P$4)&gt;=31,0,INDEX(Data_EPA_Survival!$B$5:$B$36,INT(($A39/P$4))+1)+(($A39/P$4)-INT(($A39/P$4)))*(INDEX(Data_EPA_Survival!$B$5:$B$36,INT(($A39/P$4))+2)-INDEX(Data_EPA_Survival!$B$5:$B$36,INT(($A39/P$4))+1)))</f>
        <v/>
      </c>
      <c r="Q39" s="26">
        <f>IF(($A39/Q$4)&gt;=31,0,INDEX(Data_EPA_Survival!$B$5:$B$36,INT(($A39/Q$4))+1)+(($A39/Q$4)-INT(($A39/Q$4)))*(INDEX(Data_EPA_Survival!$B$5:$B$36,INT(($A39/Q$4))+2)-INDEX(Data_EPA_Survival!$B$5:$B$36,INT(($A39/Q$4))+1)))</f>
        <v/>
      </c>
      <c r="R39" s="26">
        <f>IF(($A39/R$4)&gt;=31,0,INDEX(Data_EPA_Survival!$B$5:$B$36,INT(($A39/R$4))+1)+(($A39/R$4)-INT(($A39/R$4)))*(INDEX(Data_EPA_Survival!$B$5:$B$36,INT(($A39/R$4))+2)-INDEX(Data_EPA_Survival!$B$5:$B$36,INT(($A39/R$4))+1)))</f>
        <v/>
      </c>
      <c r="S39" s="26">
        <f>IF(($A39/S$4)&gt;=31,0,INDEX(Data_EPA_Survival!$B$5:$B$36,INT(($A39/S$4))+1)+(($A39/S$4)-INT(($A39/S$4)))*(INDEX(Data_EPA_Survival!$B$5:$B$36,INT(($A39/S$4))+2)-INDEX(Data_EPA_Survival!$B$5:$B$36,INT(($A39/S$4))+1)))</f>
        <v/>
      </c>
      <c r="T39" s="26">
        <f>IF(($A39/T$4)&gt;=31,0,INDEX(Data_EPA_Survival!$B$5:$B$36,INT(($A39/T$4))+1)+(($A39/T$4)-INT(($A39/T$4)))*(INDEX(Data_EPA_Survival!$B$5:$B$36,INT(($A39/T$4))+2)-INDEX(Data_EPA_Survival!$B$5:$B$36,INT(($A39/T$4))+1)))</f>
        <v/>
      </c>
    </row>
    <row r="40">
      <c r="A40" s="9" t="n">
        <v>34</v>
      </c>
      <c r="C40" s="26">
        <f>IF(($A40/C$4)&gt;=31,0,INDEX(Data_EPA_Survival!$B$5:$B$36,INT(($A40/C$4))+1)+(($A40/C$4)-INT(($A40/C$4)))*(INDEX(Data_EPA_Survival!$B$5:$B$36,INT(($A40/C$4))+2)-INDEX(Data_EPA_Survival!$B$5:$B$36,INT(($A40/C$4))+1)))</f>
        <v/>
      </c>
      <c r="D40" s="26">
        <f>IF(($A40/D$4)&gt;=31,0,INDEX(Data_EPA_Survival!$B$5:$B$36,INT(($A40/D$4))+1)+(($A40/D$4)-INT(($A40/D$4)))*(INDEX(Data_EPA_Survival!$B$5:$B$36,INT(($A40/D$4))+2)-INDEX(Data_EPA_Survival!$B$5:$B$36,INT(($A40/D$4))+1)))</f>
        <v/>
      </c>
      <c r="E40" s="26">
        <f>IF(($A40/E$4)&gt;=31,0,INDEX(Data_EPA_Survival!$B$5:$B$36,INT(($A40/E$4))+1)+(($A40/E$4)-INT(($A40/E$4)))*(INDEX(Data_EPA_Survival!$B$5:$B$36,INT(($A40/E$4))+2)-INDEX(Data_EPA_Survival!$B$5:$B$36,INT(($A40/E$4))+1)))</f>
        <v/>
      </c>
      <c r="F40" s="26">
        <f>IF(($A40/F$4)&gt;=31,0,INDEX(Data_EPA_Survival!$B$5:$B$36,INT(($A40/F$4))+1)+(($A40/F$4)-INT(($A40/F$4)))*(INDEX(Data_EPA_Survival!$B$5:$B$36,INT(($A40/F$4))+2)-INDEX(Data_EPA_Survival!$B$5:$B$36,INT(($A40/F$4))+1)))</f>
        <v/>
      </c>
      <c r="G40" s="26">
        <f>IF(($A40/G$4)&gt;=31,0,INDEX(Data_EPA_Survival!$B$5:$B$36,INT(($A40/G$4))+1)+(($A40/G$4)-INT(($A40/G$4)))*(INDEX(Data_EPA_Survival!$B$5:$B$36,INT(($A40/G$4))+2)-INDEX(Data_EPA_Survival!$B$5:$B$36,INT(($A40/G$4))+1)))</f>
        <v/>
      </c>
      <c r="H40" s="26">
        <f>IF(($A40/H$4)&gt;=31,0,INDEX(Data_EPA_Survival!$B$5:$B$36,INT(($A40/H$4))+1)+(($A40/H$4)-INT(($A40/H$4)))*(INDEX(Data_EPA_Survival!$B$5:$B$36,INT(($A40/H$4))+2)-INDEX(Data_EPA_Survival!$B$5:$B$36,INT(($A40/H$4))+1)))</f>
        <v/>
      </c>
      <c r="I40" s="26">
        <f>IF(($A40/I$4)&gt;=31,0,INDEX(Data_EPA_Survival!$B$5:$B$36,INT(($A40/I$4))+1)+(($A40/I$4)-INT(($A40/I$4)))*(INDEX(Data_EPA_Survival!$B$5:$B$36,INT(($A40/I$4))+2)-INDEX(Data_EPA_Survival!$B$5:$B$36,INT(($A40/I$4))+1)))</f>
        <v/>
      </c>
      <c r="J40" s="26">
        <f>IF(($A40/J$4)&gt;=31,0,INDEX(Data_EPA_Survival!$B$5:$B$36,INT(($A40/J$4))+1)+(($A40/J$4)-INT(($A40/J$4)))*(INDEX(Data_EPA_Survival!$B$5:$B$36,INT(($A40/J$4))+2)-INDEX(Data_EPA_Survival!$B$5:$B$36,INT(($A40/J$4))+1)))</f>
        <v/>
      </c>
      <c r="K40" s="26">
        <f>IF(($A40/K$4)&gt;=31,0,INDEX(Data_EPA_Survival!$B$5:$B$36,INT(($A40/K$4))+1)+(($A40/K$4)-INT(($A40/K$4)))*(INDEX(Data_EPA_Survival!$B$5:$B$36,INT(($A40/K$4))+2)-INDEX(Data_EPA_Survival!$B$5:$B$36,INT(($A40/K$4))+1)))</f>
        <v/>
      </c>
      <c r="L40" s="26">
        <f>IF(($A40/L$4)&gt;=31,0,INDEX(Data_EPA_Survival!$B$5:$B$36,INT(($A40/L$4))+1)+(($A40/L$4)-INT(($A40/L$4)))*(INDEX(Data_EPA_Survival!$B$5:$B$36,INT(($A40/L$4))+2)-INDEX(Data_EPA_Survival!$B$5:$B$36,INT(($A40/L$4))+1)))</f>
        <v/>
      </c>
      <c r="M40" s="26">
        <f>IF(($A40/M$4)&gt;=31,0,INDEX(Data_EPA_Survival!$B$5:$B$36,INT(($A40/M$4))+1)+(($A40/M$4)-INT(($A40/M$4)))*(INDEX(Data_EPA_Survival!$B$5:$B$36,INT(($A40/M$4))+2)-INDEX(Data_EPA_Survival!$B$5:$B$36,INT(($A40/M$4))+1)))</f>
        <v/>
      </c>
      <c r="N40" s="26">
        <f>IF(($A40/N$4)&gt;=31,0,INDEX(Data_EPA_Survival!$B$5:$B$36,INT(($A40/N$4))+1)+(($A40/N$4)-INT(($A40/N$4)))*(INDEX(Data_EPA_Survival!$B$5:$B$36,INT(($A40/N$4))+2)-INDEX(Data_EPA_Survival!$B$5:$B$36,INT(($A40/N$4))+1)))</f>
        <v/>
      </c>
      <c r="O40" s="26">
        <f>IF(($A40/O$4)&gt;=31,0,INDEX(Data_EPA_Survival!$B$5:$B$36,INT(($A40/O$4))+1)+(($A40/O$4)-INT(($A40/O$4)))*(INDEX(Data_EPA_Survival!$B$5:$B$36,INT(($A40/O$4))+2)-INDEX(Data_EPA_Survival!$B$5:$B$36,INT(($A40/O$4))+1)))</f>
        <v/>
      </c>
      <c r="P40" s="26">
        <f>IF(($A40/P$4)&gt;=31,0,INDEX(Data_EPA_Survival!$B$5:$B$36,INT(($A40/P$4))+1)+(($A40/P$4)-INT(($A40/P$4)))*(INDEX(Data_EPA_Survival!$B$5:$B$36,INT(($A40/P$4))+2)-INDEX(Data_EPA_Survival!$B$5:$B$36,INT(($A40/P$4))+1)))</f>
        <v/>
      </c>
      <c r="Q40" s="26">
        <f>IF(($A40/Q$4)&gt;=31,0,INDEX(Data_EPA_Survival!$B$5:$B$36,INT(($A40/Q$4))+1)+(($A40/Q$4)-INT(($A40/Q$4)))*(INDEX(Data_EPA_Survival!$B$5:$B$36,INT(($A40/Q$4))+2)-INDEX(Data_EPA_Survival!$B$5:$B$36,INT(($A40/Q$4))+1)))</f>
        <v/>
      </c>
      <c r="R40" s="26">
        <f>IF(($A40/R$4)&gt;=31,0,INDEX(Data_EPA_Survival!$B$5:$B$36,INT(($A40/R$4))+1)+(($A40/R$4)-INT(($A40/R$4)))*(INDEX(Data_EPA_Survival!$B$5:$B$36,INT(($A40/R$4))+2)-INDEX(Data_EPA_Survival!$B$5:$B$36,INT(($A40/R$4))+1)))</f>
        <v/>
      </c>
      <c r="S40" s="26">
        <f>IF(($A40/S$4)&gt;=31,0,INDEX(Data_EPA_Survival!$B$5:$B$36,INT(($A40/S$4))+1)+(($A40/S$4)-INT(($A40/S$4)))*(INDEX(Data_EPA_Survival!$B$5:$B$36,INT(($A40/S$4))+2)-INDEX(Data_EPA_Survival!$B$5:$B$36,INT(($A40/S$4))+1)))</f>
        <v/>
      </c>
      <c r="T40" s="26">
        <f>IF(($A40/T$4)&gt;=31,0,INDEX(Data_EPA_Survival!$B$5:$B$36,INT(($A40/T$4))+1)+(($A40/T$4)-INT(($A40/T$4)))*(INDEX(Data_EPA_Survival!$B$5:$B$36,INT(($A40/T$4))+2)-INDEX(Data_EPA_Survival!$B$5:$B$36,INT(($A40/T$4))+1)))</f>
        <v/>
      </c>
    </row>
    <row r="41">
      <c r="A41" s="9" t="n">
        <v>35</v>
      </c>
      <c r="C41" s="26">
        <f>IF(($A41/C$4)&gt;=31,0,INDEX(Data_EPA_Survival!$B$5:$B$36,INT(($A41/C$4))+1)+(($A41/C$4)-INT(($A41/C$4)))*(INDEX(Data_EPA_Survival!$B$5:$B$36,INT(($A41/C$4))+2)-INDEX(Data_EPA_Survival!$B$5:$B$36,INT(($A41/C$4))+1)))</f>
        <v/>
      </c>
      <c r="D41" s="26">
        <f>IF(($A41/D$4)&gt;=31,0,INDEX(Data_EPA_Survival!$B$5:$B$36,INT(($A41/D$4))+1)+(($A41/D$4)-INT(($A41/D$4)))*(INDEX(Data_EPA_Survival!$B$5:$B$36,INT(($A41/D$4))+2)-INDEX(Data_EPA_Survival!$B$5:$B$36,INT(($A41/D$4))+1)))</f>
        <v/>
      </c>
      <c r="E41" s="26">
        <f>IF(($A41/E$4)&gt;=31,0,INDEX(Data_EPA_Survival!$B$5:$B$36,INT(($A41/E$4))+1)+(($A41/E$4)-INT(($A41/E$4)))*(INDEX(Data_EPA_Survival!$B$5:$B$36,INT(($A41/E$4))+2)-INDEX(Data_EPA_Survival!$B$5:$B$36,INT(($A41/E$4))+1)))</f>
        <v/>
      </c>
      <c r="F41" s="26">
        <f>IF(($A41/F$4)&gt;=31,0,INDEX(Data_EPA_Survival!$B$5:$B$36,INT(($A41/F$4))+1)+(($A41/F$4)-INT(($A41/F$4)))*(INDEX(Data_EPA_Survival!$B$5:$B$36,INT(($A41/F$4))+2)-INDEX(Data_EPA_Survival!$B$5:$B$36,INT(($A41/F$4))+1)))</f>
        <v/>
      </c>
      <c r="G41" s="26">
        <f>IF(($A41/G$4)&gt;=31,0,INDEX(Data_EPA_Survival!$B$5:$B$36,INT(($A41/G$4))+1)+(($A41/G$4)-INT(($A41/G$4)))*(INDEX(Data_EPA_Survival!$B$5:$B$36,INT(($A41/G$4))+2)-INDEX(Data_EPA_Survival!$B$5:$B$36,INT(($A41/G$4))+1)))</f>
        <v/>
      </c>
      <c r="H41" s="26">
        <f>IF(($A41/H$4)&gt;=31,0,INDEX(Data_EPA_Survival!$B$5:$B$36,INT(($A41/H$4))+1)+(($A41/H$4)-INT(($A41/H$4)))*(INDEX(Data_EPA_Survival!$B$5:$B$36,INT(($A41/H$4))+2)-INDEX(Data_EPA_Survival!$B$5:$B$36,INT(($A41/H$4))+1)))</f>
        <v/>
      </c>
      <c r="I41" s="26">
        <f>IF(($A41/I$4)&gt;=31,0,INDEX(Data_EPA_Survival!$B$5:$B$36,INT(($A41/I$4))+1)+(($A41/I$4)-INT(($A41/I$4)))*(INDEX(Data_EPA_Survival!$B$5:$B$36,INT(($A41/I$4))+2)-INDEX(Data_EPA_Survival!$B$5:$B$36,INT(($A41/I$4))+1)))</f>
        <v/>
      </c>
      <c r="J41" s="26">
        <f>IF(($A41/J$4)&gt;=31,0,INDEX(Data_EPA_Survival!$B$5:$B$36,INT(($A41/J$4))+1)+(($A41/J$4)-INT(($A41/J$4)))*(INDEX(Data_EPA_Survival!$B$5:$B$36,INT(($A41/J$4))+2)-INDEX(Data_EPA_Survival!$B$5:$B$36,INT(($A41/J$4))+1)))</f>
        <v/>
      </c>
      <c r="K41" s="26">
        <f>IF(($A41/K$4)&gt;=31,0,INDEX(Data_EPA_Survival!$B$5:$B$36,INT(($A41/K$4))+1)+(($A41/K$4)-INT(($A41/K$4)))*(INDEX(Data_EPA_Survival!$B$5:$B$36,INT(($A41/K$4))+2)-INDEX(Data_EPA_Survival!$B$5:$B$36,INT(($A41/K$4))+1)))</f>
        <v/>
      </c>
      <c r="L41" s="26">
        <f>IF(($A41/L$4)&gt;=31,0,INDEX(Data_EPA_Survival!$B$5:$B$36,INT(($A41/L$4))+1)+(($A41/L$4)-INT(($A41/L$4)))*(INDEX(Data_EPA_Survival!$B$5:$B$36,INT(($A41/L$4))+2)-INDEX(Data_EPA_Survival!$B$5:$B$36,INT(($A41/L$4))+1)))</f>
        <v/>
      </c>
      <c r="M41" s="26">
        <f>IF(($A41/M$4)&gt;=31,0,INDEX(Data_EPA_Survival!$B$5:$B$36,INT(($A41/M$4))+1)+(($A41/M$4)-INT(($A41/M$4)))*(INDEX(Data_EPA_Survival!$B$5:$B$36,INT(($A41/M$4))+2)-INDEX(Data_EPA_Survival!$B$5:$B$36,INT(($A41/M$4))+1)))</f>
        <v/>
      </c>
      <c r="N41" s="26">
        <f>IF(($A41/N$4)&gt;=31,0,INDEX(Data_EPA_Survival!$B$5:$B$36,INT(($A41/N$4))+1)+(($A41/N$4)-INT(($A41/N$4)))*(INDEX(Data_EPA_Survival!$B$5:$B$36,INT(($A41/N$4))+2)-INDEX(Data_EPA_Survival!$B$5:$B$36,INT(($A41/N$4))+1)))</f>
        <v/>
      </c>
      <c r="O41" s="26">
        <f>IF(($A41/O$4)&gt;=31,0,INDEX(Data_EPA_Survival!$B$5:$B$36,INT(($A41/O$4))+1)+(($A41/O$4)-INT(($A41/O$4)))*(INDEX(Data_EPA_Survival!$B$5:$B$36,INT(($A41/O$4))+2)-INDEX(Data_EPA_Survival!$B$5:$B$36,INT(($A41/O$4))+1)))</f>
        <v/>
      </c>
      <c r="P41" s="26">
        <f>IF(($A41/P$4)&gt;=31,0,INDEX(Data_EPA_Survival!$B$5:$B$36,INT(($A41/P$4))+1)+(($A41/P$4)-INT(($A41/P$4)))*(INDEX(Data_EPA_Survival!$B$5:$B$36,INT(($A41/P$4))+2)-INDEX(Data_EPA_Survival!$B$5:$B$36,INT(($A41/P$4))+1)))</f>
        <v/>
      </c>
      <c r="Q41" s="26">
        <f>IF(($A41/Q$4)&gt;=31,0,INDEX(Data_EPA_Survival!$B$5:$B$36,INT(($A41/Q$4))+1)+(($A41/Q$4)-INT(($A41/Q$4)))*(INDEX(Data_EPA_Survival!$B$5:$B$36,INT(($A41/Q$4))+2)-INDEX(Data_EPA_Survival!$B$5:$B$36,INT(($A41/Q$4))+1)))</f>
        <v/>
      </c>
      <c r="R41" s="26">
        <f>IF(($A41/R$4)&gt;=31,0,INDEX(Data_EPA_Survival!$B$5:$B$36,INT(($A41/R$4))+1)+(($A41/R$4)-INT(($A41/R$4)))*(INDEX(Data_EPA_Survival!$B$5:$B$36,INT(($A41/R$4))+2)-INDEX(Data_EPA_Survival!$B$5:$B$36,INT(($A41/R$4))+1)))</f>
        <v/>
      </c>
      <c r="S41" s="26">
        <f>IF(($A41/S$4)&gt;=31,0,INDEX(Data_EPA_Survival!$B$5:$B$36,INT(($A41/S$4))+1)+(($A41/S$4)-INT(($A41/S$4)))*(INDEX(Data_EPA_Survival!$B$5:$B$36,INT(($A41/S$4))+2)-INDEX(Data_EPA_Survival!$B$5:$B$36,INT(($A41/S$4))+1)))</f>
        <v/>
      </c>
      <c r="T41" s="26">
        <f>IF(($A41/T$4)&gt;=31,0,INDEX(Data_EPA_Survival!$B$5:$B$36,INT(($A41/T$4))+1)+(($A41/T$4)-INT(($A41/T$4)))*(INDEX(Data_EPA_Survival!$B$5:$B$36,INT(($A41/T$4))+2)-INDEX(Data_EPA_Survival!$B$5:$B$36,INT(($A41/T$4))+1)))</f>
        <v/>
      </c>
    </row>
    <row r="42">
      <c r="A42" s="9" t="n">
        <v>36</v>
      </c>
      <c r="C42" s="26">
        <f>IF(($A42/C$4)&gt;=31,0,INDEX(Data_EPA_Survival!$B$5:$B$36,INT(($A42/C$4))+1)+(($A42/C$4)-INT(($A42/C$4)))*(INDEX(Data_EPA_Survival!$B$5:$B$36,INT(($A42/C$4))+2)-INDEX(Data_EPA_Survival!$B$5:$B$36,INT(($A42/C$4))+1)))</f>
        <v/>
      </c>
      <c r="D42" s="26">
        <f>IF(($A42/D$4)&gt;=31,0,INDEX(Data_EPA_Survival!$B$5:$B$36,INT(($A42/D$4))+1)+(($A42/D$4)-INT(($A42/D$4)))*(INDEX(Data_EPA_Survival!$B$5:$B$36,INT(($A42/D$4))+2)-INDEX(Data_EPA_Survival!$B$5:$B$36,INT(($A42/D$4))+1)))</f>
        <v/>
      </c>
      <c r="E42" s="26">
        <f>IF(($A42/E$4)&gt;=31,0,INDEX(Data_EPA_Survival!$B$5:$B$36,INT(($A42/E$4))+1)+(($A42/E$4)-INT(($A42/E$4)))*(INDEX(Data_EPA_Survival!$B$5:$B$36,INT(($A42/E$4))+2)-INDEX(Data_EPA_Survival!$B$5:$B$36,INT(($A42/E$4))+1)))</f>
        <v/>
      </c>
      <c r="F42" s="26">
        <f>IF(($A42/F$4)&gt;=31,0,INDEX(Data_EPA_Survival!$B$5:$B$36,INT(($A42/F$4))+1)+(($A42/F$4)-INT(($A42/F$4)))*(INDEX(Data_EPA_Survival!$B$5:$B$36,INT(($A42/F$4))+2)-INDEX(Data_EPA_Survival!$B$5:$B$36,INT(($A42/F$4))+1)))</f>
        <v/>
      </c>
      <c r="G42" s="26">
        <f>IF(($A42/G$4)&gt;=31,0,INDEX(Data_EPA_Survival!$B$5:$B$36,INT(($A42/G$4))+1)+(($A42/G$4)-INT(($A42/G$4)))*(INDEX(Data_EPA_Survival!$B$5:$B$36,INT(($A42/G$4))+2)-INDEX(Data_EPA_Survival!$B$5:$B$36,INT(($A42/G$4))+1)))</f>
        <v/>
      </c>
      <c r="H42" s="26">
        <f>IF(($A42/H$4)&gt;=31,0,INDEX(Data_EPA_Survival!$B$5:$B$36,INT(($A42/H$4))+1)+(($A42/H$4)-INT(($A42/H$4)))*(INDEX(Data_EPA_Survival!$B$5:$B$36,INT(($A42/H$4))+2)-INDEX(Data_EPA_Survival!$B$5:$B$36,INT(($A42/H$4))+1)))</f>
        <v/>
      </c>
      <c r="I42" s="26">
        <f>IF(($A42/I$4)&gt;=31,0,INDEX(Data_EPA_Survival!$B$5:$B$36,INT(($A42/I$4))+1)+(($A42/I$4)-INT(($A42/I$4)))*(INDEX(Data_EPA_Survival!$B$5:$B$36,INT(($A42/I$4))+2)-INDEX(Data_EPA_Survival!$B$5:$B$36,INT(($A42/I$4))+1)))</f>
        <v/>
      </c>
      <c r="J42" s="26">
        <f>IF(($A42/J$4)&gt;=31,0,INDEX(Data_EPA_Survival!$B$5:$B$36,INT(($A42/J$4))+1)+(($A42/J$4)-INT(($A42/J$4)))*(INDEX(Data_EPA_Survival!$B$5:$B$36,INT(($A42/J$4))+2)-INDEX(Data_EPA_Survival!$B$5:$B$36,INT(($A42/J$4))+1)))</f>
        <v/>
      </c>
      <c r="K42" s="26">
        <f>IF(($A42/K$4)&gt;=31,0,INDEX(Data_EPA_Survival!$B$5:$B$36,INT(($A42/K$4))+1)+(($A42/K$4)-INT(($A42/K$4)))*(INDEX(Data_EPA_Survival!$B$5:$B$36,INT(($A42/K$4))+2)-INDEX(Data_EPA_Survival!$B$5:$B$36,INT(($A42/K$4))+1)))</f>
        <v/>
      </c>
      <c r="L42" s="26">
        <f>IF(($A42/L$4)&gt;=31,0,INDEX(Data_EPA_Survival!$B$5:$B$36,INT(($A42/L$4))+1)+(($A42/L$4)-INT(($A42/L$4)))*(INDEX(Data_EPA_Survival!$B$5:$B$36,INT(($A42/L$4))+2)-INDEX(Data_EPA_Survival!$B$5:$B$36,INT(($A42/L$4))+1)))</f>
        <v/>
      </c>
      <c r="M42" s="26">
        <f>IF(($A42/M$4)&gt;=31,0,INDEX(Data_EPA_Survival!$B$5:$B$36,INT(($A42/M$4))+1)+(($A42/M$4)-INT(($A42/M$4)))*(INDEX(Data_EPA_Survival!$B$5:$B$36,INT(($A42/M$4))+2)-INDEX(Data_EPA_Survival!$B$5:$B$36,INT(($A42/M$4))+1)))</f>
        <v/>
      </c>
      <c r="N42" s="26">
        <f>IF(($A42/N$4)&gt;=31,0,INDEX(Data_EPA_Survival!$B$5:$B$36,INT(($A42/N$4))+1)+(($A42/N$4)-INT(($A42/N$4)))*(INDEX(Data_EPA_Survival!$B$5:$B$36,INT(($A42/N$4))+2)-INDEX(Data_EPA_Survival!$B$5:$B$36,INT(($A42/N$4))+1)))</f>
        <v/>
      </c>
      <c r="O42" s="26">
        <f>IF(($A42/O$4)&gt;=31,0,INDEX(Data_EPA_Survival!$B$5:$B$36,INT(($A42/O$4))+1)+(($A42/O$4)-INT(($A42/O$4)))*(INDEX(Data_EPA_Survival!$B$5:$B$36,INT(($A42/O$4))+2)-INDEX(Data_EPA_Survival!$B$5:$B$36,INT(($A42/O$4))+1)))</f>
        <v/>
      </c>
      <c r="P42" s="26">
        <f>IF(($A42/P$4)&gt;=31,0,INDEX(Data_EPA_Survival!$B$5:$B$36,INT(($A42/P$4))+1)+(($A42/P$4)-INT(($A42/P$4)))*(INDEX(Data_EPA_Survival!$B$5:$B$36,INT(($A42/P$4))+2)-INDEX(Data_EPA_Survival!$B$5:$B$36,INT(($A42/P$4))+1)))</f>
        <v/>
      </c>
      <c r="Q42" s="26">
        <f>IF(($A42/Q$4)&gt;=31,0,INDEX(Data_EPA_Survival!$B$5:$B$36,INT(($A42/Q$4))+1)+(($A42/Q$4)-INT(($A42/Q$4)))*(INDEX(Data_EPA_Survival!$B$5:$B$36,INT(($A42/Q$4))+2)-INDEX(Data_EPA_Survival!$B$5:$B$36,INT(($A42/Q$4))+1)))</f>
        <v/>
      </c>
      <c r="R42" s="26">
        <f>IF(($A42/R$4)&gt;=31,0,INDEX(Data_EPA_Survival!$B$5:$B$36,INT(($A42/R$4))+1)+(($A42/R$4)-INT(($A42/R$4)))*(INDEX(Data_EPA_Survival!$B$5:$B$36,INT(($A42/R$4))+2)-INDEX(Data_EPA_Survival!$B$5:$B$36,INT(($A42/R$4))+1)))</f>
        <v/>
      </c>
      <c r="S42" s="26">
        <f>IF(($A42/S$4)&gt;=31,0,INDEX(Data_EPA_Survival!$B$5:$B$36,INT(($A42/S$4))+1)+(($A42/S$4)-INT(($A42/S$4)))*(INDEX(Data_EPA_Survival!$B$5:$B$36,INT(($A42/S$4))+2)-INDEX(Data_EPA_Survival!$B$5:$B$36,INT(($A42/S$4))+1)))</f>
        <v/>
      </c>
      <c r="T42" s="26">
        <f>IF(($A42/T$4)&gt;=31,0,INDEX(Data_EPA_Survival!$B$5:$B$36,INT(($A42/T$4))+1)+(($A42/T$4)-INT(($A42/T$4)))*(INDEX(Data_EPA_Survival!$B$5:$B$36,INT(($A42/T$4))+2)-INDEX(Data_EPA_Survival!$B$5:$B$36,INT(($A42/T$4))+1)))</f>
        <v/>
      </c>
    </row>
    <row r="43">
      <c r="A43" s="9" t="n">
        <v>37</v>
      </c>
      <c r="C43" s="26">
        <f>IF(($A43/C$4)&gt;=31,0,INDEX(Data_EPA_Survival!$B$5:$B$36,INT(($A43/C$4))+1)+(($A43/C$4)-INT(($A43/C$4)))*(INDEX(Data_EPA_Survival!$B$5:$B$36,INT(($A43/C$4))+2)-INDEX(Data_EPA_Survival!$B$5:$B$36,INT(($A43/C$4))+1)))</f>
        <v/>
      </c>
      <c r="D43" s="26">
        <f>IF(($A43/D$4)&gt;=31,0,INDEX(Data_EPA_Survival!$B$5:$B$36,INT(($A43/D$4))+1)+(($A43/D$4)-INT(($A43/D$4)))*(INDEX(Data_EPA_Survival!$B$5:$B$36,INT(($A43/D$4))+2)-INDEX(Data_EPA_Survival!$B$5:$B$36,INT(($A43/D$4))+1)))</f>
        <v/>
      </c>
      <c r="E43" s="26">
        <f>IF(($A43/E$4)&gt;=31,0,INDEX(Data_EPA_Survival!$B$5:$B$36,INT(($A43/E$4))+1)+(($A43/E$4)-INT(($A43/E$4)))*(INDEX(Data_EPA_Survival!$B$5:$B$36,INT(($A43/E$4))+2)-INDEX(Data_EPA_Survival!$B$5:$B$36,INT(($A43/E$4))+1)))</f>
        <v/>
      </c>
      <c r="F43" s="26">
        <f>IF(($A43/F$4)&gt;=31,0,INDEX(Data_EPA_Survival!$B$5:$B$36,INT(($A43/F$4))+1)+(($A43/F$4)-INT(($A43/F$4)))*(INDEX(Data_EPA_Survival!$B$5:$B$36,INT(($A43/F$4))+2)-INDEX(Data_EPA_Survival!$B$5:$B$36,INT(($A43/F$4))+1)))</f>
        <v/>
      </c>
      <c r="G43" s="26">
        <f>IF(($A43/G$4)&gt;=31,0,INDEX(Data_EPA_Survival!$B$5:$B$36,INT(($A43/G$4))+1)+(($A43/G$4)-INT(($A43/G$4)))*(INDEX(Data_EPA_Survival!$B$5:$B$36,INT(($A43/G$4))+2)-INDEX(Data_EPA_Survival!$B$5:$B$36,INT(($A43/G$4))+1)))</f>
        <v/>
      </c>
      <c r="H43" s="26">
        <f>IF(($A43/H$4)&gt;=31,0,INDEX(Data_EPA_Survival!$B$5:$B$36,INT(($A43/H$4))+1)+(($A43/H$4)-INT(($A43/H$4)))*(INDEX(Data_EPA_Survival!$B$5:$B$36,INT(($A43/H$4))+2)-INDEX(Data_EPA_Survival!$B$5:$B$36,INT(($A43/H$4))+1)))</f>
        <v/>
      </c>
      <c r="I43" s="26">
        <f>IF(($A43/I$4)&gt;=31,0,INDEX(Data_EPA_Survival!$B$5:$B$36,INT(($A43/I$4))+1)+(($A43/I$4)-INT(($A43/I$4)))*(INDEX(Data_EPA_Survival!$B$5:$B$36,INT(($A43/I$4))+2)-INDEX(Data_EPA_Survival!$B$5:$B$36,INT(($A43/I$4))+1)))</f>
        <v/>
      </c>
      <c r="J43" s="26">
        <f>IF(($A43/J$4)&gt;=31,0,INDEX(Data_EPA_Survival!$B$5:$B$36,INT(($A43/J$4))+1)+(($A43/J$4)-INT(($A43/J$4)))*(INDEX(Data_EPA_Survival!$B$5:$B$36,INT(($A43/J$4))+2)-INDEX(Data_EPA_Survival!$B$5:$B$36,INT(($A43/J$4))+1)))</f>
        <v/>
      </c>
      <c r="K43" s="26">
        <f>IF(($A43/K$4)&gt;=31,0,INDEX(Data_EPA_Survival!$B$5:$B$36,INT(($A43/K$4))+1)+(($A43/K$4)-INT(($A43/K$4)))*(INDEX(Data_EPA_Survival!$B$5:$B$36,INT(($A43/K$4))+2)-INDEX(Data_EPA_Survival!$B$5:$B$36,INT(($A43/K$4))+1)))</f>
        <v/>
      </c>
      <c r="L43" s="26">
        <f>IF(($A43/L$4)&gt;=31,0,INDEX(Data_EPA_Survival!$B$5:$B$36,INT(($A43/L$4))+1)+(($A43/L$4)-INT(($A43/L$4)))*(INDEX(Data_EPA_Survival!$B$5:$B$36,INT(($A43/L$4))+2)-INDEX(Data_EPA_Survival!$B$5:$B$36,INT(($A43/L$4))+1)))</f>
        <v/>
      </c>
      <c r="M43" s="26">
        <f>IF(($A43/M$4)&gt;=31,0,INDEX(Data_EPA_Survival!$B$5:$B$36,INT(($A43/M$4))+1)+(($A43/M$4)-INT(($A43/M$4)))*(INDEX(Data_EPA_Survival!$B$5:$B$36,INT(($A43/M$4))+2)-INDEX(Data_EPA_Survival!$B$5:$B$36,INT(($A43/M$4))+1)))</f>
        <v/>
      </c>
      <c r="N43" s="26">
        <f>IF(($A43/N$4)&gt;=31,0,INDEX(Data_EPA_Survival!$B$5:$B$36,INT(($A43/N$4))+1)+(($A43/N$4)-INT(($A43/N$4)))*(INDEX(Data_EPA_Survival!$B$5:$B$36,INT(($A43/N$4))+2)-INDEX(Data_EPA_Survival!$B$5:$B$36,INT(($A43/N$4))+1)))</f>
        <v/>
      </c>
      <c r="O43" s="26">
        <f>IF(($A43/O$4)&gt;=31,0,INDEX(Data_EPA_Survival!$B$5:$B$36,INT(($A43/O$4))+1)+(($A43/O$4)-INT(($A43/O$4)))*(INDEX(Data_EPA_Survival!$B$5:$B$36,INT(($A43/O$4))+2)-INDEX(Data_EPA_Survival!$B$5:$B$36,INT(($A43/O$4))+1)))</f>
        <v/>
      </c>
      <c r="P43" s="26">
        <f>IF(($A43/P$4)&gt;=31,0,INDEX(Data_EPA_Survival!$B$5:$B$36,INT(($A43/P$4))+1)+(($A43/P$4)-INT(($A43/P$4)))*(INDEX(Data_EPA_Survival!$B$5:$B$36,INT(($A43/P$4))+2)-INDEX(Data_EPA_Survival!$B$5:$B$36,INT(($A43/P$4))+1)))</f>
        <v/>
      </c>
      <c r="Q43" s="26">
        <f>IF(($A43/Q$4)&gt;=31,0,INDEX(Data_EPA_Survival!$B$5:$B$36,INT(($A43/Q$4))+1)+(($A43/Q$4)-INT(($A43/Q$4)))*(INDEX(Data_EPA_Survival!$B$5:$B$36,INT(($A43/Q$4))+2)-INDEX(Data_EPA_Survival!$B$5:$B$36,INT(($A43/Q$4))+1)))</f>
        <v/>
      </c>
      <c r="R43" s="26">
        <f>IF(($A43/R$4)&gt;=31,0,INDEX(Data_EPA_Survival!$B$5:$B$36,INT(($A43/R$4))+1)+(($A43/R$4)-INT(($A43/R$4)))*(INDEX(Data_EPA_Survival!$B$5:$B$36,INT(($A43/R$4))+2)-INDEX(Data_EPA_Survival!$B$5:$B$36,INT(($A43/R$4))+1)))</f>
        <v/>
      </c>
      <c r="S43" s="26">
        <f>IF(($A43/S$4)&gt;=31,0,INDEX(Data_EPA_Survival!$B$5:$B$36,INT(($A43/S$4))+1)+(($A43/S$4)-INT(($A43/S$4)))*(INDEX(Data_EPA_Survival!$B$5:$B$36,INT(($A43/S$4))+2)-INDEX(Data_EPA_Survival!$B$5:$B$36,INT(($A43/S$4))+1)))</f>
        <v/>
      </c>
      <c r="T43" s="26">
        <f>IF(($A43/T$4)&gt;=31,0,INDEX(Data_EPA_Survival!$B$5:$B$36,INT(($A43/T$4))+1)+(($A43/T$4)-INT(($A43/T$4)))*(INDEX(Data_EPA_Survival!$B$5:$B$36,INT(($A43/T$4))+2)-INDEX(Data_EPA_Survival!$B$5:$B$36,INT(($A43/T$4))+1)))</f>
        <v/>
      </c>
    </row>
    <row r="44">
      <c r="A44" s="9" t="n">
        <v>38</v>
      </c>
      <c r="C44" s="26">
        <f>IF(($A44/C$4)&gt;=31,0,INDEX(Data_EPA_Survival!$B$5:$B$36,INT(($A44/C$4))+1)+(($A44/C$4)-INT(($A44/C$4)))*(INDEX(Data_EPA_Survival!$B$5:$B$36,INT(($A44/C$4))+2)-INDEX(Data_EPA_Survival!$B$5:$B$36,INT(($A44/C$4))+1)))</f>
        <v/>
      </c>
      <c r="D44" s="26">
        <f>IF(($A44/D$4)&gt;=31,0,INDEX(Data_EPA_Survival!$B$5:$B$36,INT(($A44/D$4))+1)+(($A44/D$4)-INT(($A44/D$4)))*(INDEX(Data_EPA_Survival!$B$5:$B$36,INT(($A44/D$4))+2)-INDEX(Data_EPA_Survival!$B$5:$B$36,INT(($A44/D$4))+1)))</f>
        <v/>
      </c>
      <c r="E44" s="26">
        <f>IF(($A44/E$4)&gt;=31,0,INDEX(Data_EPA_Survival!$B$5:$B$36,INT(($A44/E$4))+1)+(($A44/E$4)-INT(($A44/E$4)))*(INDEX(Data_EPA_Survival!$B$5:$B$36,INT(($A44/E$4))+2)-INDEX(Data_EPA_Survival!$B$5:$B$36,INT(($A44/E$4))+1)))</f>
        <v/>
      </c>
      <c r="F44" s="26">
        <f>IF(($A44/F$4)&gt;=31,0,INDEX(Data_EPA_Survival!$B$5:$B$36,INT(($A44/F$4))+1)+(($A44/F$4)-INT(($A44/F$4)))*(INDEX(Data_EPA_Survival!$B$5:$B$36,INT(($A44/F$4))+2)-INDEX(Data_EPA_Survival!$B$5:$B$36,INT(($A44/F$4))+1)))</f>
        <v/>
      </c>
      <c r="G44" s="26">
        <f>IF(($A44/G$4)&gt;=31,0,INDEX(Data_EPA_Survival!$B$5:$B$36,INT(($A44/G$4))+1)+(($A44/G$4)-INT(($A44/G$4)))*(INDEX(Data_EPA_Survival!$B$5:$B$36,INT(($A44/G$4))+2)-INDEX(Data_EPA_Survival!$B$5:$B$36,INT(($A44/G$4))+1)))</f>
        <v/>
      </c>
      <c r="H44" s="26">
        <f>IF(($A44/H$4)&gt;=31,0,INDEX(Data_EPA_Survival!$B$5:$B$36,INT(($A44/H$4))+1)+(($A44/H$4)-INT(($A44/H$4)))*(INDEX(Data_EPA_Survival!$B$5:$B$36,INT(($A44/H$4))+2)-INDEX(Data_EPA_Survival!$B$5:$B$36,INT(($A44/H$4))+1)))</f>
        <v/>
      </c>
      <c r="I44" s="26">
        <f>IF(($A44/I$4)&gt;=31,0,INDEX(Data_EPA_Survival!$B$5:$B$36,INT(($A44/I$4))+1)+(($A44/I$4)-INT(($A44/I$4)))*(INDEX(Data_EPA_Survival!$B$5:$B$36,INT(($A44/I$4))+2)-INDEX(Data_EPA_Survival!$B$5:$B$36,INT(($A44/I$4))+1)))</f>
        <v/>
      </c>
      <c r="J44" s="26">
        <f>IF(($A44/J$4)&gt;=31,0,INDEX(Data_EPA_Survival!$B$5:$B$36,INT(($A44/J$4))+1)+(($A44/J$4)-INT(($A44/J$4)))*(INDEX(Data_EPA_Survival!$B$5:$B$36,INT(($A44/J$4))+2)-INDEX(Data_EPA_Survival!$B$5:$B$36,INT(($A44/J$4))+1)))</f>
        <v/>
      </c>
      <c r="K44" s="26">
        <f>IF(($A44/K$4)&gt;=31,0,INDEX(Data_EPA_Survival!$B$5:$B$36,INT(($A44/K$4))+1)+(($A44/K$4)-INT(($A44/K$4)))*(INDEX(Data_EPA_Survival!$B$5:$B$36,INT(($A44/K$4))+2)-INDEX(Data_EPA_Survival!$B$5:$B$36,INT(($A44/K$4))+1)))</f>
        <v/>
      </c>
      <c r="L44" s="26">
        <f>IF(($A44/L$4)&gt;=31,0,INDEX(Data_EPA_Survival!$B$5:$B$36,INT(($A44/L$4))+1)+(($A44/L$4)-INT(($A44/L$4)))*(INDEX(Data_EPA_Survival!$B$5:$B$36,INT(($A44/L$4))+2)-INDEX(Data_EPA_Survival!$B$5:$B$36,INT(($A44/L$4))+1)))</f>
        <v/>
      </c>
      <c r="M44" s="26">
        <f>IF(($A44/M$4)&gt;=31,0,INDEX(Data_EPA_Survival!$B$5:$B$36,INT(($A44/M$4))+1)+(($A44/M$4)-INT(($A44/M$4)))*(INDEX(Data_EPA_Survival!$B$5:$B$36,INT(($A44/M$4))+2)-INDEX(Data_EPA_Survival!$B$5:$B$36,INT(($A44/M$4))+1)))</f>
        <v/>
      </c>
      <c r="N44" s="26">
        <f>IF(($A44/N$4)&gt;=31,0,INDEX(Data_EPA_Survival!$B$5:$B$36,INT(($A44/N$4))+1)+(($A44/N$4)-INT(($A44/N$4)))*(INDEX(Data_EPA_Survival!$B$5:$B$36,INT(($A44/N$4))+2)-INDEX(Data_EPA_Survival!$B$5:$B$36,INT(($A44/N$4))+1)))</f>
        <v/>
      </c>
      <c r="O44" s="26">
        <f>IF(($A44/O$4)&gt;=31,0,INDEX(Data_EPA_Survival!$B$5:$B$36,INT(($A44/O$4))+1)+(($A44/O$4)-INT(($A44/O$4)))*(INDEX(Data_EPA_Survival!$B$5:$B$36,INT(($A44/O$4))+2)-INDEX(Data_EPA_Survival!$B$5:$B$36,INT(($A44/O$4))+1)))</f>
        <v/>
      </c>
      <c r="P44" s="26">
        <f>IF(($A44/P$4)&gt;=31,0,INDEX(Data_EPA_Survival!$B$5:$B$36,INT(($A44/P$4))+1)+(($A44/P$4)-INT(($A44/P$4)))*(INDEX(Data_EPA_Survival!$B$5:$B$36,INT(($A44/P$4))+2)-INDEX(Data_EPA_Survival!$B$5:$B$36,INT(($A44/P$4))+1)))</f>
        <v/>
      </c>
      <c r="Q44" s="26">
        <f>IF(($A44/Q$4)&gt;=31,0,INDEX(Data_EPA_Survival!$B$5:$B$36,INT(($A44/Q$4))+1)+(($A44/Q$4)-INT(($A44/Q$4)))*(INDEX(Data_EPA_Survival!$B$5:$B$36,INT(($A44/Q$4))+2)-INDEX(Data_EPA_Survival!$B$5:$B$36,INT(($A44/Q$4))+1)))</f>
        <v/>
      </c>
      <c r="R44" s="26">
        <f>IF(($A44/R$4)&gt;=31,0,INDEX(Data_EPA_Survival!$B$5:$B$36,INT(($A44/R$4))+1)+(($A44/R$4)-INT(($A44/R$4)))*(INDEX(Data_EPA_Survival!$B$5:$B$36,INT(($A44/R$4))+2)-INDEX(Data_EPA_Survival!$B$5:$B$36,INT(($A44/R$4))+1)))</f>
        <v/>
      </c>
      <c r="S44" s="26">
        <f>IF(($A44/S$4)&gt;=31,0,INDEX(Data_EPA_Survival!$B$5:$B$36,INT(($A44/S$4))+1)+(($A44/S$4)-INT(($A44/S$4)))*(INDEX(Data_EPA_Survival!$B$5:$B$36,INT(($A44/S$4))+2)-INDEX(Data_EPA_Survival!$B$5:$B$36,INT(($A44/S$4))+1)))</f>
        <v/>
      </c>
      <c r="T44" s="26">
        <f>IF(($A44/T$4)&gt;=31,0,INDEX(Data_EPA_Survival!$B$5:$B$36,INT(($A44/T$4))+1)+(($A44/T$4)-INT(($A44/T$4)))*(INDEX(Data_EPA_Survival!$B$5:$B$36,INT(($A44/T$4))+2)-INDEX(Data_EPA_Survival!$B$5:$B$36,INT(($A44/T$4))+1)))</f>
        <v/>
      </c>
    </row>
    <row r="45">
      <c r="A45" s="9" t="n">
        <v>39</v>
      </c>
      <c r="C45" s="26">
        <f>IF(($A45/C$4)&gt;=31,0,INDEX(Data_EPA_Survival!$B$5:$B$36,INT(($A45/C$4))+1)+(($A45/C$4)-INT(($A45/C$4)))*(INDEX(Data_EPA_Survival!$B$5:$B$36,INT(($A45/C$4))+2)-INDEX(Data_EPA_Survival!$B$5:$B$36,INT(($A45/C$4))+1)))</f>
        <v/>
      </c>
      <c r="D45" s="26">
        <f>IF(($A45/D$4)&gt;=31,0,INDEX(Data_EPA_Survival!$B$5:$B$36,INT(($A45/D$4))+1)+(($A45/D$4)-INT(($A45/D$4)))*(INDEX(Data_EPA_Survival!$B$5:$B$36,INT(($A45/D$4))+2)-INDEX(Data_EPA_Survival!$B$5:$B$36,INT(($A45/D$4))+1)))</f>
        <v/>
      </c>
      <c r="E45" s="26">
        <f>IF(($A45/E$4)&gt;=31,0,INDEX(Data_EPA_Survival!$B$5:$B$36,INT(($A45/E$4))+1)+(($A45/E$4)-INT(($A45/E$4)))*(INDEX(Data_EPA_Survival!$B$5:$B$36,INT(($A45/E$4))+2)-INDEX(Data_EPA_Survival!$B$5:$B$36,INT(($A45/E$4))+1)))</f>
        <v/>
      </c>
      <c r="F45" s="26">
        <f>IF(($A45/F$4)&gt;=31,0,INDEX(Data_EPA_Survival!$B$5:$B$36,INT(($A45/F$4))+1)+(($A45/F$4)-INT(($A45/F$4)))*(INDEX(Data_EPA_Survival!$B$5:$B$36,INT(($A45/F$4))+2)-INDEX(Data_EPA_Survival!$B$5:$B$36,INT(($A45/F$4))+1)))</f>
        <v/>
      </c>
      <c r="G45" s="26">
        <f>IF(($A45/G$4)&gt;=31,0,INDEX(Data_EPA_Survival!$B$5:$B$36,INT(($A45/G$4))+1)+(($A45/G$4)-INT(($A45/G$4)))*(INDEX(Data_EPA_Survival!$B$5:$B$36,INT(($A45/G$4))+2)-INDEX(Data_EPA_Survival!$B$5:$B$36,INT(($A45/G$4))+1)))</f>
        <v/>
      </c>
      <c r="H45" s="26">
        <f>IF(($A45/H$4)&gt;=31,0,INDEX(Data_EPA_Survival!$B$5:$B$36,INT(($A45/H$4))+1)+(($A45/H$4)-INT(($A45/H$4)))*(INDEX(Data_EPA_Survival!$B$5:$B$36,INT(($A45/H$4))+2)-INDEX(Data_EPA_Survival!$B$5:$B$36,INT(($A45/H$4))+1)))</f>
        <v/>
      </c>
      <c r="I45" s="26">
        <f>IF(($A45/I$4)&gt;=31,0,INDEX(Data_EPA_Survival!$B$5:$B$36,INT(($A45/I$4))+1)+(($A45/I$4)-INT(($A45/I$4)))*(INDEX(Data_EPA_Survival!$B$5:$B$36,INT(($A45/I$4))+2)-INDEX(Data_EPA_Survival!$B$5:$B$36,INT(($A45/I$4))+1)))</f>
        <v/>
      </c>
      <c r="J45" s="26">
        <f>IF(($A45/J$4)&gt;=31,0,INDEX(Data_EPA_Survival!$B$5:$B$36,INT(($A45/J$4))+1)+(($A45/J$4)-INT(($A45/J$4)))*(INDEX(Data_EPA_Survival!$B$5:$B$36,INT(($A45/J$4))+2)-INDEX(Data_EPA_Survival!$B$5:$B$36,INT(($A45/J$4))+1)))</f>
        <v/>
      </c>
      <c r="K45" s="26">
        <f>IF(($A45/K$4)&gt;=31,0,INDEX(Data_EPA_Survival!$B$5:$B$36,INT(($A45/K$4))+1)+(($A45/K$4)-INT(($A45/K$4)))*(INDEX(Data_EPA_Survival!$B$5:$B$36,INT(($A45/K$4))+2)-INDEX(Data_EPA_Survival!$B$5:$B$36,INT(($A45/K$4))+1)))</f>
        <v/>
      </c>
      <c r="L45" s="26">
        <f>IF(($A45/L$4)&gt;=31,0,INDEX(Data_EPA_Survival!$B$5:$B$36,INT(($A45/L$4))+1)+(($A45/L$4)-INT(($A45/L$4)))*(INDEX(Data_EPA_Survival!$B$5:$B$36,INT(($A45/L$4))+2)-INDEX(Data_EPA_Survival!$B$5:$B$36,INT(($A45/L$4))+1)))</f>
        <v/>
      </c>
      <c r="M45" s="26">
        <f>IF(($A45/M$4)&gt;=31,0,INDEX(Data_EPA_Survival!$B$5:$B$36,INT(($A45/M$4))+1)+(($A45/M$4)-INT(($A45/M$4)))*(INDEX(Data_EPA_Survival!$B$5:$B$36,INT(($A45/M$4))+2)-INDEX(Data_EPA_Survival!$B$5:$B$36,INT(($A45/M$4))+1)))</f>
        <v/>
      </c>
      <c r="N45" s="26">
        <f>IF(($A45/N$4)&gt;=31,0,INDEX(Data_EPA_Survival!$B$5:$B$36,INT(($A45/N$4))+1)+(($A45/N$4)-INT(($A45/N$4)))*(INDEX(Data_EPA_Survival!$B$5:$B$36,INT(($A45/N$4))+2)-INDEX(Data_EPA_Survival!$B$5:$B$36,INT(($A45/N$4))+1)))</f>
        <v/>
      </c>
      <c r="O45" s="26">
        <f>IF(($A45/O$4)&gt;=31,0,INDEX(Data_EPA_Survival!$B$5:$B$36,INT(($A45/O$4))+1)+(($A45/O$4)-INT(($A45/O$4)))*(INDEX(Data_EPA_Survival!$B$5:$B$36,INT(($A45/O$4))+2)-INDEX(Data_EPA_Survival!$B$5:$B$36,INT(($A45/O$4))+1)))</f>
        <v/>
      </c>
      <c r="P45" s="26">
        <f>IF(($A45/P$4)&gt;=31,0,INDEX(Data_EPA_Survival!$B$5:$B$36,INT(($A45/P$4))+1)+(($A45/P$4)-INT(($A45/P$4)))*(INDEX(Data_EPA_Survival!$B$5:$B$36,INT(($A45/P$4))+2)-INDEX(Data_EPA_Survival!$B$5:$B$36,INT(($A45/P$4))+1)))</f>
        <v/>
      </c>
      <c r="Q45" s="26">
        <f>IF(($A45/Q$4)&gt;=31,0,INDEX(Data_EPA_Survival!$B$5:$B$36,INT(($A45/Q$4))+1)+(($A45/Q$4)-INT(($A45/Q$4)))*(INDEX(Data_EPA_Survival!$B$5:$B$36,INT(($A45/Q$4))+2)-INDEX(Data_EPA_Survival!$B$5:$B$36,INT(($A45/Q$4))+1)))</f>
        <v/>
      </c>
      <c r="R45" s="26">
        <f>IF(($A45/R$4)&gt;=31,0,INDEX(Data_EPA_Survival!$B$5:$B$36,INT(($A45/R$4))+1)+(($A45/R$4)-INT(($A45/R$4)))*(INDEX(Data_EPA_Survival!$B$5:$B$36,INT(($A45/R$4))+2)-INDEX(Data_EPA_Survival!$B$5:$B$36,INT(($A45/R$4))+1)))</f>
        <v/>
      </c>
      <c r="S45" s="26">
        <f>IF(($A45/S$4)&gt;=31,0,INDEX(Data_EPA_Survival!$B$5:$B$36,INT(($A45/S$4))+1)+(($A45/S$4)-INT(($A45/S$4)))*(INDEX(Data_EPA_Survival!$B$5:$B$36,INT(($A45/S$4))+2)-INDEX(Data_EPA_Survival!$B$5:$B$36,INT(($A45/S$4))+1)))</f>
        <v/>
      </c>
      <c r="T45" s="26">
        <f>IF(($A45/T$4)&gt;=31,0,INDEX(Data_EPA_Survival!$B$5:$B$36,INT(($A45/T$4))+1)+(($A45/T$4)-INT(($A45/T$4)))*(INDEX(Data_EPA_Survival!$B$5:$B$36,INT(($A45/T$4))+2)-INDEX(Data_EPA_Survival!$B$5:$B$36,INT(($A45/T$4))+1)))</f>
        <v/>
      </c>
    </row>
    <row r="46">
      <c r="A46" s="9" t="n">
        <v>40</v>
      </c>
      <c r="C46" s="26">
        <f>IF(($A46/C$4)&gt;=31,0,INDEX(Data_EPA_Survival!$B$5:$B$36,INT(($A46/C$4))+1)+(($A46/C$4)-INT(($A46/C$4)))*(INDEX(Data_EPA_Survival!$B$5:$B$36,INT(($A46/C$4))+2)-INDEX(Data_EPA_Survival!$B$5:$B$36,INT(($A46/C$4))+1)))</f>
        <v/>
      </c>
      <c r="D46" s="26">
        <f>IF(($A46/D$4)&gt;=31,0,INDEX(Data_EPA_Survival!$B$5:$B$36,INT(($A46/D$4))+1)+(($A46/D$4)-INT(($A46/D$4)))*(INDEX(Data_EPA_Survival!$B$5:$B$36,INT(($A46/D$4))+2)-INDEX(Data_EPA_Survival!$B$5:$B$36,INT(($A46/D$4))+1)))</f>
        <v/>
      </c>
      <c r="E46" s="26">
        <f>IF(($A46/E$4)&gt;=31,0,INDEX(Data_EPA_Survival!$B$5:$B$36,INT(($A46/E$4))+1)+(($A46/E$4)-INT(($A46/E$4)))*(INDEX(Data_EPA_Survival!$B$5:$B$36,INT(($A46/E$4))+2)-INDEX(Data_EPA_Survival!$B$5:$B$36,INT(($A46/E$4))+1)))</f>
        <v/>
      </c>
      <c r="F46" s="26">
        <f>IF(($A46/F$4)&gt;=31,0,INDEX(Data_EPA_Survival!$B$5:$B$36,INT(($A46/F$4))+1)+(($A46/F$4)-INT(($A46/F$4)))*(INDEX(Data_EPA_Survival!$B$5:$B$36,INT(($A46/F$4))+2)-INDEX(Data_EPA_Survival!$B$5:$B$36,INT(($A46/F$4))+1)))</f>
        <v/>
      </c>
      <c r="G46" s="26">
        <f>IF(($A46/G$4)&gt;=31,0,INDEX(Data_EPA_Survival!$B$5:$B$36,INT(($A46/G$4))+1)+(($A46/G$4)-INT(($A46/G$4)))*(INDEX(Data_EPA_Survival!$B$5:$B$36,INT(($A46/G$4))+2)-INDEX(Data_EPA_Survival!$B$5:$B$36,INT(($A46/G$4))+1)))</f>
        <v/>
      </c>
      <c r="H46" s="26">
        <f>IF(($A46/H$4)&gt;=31,0,INDEX(Data_EPA_Survival!$B$5:$B$36,INT(($A46/H$4))+1)+(($A46/H$4)-INT(($A46/H$4)))*(INDEX(Data_EPA_Survival!$B$5:$B$36,INT(($A46/H$4))+2)-INDEX(Data_EPA_Survival!$B$5:$B$36,INT(($A46/H$4))+1)))</f>
        <v/>
      </c>
      <c r="I46" s="26">
        <f>IF(($A46/I$4)&gt;=31,0,INDEX(Data_EPA_Survival!$B$5:$B$36,INT(($A46/I$4))+1)+(($A46/I$4)-INT(($A46/I$4)))*(INDEX(Data_EPA_Survival!$B$5:$B$36,INT(($A46/I$4))+2)-INDEX(Data_EPA_Survival!$B$5:$B$36,INT(($A46/I$4))+1)))</f>
        <v/>
      </c>
      <c r="J46" s="26">
        <f>IF(($A46/J$4)&gt;=31,0,INDEX(Data_EPA_Survival!$B$5:$B$36,INT(($A46/J$4))+1)+(($A46/J$4)-INT(($A46/J$4)))*(INDEX(Data_EPA_Survival!$B$5:$B$36,INT(($A46/J$4))+2)-INDEX(Data_EPA_Survival!$B$5:$B$36,INT(($A46/J$4))+1)))</f>
        <v/>
      </c>
      <c r="K46" s="26">
        <f>IF(($A46/K$4)&gt;=31,0,INDEX(Data_EPA_Survival!$B$5:$B$36,INT(($A46/K$4))+1)+(($A46/K$4)-INT(($A46/K$4)))*(INDEX(Data_EPA_Survival!$B$5:$B$36,INT(($A46/K$4))+2)-INDEX(Data_EPA_Survival!$B$5:$B$36,INT(($A46/K$4))+1)))</f>
        <v/>
      </c>
      <c r="L46" s="26">
        <f>IF(($A46/L$4)&gt;=31,0,INDEX(Data_EPA_Survival!$B$5:$B$36,INT(($A46/L$4))+1)+(($A46/L$4)-INT(($A46/L$4)))*(INDEX(Data_EPA_Survival!$B$5:$B$36,INT(($A46/L$4))+2)-INDEX(Data_EPA_Survival!$B$5:$B$36,INT(($A46/L$4))+1)))</f>
        <v/>
      </c>
      <c r="M46" s="26">
        <f>IF(($A46/M$4)&gt;=31,0,INDEX(Data_EPA_Survival!$B$5:$B$36,INT(($A46/M$4))+1)+(($A46/M$4)-INT(($A46/M$4)))*(INDEX(Data_EPA_Survival!$B$5:$B$36,INT(($A46/M$4))+2)-INDEX(Data_EPA_Survival!$B$5:$B$36,INT(($A46/M$4))+1)))</f>
        <v/>
      </c>
      <c r="N46" s="26">
        <f>IF(($A46/N$4)&gt;=31,0,INDEX(Data_EPA_Survival!$B$5:$B$36,INT(($A46/N$4))+1)+(($A46/N$4)-INT(($A46/N$4)))*(INDEX(Data_EPA_Survival!$B$5:$B$36,INT(($A46/N$4))+2)-INDEX(Data_EPA_Survival!$B$5:$B$36,INT(($A46/N$4))+1)))</f>
        <v/>
      </c>
      <c r="O46" s="26">
        <f>IF(($A46/O$4)&gt;=31,0,INDEX(Data_EPA_Survival!$B$5:$B$36,INT(($A46/O$4))+1)+(($A46/O$4)-INT(($A46/O$4)))*(INDEX(Data_EPA_Survival!$B$5:$B$36,INT(($A46/O$4))+2)-INDEX(Data_EPA_Survival!$B$5:$B$36,INT(($A46/O$4))+1)))</f>
        <v/>
      </c>
      <c r="P46" s="26">
        <f>IF(($A46/P$4)&gt;=31,0,INDEX(Data_EPA_Survival!$B$5:$B$36,INT(($A46/P$4))+1)+(($A46/P$4)-INT(($A46/P$4)))*(INDEX(Data_EPA_Survival!$B$5:$B$36,INT(($A46/P$4))+2)-INDEX(Data_EPA_Survival!$B$5:$B$36,INT(($A46/P$4))+1)))</f>
        <v/>
      </c>
      <c r="Q46" s="26">
        <f>IF(($A46/Q$4)&gt;=31,0,INDEX(Data_EPA_Survival!$B$5:$B$36,INT(($A46/Q$4))+1)+(($A46/Q$4)-INT(($A46/Q$4)))*(INDEX(Data_EPA_Survival!$B$5:$B$36,INT(($A46/Q$4))+2)-INDEX(Data_EPA_Survival!$B$5:$B$36,INT(($A46/Q$4))+1)))</f>
        <v/>
      </c>
      <c r="R46" s="26">
        <f>IF(($A46/R$4)&gt;=31,0,INDEX(Data_EPA_Survival!$B$5:$B$36,INT(($A46/R$4))+1)+(($A46/R$4)-INT(($A46/R$4)))*(INDEX(Data_EPA_Survival!$B$5:$B$36,INT(($A46/R$4))+2)-INDEX(Data_EPA_Survival!$B$5:$B$36,INT(($A46/R$4))+1)))</f>
        <v/>
      </c>
      <c r="S46" s="26">
        <f>IF(($A46/S$4)&gt;=31,0,INDEX(Data_EPA_Survival!$B$5:$B$36,INT(($A46/S$4))+1)+(($A46/S$4)-INT(($A46/S$4)))*(INDEX(Data_EPA_Survival!$B$5:$B$36,INT(($A46/S$4))+2)-INDEX(Data_EPA_Survival!$B$5:$B$36,INT(($A46/S$4))+1)))</f>
        <v/>
      </c>
      <c r="T46" s="26">
        <f>IF(($A46/T$4)&gt;=31,0,INDEX(Data_EPA_Survival!$B$5:$B$36,INT(($A46/T$4))+1)+(($A46/T$4)-INT(($A46/T$4)))*(INDEX(Data_EPA_Survival!$B$5:$B$36,INT(($A46/T$4))+2)-INDEX(Data_EPA_Survival!$B$5:$B$36,INT(($A46/T$4))+1)))</f>
        <v/>
      </c>
    </row>
    <row r="47">
      <c r="A47" s="9" t="n">
        <v>41</v>
      </c>
      <c r="C47" s="26">
        <f>IF(($A47/C$4)&gt;=31,0,INDEX(Data_EPA_Survival!$B$5:$B$36,INT(($A47/C$4))+1)+(($A47/C$4)-INT(($A47/C$4)))*(INDEX(Data_EPA_Survival!$B$5:$B$36,INT(($A47/C$4))+2)-INDEX(Data_EPA_Survival!$B$5:$B$36,INT(($A47/C$4))+1)))</f>
        <v/>
      </c>
      <c r="D47" s="26">
        <f>IF(($A47/D$4)&gt;=31,0,INDEX(Data_EPA_Survival!$B$5:$B$36,INT(($A47/D$4))+1)+(($A47/D$4)-INT(($A47/D$4)))*(INDEX(Data_EPA_Survival!$B$5:$B$36,INT(($A47/D$4))+2)-INDEX(Data_EPA_Survival!$B$5:$B$36,INT(($A47/D$4))+1)))</f>
        <v/>
      </c>
      <c r="E47" s="26">
        <f>IF(($A47/E$4)&gt;=31,0,INDEX(Data_EPA_Survival!$B$5:$B$36,INT(($A47/E$4))+1)+(($A47/E$4)-INT(($A47/E$4)))*(INDEX(Data_EPA_Survival!$B$5:$B$36,INT(($A47/E$4))+2)-INDEX(Data_EPA_Survival!$B$5:$B$36,INT(($A47/E$4))+1)))</f>
        <v/>
      </c>
      <c r="F47" s="26">
        <f>IF(($A47/F$4)&gt;=31,0,INDEX(Data_EPA_Survival!$B$5:$B$36,INT(($A47/F$4))+1)+(($A47/F$4)-INT(($A47/F$4)))*(INDEX(Data_EPA_Survival!$B$5:$B$36,INT(($A47/F$4))+2)-INDEX(Data_EPA_Survival!$B$5:$B$36,INT(($A47/F$4))+1)))</f>
        <v/>
      </c>
      <c r="G47" s="26">
        <f>IF(($A47/G$4)&gt;=31,0,INDEX(Data_EPA_Survival!$B$5:$B$36,INT(($A47/G$4))+1)+(($A47/G$4)-INT(($A47/G$4)))*(INDEX(Data_EPA_Survival!$B$5:$B$36,INT(($A47/G$4))+2)-INDEX(Data_EPA_Survival!$B$5:$B$36,INT(($A47/G$4))+1)))</f>
        <v/>
      </c>
      <c r="H47" s="26">
        <f>IF(($A47/H$4)&gt;=31,0,INDEX(Data_EPA_Survival!$B$5:$B$36,INT(($A47/H$4))+1)+(($A47/H$4)-INT(($A47/H$4)))*(INDEX(Data_EPA_Survival!$B$5:$B$36,INT(($A47/H$4))+2)-INDEX(Data_EPA_Survival!$B$5:$B$36,INT(($A47/H$4))+1)))</f>
        <v/>
      </c>
      <c r="I47" s="26">
        <f>IF(($A47/I$4)&gt;=31,0,INDEX(Data_EPA_Survival!$B$5:$B$36,INT(($A47/I$4))+1)+(($A47/I$4)-INT(($A47/I$4)))*(INDEX(Data_EPA_Survival!$B$5:$B$36,INT(($A47/I$4))+2)-INDEX(Data_EPA_Survival!$B$5:$B$36,INT(($A47/I$4))+1)))</f>
        <v/>
      </c>
      <c r="J47" s="26">
        <f>IF(($A47/J$4)&gt;=31,0,INDEX(Data_EPA_Survival!$B$5:$B$36,INT(($A47/J$4))+1)+(($A47/J$4)-INT(($A47/J$4)))*(INDEX(Data_EPA_Survival!$B$5:$B$36,INT(($A47/J$4))+2)-INDEX(Data_EPA_Survival!$B$5:$B$36,INT(($A47/J$4))+1)))</f>
        <v/>
      </c>
      <c r="K47" s="26">
        <f>IF(($A47/K$4)&gt;=31,0,INDEX(Data_EPA_Survival!$B$5:$B$36,INT(($A47/K$4))+1)+(($A47/K$4)-INT(($A47/K$4)))*(INDEX(Data_EPA_Survival!$B$5:$B$36,INT(($A47/K$4))+2)-INDEX(Data_EPA_Survival!$B$5:$B$36,INT(($A47/K$4))+1)))</f>
        <v/>
      </c>
      <c r="L47" s="26">
        <f>IF(($A47/L$4)&gt;=31,0,INDEX(Data_EPA_Survival!$B$5:$B$36,INT(($A47/L$4))+1)+(($A47/L$4)-INT(($A47/L$4)))*(INDEX(Data_EPA_Survival!$B$5:$B$36,INT(($A47/L$4))+2)-INDEX(Data_EPA_Survival!$B$5:$B$36,INT(($A47/L$4))+1)))</f>
        <v/>
      </c>
      <c r="M47" s="26">
        <f>IF(($A47/M$4)&gt;=31,0,INDEX(Data_EPA_Survival!$B$5:$B$36,INT(($A47/M$4))+1)+(($A47/M$4)-INT(($A47/M$4)))*(INDEX(Data_EPA_Survival!$B$5:$B$36,INT(($A47/M$4))+2)-INDEX(Data_EPA_Survival!$B$5:$B$36,INT(($A47/M$4))+1)))</f>
        <v/>
      </c>
      <c r="N47" s="26">
        <f>IF(($A47/N$4)&gt;=31,0,INDEX(Data_EPA_Survival!$B$5:$B$36,INT(($A47/N$4))+1)+(($A47/N$4)-INT(($A47/N$4)))*(INDEX(Data_EPA_Survival!$B$5:$B$36,INT(($A47/N$4))+2)-INDEX(Data_EPA_Survival!$B$5:$B$36,INT(($A47/N$4))+1)))</f>
        <v/>
      </c>
      <c r="O47" s="26">
        <f>IF(($A47/O$4)&gt;=31,0,INDEX(Data_EPA_Survival!$B$5:$B$36,INT(($A47/O$4))+1)+(($A47/O$4)-INT(($A47/O$4)))*(INDEX(Data_EPA_Survival!$B$5:$B$36,INT(($A47/O$4))+2)-INDEX(Data_EPA_Survival!$B$5:$B$36,INT(($A47/O$4))+1)))</f>
        <v/>
      </c>
      <c r="P47" s="26">
        <f>IF(($A47/P$4)&gt;=31,0,INDEX(Data_EPA_Survival!$B$5:$B$36,INT(($A47/P$4))+1)+(($A47/P$4)-INT(($A47/P$4)))*(INDEX(Data_EPA_Survival!$B$5:$B$36,INT(($A47/P$4))+2)-INDEX(Data_EPA_Survival!$B$5:$B$36,INT(($A47/P$4))+1)))</f>
        <v/>
      </c>
      <c r="Q47" s="26">
        <f>IF(($A47/Q$4)&gt;=31,0,INDEX(Data_EPA_Survival!$B$5:$B$36,INT(($A47/Q$4))+1)+(($A47/Q$4)-INT(($A47/Q$4)))*(INDEX(Data_EPA_Survival!$B$5:$B$36,INT(($A47/Q$4))+2)-INDEX(Data_EPA_Survival!$B$5:$B$36,INT(($A47/Q$4))+1)))</f>
        <v/>
      </c>
      <c r="R47" s="26">
        <f>IF(($A47/R$4)&gt;=31,0,INDEX(Data_EPA_Survival!$B$5:$B$36,INT(($A47/R$4))+1)+(($A47/R$4)-INT(($A47/R$4)))*(INDEX(Data_EPA_Survival!$B$5:$B$36,INT(($A47/R$4))+2)-INDEX(Data_EPA_Survival!$B$5:$B$36,INT(($A47/R$4))+1)))</f>
        <v/>
      </c>
      <c r="S47" s="26">
        <f>IF(($A47/S$4)&gt;=31,0,INDEX(Data_EPA_Survival!$B$5:$B$36,INT(($A47/S$4))+1)+(($A47/S$4)-INT(($A47/S$4)))*(INDEX(Data_EPA_Survival!$B$5:$B$36,INT(($A47/S$4))+2)-INDEX(Data_EPA_Survival!$B$5:$B$36,INT(($A47/S$4))+1)))</f>
        <v/>
      </c>
      <c r="T47" s="26">
        <f>IF(($A47/T$4)&gt;=31,0,INDEX(Data_EPA_Survival!$B$5:$B$36,INT(($A47/T$4))+1)+(($A47/T$4)-INT(($A47/T$4)))*(INDEX(Data_EPA_Survival!$B$5:$B$36,INT(($A47/T$4))+2)-INDEX(Data_EPA_Survival!$B$5:$B$36,INT(($A47/T$4))+1)))</f>
        <v/>
      </c>
    </row>
    <row r="48">
      <c r="A48" s="9" t="n">
        <v>42</v>
      </c>
      <c r="C48" s="26">
        <f>IF(($A48/C$4)&gt;=31,0,INDEX(Data_EPA_Survival!$B$5:$B$36,INT(($A48/C$4))+1)+(($A48/C$4)-INT(($A48/C$4)))*(INDEX(Data_EPA_Survival!$B$5:$B$36,INT(($A48/C$4))+2)-INDEX(Data_EPA_Survival!$B$5:$B$36,INT(($A48/C$4))+1)))</f>
        <v/>
      </c>
      <c r="D48" s="26">
        <f>IF(($A48/D$4)&gt;=31,0,INDEX(Data_EPA_Survival!$B$5:$B$36,INT(($A48/D$4))+1)+(($A48/D$4)-INT(($A48/D$4)))*(INDEX(Data_EPA_Survival!$B$5:$B$36,INT(($A48/D$4))+2)-INDEX(Data_EPA_Survival!$B$5:$B$36,INT(($A48/D$4))+1)))</f>
        <v/>
      </c>
      <c r="E48" s="26">
        <f>IF(($A48/E$4)&gt;=31,0,INDEX(Data_EPA_Survival!$B$5:$B$36,INT(($A48/E$4))+1)+(($A48/E$4)-INT(($A48/E$4)))*(INDEX(Data_EPA_Survival!$B$5:$B$36,INT(($A48/E$4))+2)-INDEX(Data_EPA_Survival!$B$5:$B$36,INT(($A48/E$4))+1)))</f>
        <v/>
      </c>
      <c r="F48" s="26">
        <f>IF(($A48/F$4)&gt;=31,0,INDEX(Data_EPA_Survival!$B$5:$B$36,INT(($A48/F$4))+1)+(($A48/F$4)-INT(($A48/F$4)))*(INDEX(Data_EPA_Survival!$B$5:$B$36,INT(($A48/F$4))+2)-INDEX(Data_EPA_Survival!$B$5:$B$36,INT(($A48/F$4))+1)))</f>
        <v/>
      </c>
      <c r="G48" s="26">
        <f>IF(($A48/G$4)&gt;=31,0,INDEX(Data_EPA_Survival!$B$5:$B$36,INT(($A48/G$4))+1)+(($A48/G$4)-INT(($A48/G$4)))*(INDEX(Data_EPA_Survival!$B$5:$B$36,INT(($A48/G$4))+2)-INDEX(Data_EPA_Survival!$B$5:$B$36,INT(($A48/G$4))+1)))</f>
        <v/>
      </c>
      <c r="H48" s="26">
        <f>IF(($A48/H$4)&gt;=31,0,INDEX(Data_EPA_Survival!$B$5:$B$36,INT(($A48/H$4))+1)+(($A48/H$4)-INT(($A48/H$4)))*(INDEX(Data_EPA_Survival!$B$5:$B$36,INT(($A48/H$4))+2)-INDEX(Data_EPA_Survival!$B$5:$B$36,INT(($A48/H$4))+1)))</f>
        <v/>
      </c>
      <c r="I48" s="26">
        <f>IF(($A48/I$4)&gt;=31,0,INDEX(Data_EPA_Survival!$B$5:$B$36,INT(($A48/I$4))+1)+(($A48/I$4)-INT(($A48/I$4)))*(INDEX(Data_EPA_Survival!$B$5:$B$36,INT(($A48/I$4))+2)-INDEX(Data_EPA_Survival!$B$5:$B$36,INT(($A48/I$4))+1)))</f>
        <v/>
      </c>
      <c r="J48" s="26">
        <f>IF(($A48/J$4)&gt;=31,0,INDEX(Data_EPA_Survival!$B$5:$B$36,INT(($A48/J$4))+1)+(($A48/J$4)-INT(($A48/J$4)))*(INDEX(Data_EPA_Survival!$B$5:$B$36,INT(($A48/J$4))+2)-INDEX(Data_EPA_Survival!$B$5:$B$36,INT(($A48/J$4))+1)))</f>
        <v/>
      </c>
      <c r="K48" s="26">
        <f>IF(($A48/K$4)&gt;=31,0,INDEX(Data_EPA_Survival!$B$5:$B$36,INT(($A48/K$4))+1)+(($A48/K$4)-INT(($A48/K$4)))*(INDEX(Data_EPA_Survival!$B$5:$B$36,INT(($A48/K$4))+2)-INDEX(Data_EPA_Survival!$B$5:$B$36,INT(($A48/K$4))+1)))</f>
        <v/>
      </c>
      <c r="L48" s="26">
        <f>IF(($A48/L$4)&gt;=31,0,INDEX(Data_EPA_Survival!$B$5:$B$36,INT(($A48/L$4))+1)+(($A48/L$4)-INT(($A48/L$4)))*(INDEX(Data_EPA_Survival!$B$5:$B$36,INT(($A48/L$4))+2)-INDEX(Data_EPA_Survival!$B$5:$B$36,INT(($A48/L$4))+1)))</f>
        <v/>
      </c>
      <c r="M48" s="26">
        <f>IF(($A48/M$4)&gt;=31,0,INDEX(Data_EPA_Survival!$B$5:$B$36,INT(($A48/M$4))+1)+(($A48/M$4)-INT(($A48/M$4)))*(INDEX(Data_EPA_Survival!$B$5:$B$36,INT(($A48/M$4))+2)-INDEX(Data_EPA_Survival!$B$5:$B$36,INT(($A48/M$4))+1)))</f>
        <v/>
      </c>
      <c r="N48" s="26">
        <f>IF(($A48/N$4)&gt;=31,0,INDEX(Data_EPA_Survival!$B$5:$B$36,INT(($A48/N$4))+1)+(($A48/N$4)-INT(($A48/N$4)))*(INDEX(Data_EPA_Survival!$B$5:$B$36,INT(($A48/N$4))+2)-INDEX(Data_EPA_Survival!$B$5:$B$36,INT(($A48/N$4))+1)))</f>
        <v/>
      </c>
      <c r="O48" s="26">
        <f>IF(($A48/O$4)&gt;=31,0,INDEX(Data_EPA_Survival!$B$5:$B$36,INT(($A48/O$4))+1)+(($A48/O$4)-INT(($A48/O$4)))*(INDEX(Data_EPA_Survival!$B$5:$B$36,INT(($A48/O$4))+2)-INDEX(Data_EPA_Survival!$B$5:$B$36,INT(($A48/O$4))+1)))</f>
        <v/>
      </c>
      <c r="P48" s="26">
        <f>IF(($A48/P$4)&gt;=31,0,INDEX(Data_EPA_Survival!$B$5:$B$36,INT(($A48/P$4))+1)+(($A48/P$4)-INT(($A48/P$4)))*(INDEX(Data_EPA_Survival!$B$5:$B$36,INT(($A48/P$4))+2)-INDEX(Data_EPA_Survival!$B$5:$B$36,INT(($A48/P$4))+1)))</f>
        <v/>
      </c>
      <c r="Q48" s="26">
        <f>IF(($A48/Q$4)&gt;=31,0,INDEX(Data_EPA_Survival!$B$5:$B$36,INT(($A48/Q$4))+1)+(($A48/Q$4)-INT(($A48/Q$4)))*(INDEX(Data_EPA_Survival!$B$5:$B$36,INT(($A48/Q$4))+2)-INDEX(Data_EPA_Survival!$B$5:$B$36,INT(($A48/Q$4))+1)))</f>
        <v/>
      </c>
      <c r="R48" s="26">
        <f>IF(($A48/R$4)&gt;=31,0,INDEX(Data_EPA_Survival!$B$5:$B$36,INT(($A48/R$4))+1)+(($A48/R$4)-INT(($A48/R$4)))*(INDEX(Data_EPA_Survival!$B$5:$B$36,INT(($A48/R$4))+2)-INDEX(Data_EPA_Survival!$B$5:$B$36,INT(($A48/R$4))+1)))</f>
        <v/>
      </c>
      <c r="S48" s="26">
        <f>IF(($A48/S$4)&gt;=31,0,INDEX(Data_EPA_Survival!$B$5:$B$36,INT(($A48/S$4))+1)+(($A48/S$4)-INT(($A48/S$4)))*(INDEX(Data_EPA_Survival!$B$5:$B$36,INT(($A48/S$4))+2)-INDEX(Data_EPA_Survival!$B$5:$B$36,INT(($A48/S$4))+1)))</f>
        <v/>
      </c>
      <c r="T48" s="26">
        <f>IF(($A48/T$4)&gt;=31,0,INDEX(Data_EPA_Survival!$B$5:$B$36,INT(($A48/T$4))+1)+(($A48/T$4)-INT(($A48/T$4)))*(INDEX(Data_EPA_Survival!$B$5:$B$36,INT(($A48/T$4))+2)-INDEX(Data_EPA_Survival!$B$5:$B$36,INT(($A48/T$4))+1)))</f>
        <v/>
      </c>
    </row>
    <row r="49">
      <c r="A49" s="9" t="n">
        <v>43</v>
      </c>
      <c r="C49" s="26">
        <f>IF(($A49/C$4)&gt;=31,0,INDEX(Data_EPA_Survival!$B$5:$B$36,INT(($A49/C$4))+1)+(($A49/C$4)-INT(($A49/C$4)))*(INDEX(Data_EPA_Survival!$B$5:$B$36,INT(($A49/C$4))+2)-INDEX(Data_EPA_Survival!$B$5:$B$36,INT(($A49/C$4))+1)))</f>
        <v/>
      </c>
      <c r="D49" s="26">
        <f>IF(($A49/D$4)&gt;=31,0,INDEX(Data_EPA_Survival!$B$5:$B$36,INT(($A49/D$4))+1)+(($A49/D$4)-INT(($A49/D$4)))*(INDEX(Data_EPA_Survival!$B$5:$B$36,INT(($A49/D$4))+2)-INDEX(Data_EPA_Survival!$B$5:$B$36,INT(($A49/D$4))+1)))</f>
        <v/>
      </c>
      <c r="E49" s="26">
        <f>IF(($A49/E$4)&gt;=31,0,INDEX(Data_EPA_Survival!$B$5:$B$36,INT(($A49/E$4))+1)+(($A49/E$4)-INT(($A49/E$4)))*(INDEX(Data_EPA_Survival!$B$5:$B$36,INT(($A49/E$4))+2)-INDEX(Data_EPA_Survival!$B$5:$B$36,INT(($A49/E$4))+1)))</f>
        <v/>
      </c>
      <c r="F49" s="26">
        <f>IF(($A49/F$4)&gt;=31,0,INDEX(Data_EPA_Survival!$B$5:$B$36,INT(($A49/F$4))+1)+(($A49/F$4)-INT(($A49/F$4)))*(INDEX(Data_EPA_Survival!$B$5:$B$36,INT(($A49/F$4))+2)-INDEX(Data_EPA_Survival!$B$5:$B$36,INT(($A49/F$4))+1)))</f>
        <v/>
      </c>
      <c r="G49" s="26">
        <f>IF(($A49/G$4)&gt;=31,0,INDEX(Data_EPA_Survival!$B$5:$B$36,INT(($A49/G$4))+1)+(($A49/G$4)-INT(($A49/G$4)))*(INDEX(Data_EPA_Survival!$B$5:$B$36,INT(($A49/G$4))+2)-INDEX(Data_EPA_Survival!$B$5:$B$36,INT(($A49/G$4))+1)))</f>
        <v/>
      </c>
      <c r="H49" s="26">
        <f>IF(($A49/H$4)&gt;=31,0,INDEX(Data_EPA_Survival!$B$5:$B$36,INT(($A49/H$4))+1)+(($A49/H$4)-INT(($A49/H$4)))*(INDEX(Data_EPA_Survival!$B$5:$B$36,INT(($A49/H$4))+2)-INDEX(Data_EPA_Survival!$B$5:$B$36,INT(($A49/H$4))+1)))</f>
        <v/>
      </c>
      <c r="I49" s="26">
        <f>IF(($A49/I$4)&gt;=31,0,INDEX(Data_EPA_Survival!$B$5:$B$36,INT(($A49/I$4))+1)+(($A49/I$4)-INT(($A49/I$4)))*(INDEX(Data_EPA_Survival!$B$5:$B$36,INT(($A49/I$4))+2)-INDEX(Data_EPA_Survival!$B$5:$B$36,INT(($A49/I$4))+1)))</f>
        <v/>
      </c>
      <c r="J49" s="26">
        <f>IF(($A49/J$4)&gt;=31,0,INDEX(Data_EPA_Survival!$B$5:$B$36,INT(($A49/J$4))+1)+(($A49/J$4)-INT(($A49/J$4)))*(INDEX(Data_EPA_Survival!$B$5:$B$36,INT(($A49/J$4))+2)-INDEX(Data_EPA_Survival!$B$5:$B$36,INT(($A49/J$4))+1)))</f>
        <v/>
      </c>
      <c r="K49" s="26">
        <f>IF(($A49/K$4)&gt;=31,0,INDEX(Data_EPA_Survival!$B$5:$B$36,INT(($A49/K$4))+1)+(($A49/K$4)-INT(($A49/K$4)))*(INDEX(Data_EPA_Survival!$B$5:$B$36,INT(($A49/K$4))+2)-INDEX(Data_EPA_Survival!$B$5:$B$36,INT(($A49/K$4))+1)))</f>
        <v/>
      </c>
      <c r="L49" s="26">
        <f>IF(($A49/L$4)&gt;=31,0,INDEX(Data_EPA_Survival!$B$5:$B$36,INT(($A49/L$4))+1)+(($A49/L$4)-INT(($A49/L$4)))*(INDEX(Data_EPA_Survival!$B$5:$B$36,INT(($A49/L$4))+2)-INDEX(Data_EPA_Survival!$B$5:$B$36,INT(($A49/L$4))+1)))</f>
        <v/>
      </c>
      <c r="M49" s="26">
        <f>IF(($A49/M$4)&gt;=31,0,INDEX(Data_EPA_Survival!$B$5:$B$36,INT(($A49/M$4))+1)+(($A49/M$4)-INT(($A49/M$4)))*(INDEX(Data_EPA_Survival!$B$5:$B$36,INT(($A49/M$4))+2)-INDEX(Data_EPA_Survival!$B$5:$B$36,INT(($A49/M$4))+1)))</f>
        <v/>
      </c>
      <c r="N49" s="26">
        <f>IF(($A49/N$4)&gt;=31,0,INDEX(Data_EPA_Survival!$B$5:$B$36,INT(($A49/N$4))+1)+(($A49/N$4)-INT(($A49/N$4)))*(INDEX(Data_EPA_Survival!$B$5:$B$36,INT(($A49/N$4))+2)-INDEX(Data_EPA_Survival!$B$5:$B$36,INT(($A49/N$4))+1)))</f>
        <v/>
      </c>
      <c r="O49" s="26">
        <f>IF(($A49/O$4)&gt;=31,0,INDEX(Data_EPA_Survival!$B$5:$B$36,INT(($A49/O$4))+1)+(($A49/O$4)-INT(($A49/O$4)))*(INDEX(Data_EPA_Survival!$B$5:$B$36,INT(($A49/O$4))+2)-INDEX(Data_EPA_Survival!$B$5:$B$36,INT(($A49/O$4))+1)))</f>
        <v/>
      </c>
      <c r="P49" s="26">
        <f>IF(($A49/P$4)&gt;=31,0,INDEX(Data_EPA_Survival!$B$5:$B$36,INT(($A49/P$4))+1)+(($A49/P$4)-INT(($A49/P$4)))*(INDEX(Data_EPA_Survival!$B$5:$B$36,INT(($A49/P$4))+2)-INDEX(Data_EPA_Survival!$B$5:$B$36,INT(($A49/P$4))+1)))</f>
        <v/>
      </c>
      <c r="Q49" s="26">
        <f>IF(($A49/Q$4)&gt;=31,0,INDEX(Data_EPA_Survival!$B$5:$B$36,INT(($A49/Q$4))+1)+(($A49/Q$4)-INT(($A49/Q$4)))*(INDEX(Data_EPA_Survival!$B$5:$B$36,INT(($A49/Q$4))+2)-INDEX(Data_EPA_Survival!$B$5:$B$36,INT(($A49/Q$4))+1)))</f>
        <v/>
      </c>
      <c r="R49" s="26">
        <f>IF(($A49/R$4)&gt;=31,0,INDEX(Data_EPA_Survival!$B$5:$B$36,INT(($A49/R$4))+1)+(($A49/R$4)-INT(($A49/R$4)))*(INDEX(Data_EPA_Survival!$B$5:$B$36,INT(($A49/R$4))+2)-INDEX(Data_EPA_Survival!$B$5:$B$36,INT(($A49/R$4))+1)))</f>
        <v/>
      </c>
      <c r="S49" s="26">
        <f>IF(($A49/S$4)&gt;=31,0,INDEX(Data_EPA_Survival!$B$5:$B$36,INT(($A49/S$4))+1)+(($A49/S$4)-INT(($A49/S$4)))*(INDEX(Data_EPA_Survival!$B$5:$B$36,INT(($A49/S$4))+2)-INDEX(Data_EPA_Survival!$B$5:$B$36,INT(($A49/S$4))+1)))</f>
        <v/>
      </c>
      <c r="T49" s="26">
        <f>IF(($A49/T$4)&gt;=31,0,INDEX(Data_EPA_Survival!$B$5:$B$36,INT(($A49/T$4))+1)+(($A49/T$4)-INT(($A49/T$4)))*(INDEX(Data_EPA_Survival!$B$5:$B$36,INT(($A49/T$4))+2)-INDEX(Data_EPA_Survival!$B$5:$B$36,INT(($A49/T$4))+1)))</f>
        <v/>
      </c>
    </row>
    <row r="50">
      <c r="A50" s="9" t="n">
        <v>44</v>
      </c>
      <c r="C50" s="26">
        <f>IF(($A50/C$4)&gt;=31,0,INDEX(Data_EPA_Survival!$B$5:$B$36,INT(($A50/C$4))+1)+(($A50/C$4)-INT(($A50/C$4)))*(INDEX(Data_EPA_Survival!$B$5:$B$36,INT(($A50/C$4))+2)-INDEX(Data_EPA_Survival!$B$5:$B$36,INT(($A50/C$4))+1)))</f>
        <v/>
      </c>
      <c r="D50" s="26">
        <f>IF(($A50/D$4)&gt;=31,0,INDEX(Data_EPA_Survival!$B$5:$B$36,INT(($A50/D$4))+1)+(($A50/D$4)-INT(($A50/D$4)))*(INDEX(Data_EPA_Survival!$B$5:$B$36,INT(($A50/D$4))+2)-INDEX(Data_EPA_Survival!$B$5:$B$36,INT(($A50/D$4))+1)))</f>
        <v/>
      </c>
      <c r="E50" s="26">
        <f>IF(($A50/E$4)&gt;=31,0,INDEX(Data_EPA_Survival!$B$5:$B$36,INT(($A50/E$4))+1)+(($A50/E$4)-INT(($A50/E$4)))*(INDEX(Data_EPA_Survival!$B$5:$B$36,INT(($A50/E$4))+2)-INDEX(Data_EPA_Survival!$B$5:$B$36,INT(($A50/E$4))+1)))</f>
        <v/>
      </c>
      <c r="F50" s="26">
        <f>IF(($A50/F$4)&gt;=31,0,INDEX(Data_EPA_Survival!$B$5:$B$36,INT(($A50/F$4))+1)+(($A50/F$4)-INT(($A50/F$4)))*(INDEX(Data_EPA_Survival!$B$5:$B$36,INT(($A50/F$4))+2)-INDEX(Data_EPA_Survival!$B$5:$B$36,INT(($A50/F$4))+1)))</f>
        <v/>
      </c>
      <c r="G50" s="26">
        <f>IF(($A50/G$4)&gt;=31,0,INDEX(Data_EPA_Survival!$B$5:$B$36,INT(($A50/G$4))+1)+(($A50/G$4)-INT(($A50/G$4)))*(INDEX(Data_EPA_Survival!$B$5:$B$36,INT(($A50/G$4))+2)-INDEX(Data_EPA_Survival!$B$5:$B$36,INT(($A50/G$4))+1)))</f>
        <v/>
      </c>
      <c r="H50" s="26">
        <f>IF(($A50/H$4)&gt;=31,0,INDEX(Data_EPA_Survival!$B$5:$B$36,INT(($A50/H$4))+1)+(($A50/H$4)-INT(($A50/H$4)))*(INDEX(Data_EPA_Survival!$B$5:$B$36,INT(($A50/H$4))+2)-INDEX(Data_EPA_Survival!$B$5:$B$36,INT(($A50/H$4))+1)))</f>
        <v/>
      </c>
      <c r="I50" s="26">
        <f>IF(($A50/I$4)&gt;=31,0,INDEX(Data_EPA_Survival!$B$5:$B$36,INT(($A50/I$4))+1)+(($A50/I$4)-INT(($A50/I$4)))*(INDEX(Data_EPA_Survival!$B$5:$B$36,INT(($A50/I$4))+2)-INDEX(Data_EPA_Survival!$B$5:$B$36,INT(($A50/I$4))+1)))</f>
        <v/>
      </c>
      <c r="J50" s="26">
        <f>IF(($A50/J$4)&gt;=31,0,INDEX(Data_EPA_Survival!$B$5:$B$36,INT(($A50/J$4))+1)+(($A50/J$4)-INT(($A50/J$4)))*(INDEX(Data_EPA_Survival!$B$5:$B$36,INT(($A50/J$4))+2)-INDEX(Data_EPA_Survival!$B$5:$B$36,INT(($A50/J$4))+1)))</f>
        <v/>
      </c>
      <c r="K50" s="26">
        <f>IF(($A50/K$4)&gt;=31,0,INDEX(Data_EPA_Survival!$B$5:$B$36,INT(($A50/K$4))+1)+(($A50/K$4)-INT(($A50/K$4)))*(INDEX(Data_EPA_Survival!$B$5:$B$36,INT(($A50/K$4))+2)-INDEX(Data_EPA_Survival!$B$5:$B$36,INT(($A50/K$4))+1)))</f>
        <v/>
      </c>
      <c r="L50" s="26">
        <f>IF(($A50/L$4)&gt;=31,0,INDEX(Data_EPA_Survival!$B$5:$B$36,INT(($A50/L$4))+1)+(($A50/L$4)-INT(($A50/L$4)))*(INDEX(Data_EPA_Survival!$B$5:$B$36,INT(($A50/L$4))+2)-INDEX(Data_EPA_Survival!$B$5:$B$36,INT(($A50/L$4))+1)))</f>
        <v/>
      </c>
      <c r="M50" s="26">
        <f>IF(($A50/M$4)&gt;=31,0,INDEX(Data_EPA_Survival!$B$5:$B$36,INT(($A50/M$4))+1)+(($A50/M$4)-INT(($A50/M$4)))*(INDEX(Data_EPA_Survival!$B$5:$B$36,INT(($A50/M$4))+2)-INDEX(Data_EPA_Survival!$B$5:$B$36,INT(($A50/M$4))+1)))</f>
        <v/>
      </c>
      <c r="N50" s="26">
        <f>IF(($A50/N$4)&gt;=31,0,INDEX(Data_EPA_Survival!$B$5:$B$36,INT(($A50/N$4))+1)+(($A50/N$4)-INT(($A50/N$4)))*(INDEX(Data_EPA_Survival!$B$5:$B$36,INT(($A50/N$4))+2)-INDEX(Data_EPA_Survival!$B$5:$B$36,INT(($A50/N$4))+1)))</f>
        <v/>
      </c>
      <c r="O50" s="26">
        <f>IF(($A50/O$4)&gt;=31,0,INDEX(Data_EPA_Survival!$B$5:$B$36,INT(($A50/O$4))+1)+(($A50/O$4)-INT(($A50/O$4)))*(INDEX(Data_EPA_Survival!$B$5:$B$36,INT(($A50/O$4))+2)-INDEX(Data_EPA_Survival!$B$5:$B$36,INT(($A50/O$4))+1)))</f>
        <v/>
      </c>
      <c r="P50" s="26">
        <f>IF(($A50/P$4)&gt;=31,0,INDEX(Data_EPA_Survival!$B$5:$B$36,INT(($A50/P$4))+1)+(($A50/P$4)-INT(($A50/P$4)))*(INDEX(Data_EPA_Survival!$B$5:$B$36,INT(($A50/P$4))+2)-INDEX(Data_EPA_Survival!$B$5:$B$36,INT(($A50/P$4))+1)))</f>
        <v/>
      </c>
      <c r="Q50" s="26">
        <f>IF(($A50/Q$4)&gt;=31,0,INDEX(Data_EPA_Survival!$B$5:$B$36,INT(($A50/Q$4))+1)+(($A50/Q$4)-INT(($A50/Q$4)))*(INDEX(Data_EPA_Survival!$B$5:$B$36,INT(($A50/Q$4))+2)-INDEX(Data_EPA_Survival!$B$5:$B$36,INT(($A50/Q$4))+1)))</f>
        <v/>
      </c>
      <c r="R50" s="26">
        <f>IF(($A50/R$4)&gt;=31,0,INDEX(Data_EPA_Survival!$B$5:$B$36,INT(($A50/R$4))+1)+(($A50/R$4)-INT(($A50/R$4)))*(INDEX(Data_EPA_Survival!$B$5:$B$36,INT(($A50/R$4))+2)-INDEX(Data_EPA_Survival!$B$5:$B$36,INT(($A50/R$4))+1)))</f>
        <v/>
      </c>
      <c r="S50" s="26">
        <f>IF(($A50/S$4)&gt;=31,0,INDEX(Data_EPA_Survival!$B$5:$B$36,INT(($A50/S$4))+1)+(($A50/S$4)-INT(($A50/S$4)))*(INDEX(Data_EPA_Survival!$B$5:$B$36,INT(($A50/S$4))+2)-INDEX(Data_EPA_Survival!$B$5:$B$36,INT(($A50/S$4))+1)))</f>
        <v/>
      </c>
      <c r="T50" s="26">
        <f>IF(($A50/T$4)&gt;=31,0,INDEX(Data_EPA_Survival!$B$5:$B$36,INT(($A50/T$4))+1)+(($A50/T$4)-INT(($A50/T$4)))*(INDEX(Data_EPA_Survival!$B$5:$B$36,INT(($A50/T$4))+2)-INDEX(Data_EPA_Survival!$B$5:$B$36,INT(($A50/T$4))+1)))</f>
        <v/>
      </c>
    </row>
    <row r="51">
      <c r="A51" s="9" t="n">
        <v>45</v>
      </c>
      <c r="C51" s="26">
        <f>IF(($A51/C$4)&gt;=31,0,INDEX(Data_EPA_Survival!$B$5:$B$36,INT(($A51/C$4))+1)+(($A51/C$4)-INT(($A51/C$4)))*(INDEX(Data_EPA_Survival!$B$5:$B$36,INT(($A51/C$4))+2)-INDEX(Data_EPA_Survival!$B$5:$B$36,INT(($A51/C$4))+1)))</f>
        <v/>
      </c>
      <c r="D51" s="26">
        <f>IF(($A51/D$4)&gt;=31,0,INDEX(Data_EPA_Survival!$B$5:$B$36,INT(($A51/D$4))+1)+(($A51/D$4)-INT(($A51/D$4)))*(INDEX(Data_EPA_Survival!$B$5:$B$36,INT(($A51/D$4))+2)-INDEX(Data_EPA_Survival!$B$5:$B$36,INT(($A51/D$4))+1)))</f>
        <v/>
      </c>
      <c r="E51" s="26">
        <f>IF(($A51/E$4)&gt;=31,0,INDEX(Data_EPA_Survival!$B$5:$B$36,INT(($A51/E$4))+1)+(($A51/E$4)-INT(($A51/E$4)))*(INDEX(Data_EPA_Survival!$B$5:$B$36,INT(($A51/E$4))+2)-INDEX(Data_EPA_Survival!$B$5:$B$36,INT(($A51/E$4))+1)))</f>
        <v/>
      </c>
      <c r="F51" s="26">
        <f>IF(($A51/F$4)&gt;=31,0,INDEX(Data_EPA_Survival!$B$5:$B$36,INT(($A51/F$4))+1)+(($A51/F$4)-INT(($A51/F$4)))*(INDEX(Data_EPA_Survival!$B$5:$B$36,INT(($A51/F$4))+2)-INDEX(Data_EPA_Survival!$B$5:$B$36,INT(($A51/F$4))+1)))</f>
        <v/>
      </c>
      <c r="G51" s="26">
        <f>IF(($A51/G$4)&gt;=31,0,INDEX(Data_EPA_Survival!$B$5:$B$36,INT(($A51/G$4))+1)+(($A51/G$4)-INT(($A51/G$4)))*(INDEX(Data_EPA_Survival!$B$5:$B$36,INT(($A51/G$4))+2)-INDEX(Data_EPA_Survival!$B$5:$B$36,INT(($A51/G$4))+1)))</f>
        <v/>
      </c>
      <c r="H51" s="26">
        <f>IF(($A51/H$4)&gt;=31,0,INDEX(Data_EPA_Survival!$B$5:$B$36,INT(($A51/H$4))+1)+(($A51/H$4)-INT(($A51/H$4)))*(INDEX(Data_EPA_Survival!$B$5:$B$36,INT(($A51/H$4))+2)-INDEX(Data_EPA_Survival!$B$5:$B$36,INT(($A51/H$4))+1)))</f>
        <v/>
      </c>
      <c r="I51" s="26">
        <f>IF(($A51/I$4)&gt;=31,0,INDEX(Data_EPA_Survival!$B$5:$B$36,INT(($A51/I$4))+1)+(($A51/I$4)-INT(($A51/I$4)))*(INDEX(Data_EPA_Survival!$B$5:$B$36,INT(($A51/I$4))+2)-INDEX(Data_EPA_Survival!$B$5:$B$36,INT(($A51/I$4))+1)))</f>
        <v/>
      </c>
      <c r="J51" s="26">
        <f>IF(($A51/J$4)&gt;=31,0,INDEX(Data_EPA_Survival!$B$5:$B$36,INT(($A51/J$4))+1)+(($A51/J$4)-INT(($A51/J$4)))*(INDEX(Data_EPA_Survival!$B$5:$B$36,INT(($A51/J$4))+2)-INDEX(Data_EPA_Survival!$B$5:$B$36,INT(($A51/J$4))+1)))</f>
        <v/>
      </c>
      <c r="K51" s="26">
        <f>IF(($A51/K$4)&gt;=31,0,INDEX(Data_EPA_Survival!$B$5:$B$36,INT(($A51/K$4))+1)+(($A51/K$4)-INT(($A51/K$4)))*(INDEX(Data_EPA_Survival!$B$5:$B$36,INT(($A51/K$4))+2)-INDEX(Data_EPA_Survival!$B$5:$B$36,INT(($A51/K$4))+1)))</f>
        <v/>
      </c>
      <c r="L51" s="26">
        <f>IF(($A51/L$4)&gt;=31,0,INDEX(Data_EPA_Survival!$B$5:$B$36,INT(($A51/L$4))+1)+(($A51/L$4)-INT(($A51/L$4)))*(INDEX(Data_EPA_Survival!$B$5:$B$36,INT(($A51/L$4))+2)-INDEX(Data_EPA_Survival!$B$5:$B$36,INT(($A51/L$4))+1)))</f>
        <v/>
      </c>
      <c r="M51" s="26">
        <f>IF(($A51/M$4)&gt;=31,0,INDEX(Data_EPA_Survival!$B$5:$B$36,INT(($A51/M$4))+1)+(($A51/M$4)-INT(($A51/M$4)))*(INDEX(Data_EPA_Survival!$B$5:$B$36,INT(($A51/M$4))+2)-INDEX(Data_EPA_Survival!$B$5:$B$36,INT(($A51/M$4))+1)))</f>
        <v/>
      </c>
      <c r="N51" s="26">
        <f>IF(($A51/N$4)&gt;=31,0,INDEX(Data_EPA_Survival!$B$5:$B$36,INT(($A51/N$4))+1)+(($A51/N$4)-INT(($A51/N$4)))*(INDEX(Data_EPA_Survival!$B$5:$B$36,INT(($A51/N$4))+2)-INDEX(Data_EPA_Survival!$B$5:$B$36,INT(($A51/N$4))+1)))</f>
        <v/>
      </c>
      <c r="O51" s="26">
        <f>IF(($A51/O$4)&gt;=31,0,INDEX(Data_EPA_Survival!$B$5:$B$36,INT(($A51/O$4))+1)+(($A51/O$4)-INT(($A51/O$4)))*(INDEX(Data_EPA_Survival!$B$5:$B$36,INT(($A51/O$4))+2)-INDEX(Data_EPA_Survival!$B$5:$B$36,INT(($A51/O$4))+1)))</f>
        <v/>
      </c>
      <c r="P51" s="26">
        <f>IF(($A51/P$4)&gt;=31,0,INDEX(Data_EPA_Survival!$B$5:$B$36,INT(($A51/P$4))+1)+(($A51/P$4)-INT(($A51/P$4)))*(INDEX(Data_EPA_Survival!$B$5:$B$36,INT(($A51/P$4))+2)-INDEX(Data_EPA_Survival!$B$5:$B$36,INT(($A51/P$4))+1)))</f>
        <v/>
      </c>
      <c r="Q51" s="26">
        <f>IF(($A51/Q$4)&gt;=31,0,INDEX(Data_EPA_Survival!$B$5:$B$36,INT(($A51/Q$4))+1)+(($A51/Q$4)-INT(($A51/Q$4)))*(INDEX(Data_EPA_Survival!$B$5:$B$36,INT(($A51/Q$4))+2)-INDEX(Data_EPA_Survival!$B$5:$B$36,INT(($A51/Q$4))+1)))</f>
        <v/>
      </c>
      <c r="R51" s="26">
        <f>IF(($A51/R$4)&gt;=31,0,INDEX(Data_EPA_Survival!$B$5:$B$36,INT(($A51/R$4))+1)+(($A51/R$4)-INT(($A51/R$4)))*(INDEX(Data_EPA_Survival!$B$5:$B$36,INT(($A51/R$4))+2)-INDEX(Data_EPA_Survival!$B$5:$B$36,INT(($A51/R$4))+1)))</f>
        <v/>
      </c>
      <c r="S51" s="26">
        <f>IF(($A51/S$4)&gt;=31,0,INDEX(Data_EPA_Survival!$B$5:$B$36,INT(($A51/S$4))+1)+(($A51/S$4)-INT(($A51/S$4)))*(INDEX(Data_EPA_Survival!$B$5:$B$36,INT(($A51/S$4))+2)-INDEX(Data_EPA_Survival!$B$5:$B$36,INT(($A51/S$4))+1)))</f>
        <v/>
      </c>
      <c r="T51" s="26">
        <f>IF(($A51/T$4)&gt;=31,0,INDEX(Data_EPA_Survival!$B$5:$B$36,INT(($A51/T$4))+1)+(($A51/T$4)-INT(($A51/T$4)))*(INDEX(Data_EPA_Survival!$B$5:$B$36,INT(($A51/T$4))+2)-INDEX(Data_EPA_Survival!$B$5:$B$36,INT(($A51/T$4))+1)))</f>
        <v/>
      </c>
    </row>
    <row r="53">
      <c r="A53" s="3" t="inlineStr">
        <is>
          <t>k light trucks (Inputs)</t>
        </is>
      </c>
      <c r="C53" s="24">
        <f>Inputs!C26</f>
        <v/>
      </c>
      <c r="D53" s="24">
        <f>Inputs!D26</f>
        <v/>
      </c>
      <c r="E53" s="24">
        <f>Inputs!E26</f>
        <v/>
      </c>
      <c r="F53" s="24">
        <f>Inputs!F26</f>
        <v/>
      </c>
      <c r="G53" s="24">
        <f>Inputs!G26</f>
        <v/>
      </c>
      <c r="H53" s="24">
        <f>Inputs!H26</f>
        <v/>
      </c>
      <c r="I53" s="24">
        <f>Inputs!I26</f>
        <v/>
      </c>
      <c r="J53" s="24">
        <f>Inputs!J26</f>
        <v/>
      </c>
      <c r="K53" s="24">
        <f>Inputs!K26</f>
        <v/>
      </c>
      <c r="L53" s="24">
        <f>Inputs!L26</f>
        <v/>
      </c>
      <c r="M53" s="24">
        <f>Inputs!M26</f>
        <v/>
      </c>
      <c r="N53" s="24">
        <f>Inputs!N26</f>
        <v/>
      </c>
      <c r="O53" s="24">
        <f>Inputs!O26</f>
        <v/>
      </c>
      <c r="P53" s="24">
        <f>Inputs!P26</f>
        <v/>
      </c>
      <c r="Q53" s="24">
        <f>Inputs!Q26</f>
        <v/>
      </c>
      <c r="R53" s="24">
        <f>Inputs!R26</f>
        <v/>
      </c>
      <c r="S53" s="24">
        <f>Inputs!S26</f>
        <v/>
      </c>
      <c r="T53" s="24">
        <f>Inputs!T26</f>
        <v/>
      </c>
    </row>
    <row r="54">
      <c r="A54" s="15" t="inlineStr">
        <is>
          <t>LIGHT TRUCKS: age</t>
        </is>
      </c>
      <c r="C54" s="25">
        <f>C3</f>
        <v/>
      </c>
      <c r="D54" s="25">
        <f>D3</f>
        <v/>
      </c>
      <c r="E54" s="25">
        <f>E3</f>
        <v/>
      </c>
      <c r="F54" s="25">
        <f>F3</f>
        <v/>
      </c>
      <c r="G54" s="25">
        <f>G3</f>
        <v/>
      </c>
      <c r="H54" s="25">
        <f>H3</f>
        <v/>
      </c>
      <c r="I54" s="25">
        <f>I3</f>
        <v/>
      </c>
      <c r="J54" s="25">
        <f>J3</f>
        <v/>
      </c>
      <c r="K54" s="25">
        <f>K3</f>
        <v/>
      </c>
      <c r="L54" s="25">
        <f>L3</f>
        <v/>
      </c>
      <c r="M54" s="25">
        <f>M3</f>
        <v/>
      </c>
      <c r="N54" s="25">
        <f>N3</f>
        <v/>
      </c>
      <c r="O54" s="25">
        <f>O3</f>
        <v/>
      </c>
      <c r="P54" s="25">
        <f>P3</f>
        <v/>
      </c>
      <c r="Q54" s="25">
        <f>Q3</f>
        <v/>
      </c>
      <c r="R54" s="25">
        <f>R3</f>
        <v/>
      </c>
      <c r="S54" s="25">
        <f>S3</f>
        <v/>
      </c>
      <c r="T54" s="25">
        <f>T3</f>
        <v/>
      </c>
    </row>
    <row r="55">
      <c r="A55" s="9" t="n">
        <v>0</v>
      </c>
      <c r="C55" s="26">
        <f>IF(($A55/C$53)&gt;=31,0,INDEX(Data_EPA_Survival!$C$5:$C$36,INT(($A55/C$53))+1)+(($A55/C$53)-INT(($A55/C$53)))*(INDEX(Data_EPA_Survival!$C$5:$C$36,INT(($A55/C$53))+2)-INDEX(Data_EPA_Survival!$C$5:$C$36,INT(($A55/C$53))+1)))</f>
        <v/>
      </c>
      <c r="D55" s="26">
        <f>IF(($A55/D$53)&gt;=31,0,INDEX(Data_EPA_Survival!$C$5:$C$36,INT(($A55/D$53))+1)+(($A55/D$53)-INT(($A55/D$53)))*(INDEX(Data_EPA_Survival!$C$5:$C$36,INT(($A55/D$53))+2)-INDEX(Data_EPA_Survival!$C$5:$C$36,INT(($A55/D$53))+1)))</f>
        <v/>
      </c>
      <c r="E55" s="26">
        <f>IF(($A55/E$53)&gt;=31,0,INDEX(Data_EPA_Survival!$C$5:$C$36,INT(($A55/E$53))+1)+(($A55/E$53)-INT(($A55/E$53)))*(INDEX(Data_EPA_Survival!$C$5:$C$36,INT(($A55/E$53))+2)-INDEX(Data_EPA_Survival!$C$5:$C$36,INT(($A55/E$53))+1)))</f>
        <v/>
      </c>
      <c r="F55" s="26">
        <f>IF(($A55/F$53)&gt;=31,0,INDEX(Data_EPA_Survival!$C$5:$C$36,INT(($A55/F$53))+1)+(($A55/F$53)-INT(($A55/F$53)))*(INDEX(Data_EPA_Survival!$C$5:$C$36,INT(($A55/F$53))+2)-INDEX(Data_EPA_Survival!$C$5:$C$36,INT(($A55/F$53))+1)))</f>
        <v/>
      </c>
      <c r="G55" s="26">
        <f>IF(($A55/G$53)&gt;=31,0,INDEX(Data_EPA_Survival!$C$5:$C$36,INT(($A55/G$53))+1)+(($A55/G$53)-INT(($A55/G$53)))*(INDEX(Data_EPA_Survival!$C$5:$C$36,INT(($A55/G$53))+2)-INDEX(Data_EPA_Survival!$C$5:$C$36,INT(($A55/G$53))+1)))</f>
        <v/>
      </c>
      <c r="H55" s="26">
        <f>IF(($A55/H$53)&gt;=31,0,INDEX(Data_EPA_Survival!$C$5:$C$36,INT(($A55/H$53))+1)+(($A55/H$53)-INT(($A55/H$53)))*(INDEX(Data_EPA_Survival!$C$5:$C$36,INT(($A55/H$53))+2)-INDEX(Data_EPA_Survival!$C$5:$C$36,INT(($A55/H$53))+1)))</f>
        <v/>
      </c>
      <c r="I55" s="26">
        <f>IF(($A55/I$53)&gt;=31,0,INDEX(Data_EPA_Survival!$C$5:$C$36,INT(($A55/I$53))+1)+(($A55/I$53)-INT(($A55/I$53)))*(INDEX(Data_EPA_Survival!$C$5:$C$36,INT(($A55/I$53))+2)-INDEX(Data_EPA_Survival!$C$5:$C$36,INT(($A55/I$53))+1)))</f>
        <v/>
      </c>
      <c r="J55" s="26">
        <f>IF(($A55/J$53)&gt;=31,0,INDEX(Data_EPA_Survival!$C$5:$C$36,INT(($A55/J$53))+1)+(($A55/J$53)-INT(($A55/J$53)))*(INDEX(Data_EPA_Survival!$C$5:$C$36,INT(($A55/J$53))+2)-INDEX(Data_EPA_Survival!$C$5:$C$36,INT(($A55/J$53))+1)))</f>
        <v/>
      </c>
      <c r="K55" s="26">
        <f>IF(($A55/K$53)&gt;=31,0,INDEX(Data_EPA_Survival!$C$5:$C$36,INT(($A55/K$53))+1)+(($A55/K$53)-INT(($A55/K$53)))*(INDEX(Data_EPA_Survival!$C$5:$C$36,INT(($A55/K$53))+2)-INDEX(Data_EPA_Survival!$C$5:$C$36,INT(($A55/K$53))+1)))</f>
        <v/>
      </c>
      <c r="L55" s="26">
        <f>IF(($A55/L$53)&gt;=31,0,INDEX(Data_EPA_Survival!$C$5:$C$36,INT(($A55/L$53))+1)+(($A55/L$53)-INT(($A55/L$53)))*(INDEX(Data_EPA_Survival!$C$5:$C$36,INT(($A55/L$53))+2)-INDEX(Data_EPA_Survival!$C$5:$C$36,INT(($A55/L$53))+1)))</f>
        <v/>
      </c>
      <c r="M55" s="26">
        <f>IF(($A55/M$53)&gt;=31,0,INDEX(Data_EPA_Survival!$C$5:$C$36,INT(($A55/M$53))+1)+(($A55/M$53)-INT(($A55/M$53)))*(INDEX(Data_EPA_Survival!$C$5:$C$36,INT(($A55/M$53))+2)-INDEX(Data_EPA_Survival!$C$5:$C$36,INT(($A55/M$53))+1)))</f>
        <v/>
      </c>
      <c r="N55" s="26">
        <f>IF(($A55/N$53)&gt;=31,0,INDEX(Data_EPA_Survival!$C$5:$C$36,INT(($A55/N$53))+1)+(($A55/N$53)-INT(($A55/N$53)))*(INDEX(Data_EPA_Survival!$C$5:$C$36,INT(($A55/N$53))+2)-INDEX(Data_EPA_Survival!$C$5:$C$36,INT(($A55/N$53))+1)))</f>
        <v/>
      </c>
      <c r="O55" s="26">
        <f>IF(($A55/O$53)&gt;=31,0,INDEX(Data_EPA_Survival!$C$5:$C$36,INT(($A55/O$53))+1)+(($A55/O$53)-INT(($A55/O$53)))*(INDEX(Data_EPA_Survival!$C$5:$C$36,INT(($A55/O$53))+2)-INDEX(Data_EPA_Survival!$C$5:$C$36,INT(($A55/O$53))+1)))</f>
        <v/>
      </c>
      <c r="P55" s="26">
        <f>IF(($A55/P$53)&gt;=31,0,INDEX(Data_EPA_Survival!$C$5:$C$36,INT(($A55/P$53))+1)+(($A55/P$53)-INT(($A55/P$53)))*(INDEX(Data_EPA_Survival!$C$5:$C$36,INT(($A55/P$53))+2)-INDEX(Data_EPA_Survival!$C$5:$C$36,INT(($A55/P$53))+1)))</f>
        <v/>
      </c>
      <c r="Q55" s="26">
        <f>IF(($A55/Q$53)&gt;=31,0,INDEX(Data_EPA_Survival!$C$5:$C$36,INT(($A55/Q$53))+1)+(($A55/Q$53)-INT(($A55/Q$53)))*(INDEX(Data_EPA_Survival!$C$5:$C$36,INT(($A55/Q$53))+2)-INDEX(Data_EPA_Survival!$C$5:$C$36,INT(($A55/Q$53))+1)))</f>
        <v/>
      </c>
      <c r="R55" s="26">
        <f>IF(($A55/R$53)&gt;=31,0,INDEX(Data_EPA_Survival!$C$5:$C$36,INT(($A55/R$53))+1)+(($A55/R$53)-INT(($A55/R$53)))*(INDEX(Data_EPA_Survival!$C$5:$C$36,INT(($A55/R$53))+2)-INDEX(Data_EPA_Survival!$C$5:$C$36,INT(($A55/R$53))+1)))</f>
        <v/>
      </c>
      <c r="S55" s="26">
        <f>IF(($A55/S$53)&gt;=31,0,INDEX(Data_EPA_Survival!$C$5:$C$36,INT(($A55/S$53))+1)+(($A55/S$53)-INT(($A55/S$53)))*(INDEX(Data_EPA_Survival!$C$5:$C$36,INT(($A55/S$53))+2)-INDEX(Data_EPA_Survival!$C$5:$C$36,INT(($A55/S$53))+1)))</f>
        <v/>
      </c>
      <c r="T55" s="26">
        <f>IF(($A55/T$53)&gt;=31,0,INDEX(Data_EPA_Survival!$C$5:$C$36,INT(($A55/T$53))+1)+(($A55/T$53)-INT(($A55/T$53)))*(INDEX(Data_EPA_Survival!$C$5:$C$36,INT(($A55/T$53))+2)-INDEX(Data_EPA_Survival!$C$5:$C$36,INT(($A55/T$53))+1)))</f>
        <v/>
      </c>
    </row>
    <row r="56">
      <c r="A56" s="9" t="n">
        <v>1</v>
      </c>
      <c r="C56" s="26">
        <f>IF(($A56/C$53)&gt;=31,0,INDEX(Data_EPA_Survival!$C$5:$C$36,INT(($A56/C$53))+1)+(($A56/C$53)-INT(($A56/C$53)))*(INDEX(Data_EPA_Survival!$C$5:$C$36,INT(($A56/C$53))+2)-INDEX(Data_EPA_Survival!$C$5:$C$36,INT(($A56/C$53))+1)))</f>
        <v/>
      </c>
      <c r="D56" s="26">
        <f>IF(($A56/D$53)&gt;=31,0,INDEX(Data_EPA_Survival!$C$5:$C$36,INT(($A56/D$53))+1)+(($A56/D$53)-INT(($A56/D$53)))*(INDEX(Data_EPA_Survival!$C$5:$C$36,INT(($A56/D$53))+2)-INDEX(Data_EPA_Survival!$C$5:$C$36,INT(($A56/D$53))+1)))</f>
        <v/>
      </c>
      <c r="E56" s="26">
        <f>IF(($A56/E$53)&gt;=31,0,INDEX(Data_EPA_Survival!$C$5:$C$36,INT(($A56/E$53))+1)+(($A56/E$53)-INT(($A56/E$53)))*(INDEX(Data_EPA_Survival!$C$5:$C$36,INT(($A56/E$53))+2)-INDEX(Data_EPA_Survival!$C$5:$C$36,INT(($A56/E$53))+1)))</f>
        <v/>
      </c>
      <c r="F56" s="26">
        <f>IF(($A56/F$53)&gt;=31,0,INDEX(Data_EPA_Survival!$C$5:$C$36,INT(($A56/F$53))+1)+(($A56/F$53)-INT(($A56/F$53)))*(INDEX(Data_EPA_Survival!$C$5:$C$36,INT(($A56/F$53))+2)-INDEX(Data_EPA_Survival!$C$5:$C$36,INT(($A56/F$53))+1)))</f>
        <v/>
      </c>
      <c r="G56" s="26">
        <f>IF(($A56/G$53)&gt;=31,0,INDEX(Data_EPA_Survival!$C$5:$C$36,INT(($A56/G$53))+1)+(($A56/G$53)-INT(($A56/G$53)))*(INDEX(Data_EPA_Survival!$C$5:$C$36,INT(($A56/G$53))+2)-INDEX(Data_EPA_Survival!$C$5:$C$36,INT(($A56/G$53))+1)))</f>
        <v/>
      </c>
      <c r="H56" s="26">
        <f>IF(($A56/H$53)&gt;=31,0,INDEX(Data_EPA_Survival!$C$5:$C$36,INT(($A56/H$53))+1)+(($A56/H$53)-INT(($A56/H$53)))*(INDEX(Data_EPA_Survival!$C$5:$C$36,INT(($A56/H$53))+2)-INDEX(Data_EPA_Survival!$C$5:$C$36,INT(($A56/H$53))+1)))</f>
        <v/>
      </c>
      <c r="I56" s="26">
        <f>IF(($A56/I$53)&gt;=31,0,INDEX(Data_EPA_Survival!$C$5:$C$36,INT(($A56/I$53))+1)+(($A56/I$53)-INT(($A56/I$53)))*(INDEX(Data_EPA_Survival!$C$5:$C$36,INT(($A56/I$53))+2)-INDEX(Data_EPA_Survival!$C$5:$C$36,INT(($A56/I$53))+1)))</f>
        <v/>
      </c>
      <c r="J56" s="26">
        <f>IF(($A56/J$53)&gt;=31,0,INDEX(Data_EPA_Survival!$C$5:$C$36,INT(($A56/J$53))+1)+(($A56/J$53)-INT(($A56/J$53)))*(INDEX(Data_EPA_Survival!$C$5:$C$36,INT(($A56/J$53))+2)-INDEX(Data_EPA_Survival!$C$5:$C$36,INT(($A56/J$53))+1)))</f>
        <v/>
      </c>
      <c r="K56" s="26">
        <f>IF(($A56/K$53)&gt;=31,0,INDEX(Data_EPA_Survival!$C$5:$C$36,INT(($A56/K$53))+1)+(($A56/K$53)-INT(($A56/K$53)))*(INDEX(Data_EPA_Survival!$C$5:$C$36,INT(($A56/K$53))+2)-INDEX(Data_EPA_Survival!$C$5:$C$36,INT(($A56/K$53))+1)))</f>
        <v/>
      </c>
      <c r="L56" s="26">
        <f>IF(($A56/L$53)&gt;=31,0,INDEX(Data_EPA_Survival!$C$5:$C$36,INT(($A56/L$53))+1)+(($A56/L$53)-INT(($A56/L$53)))*(INDEX(Data_EPA_Survival!$C$5:$C$36,INT(($A56/L$53))+2)-INDEX(Data_EPA_Survival!$C$5:$C$36,INT(($A56/L$53))+1)))</f>
        <v/>
      </c>
      <c r="M56" s="26">
        <f>IF(($A56/M$53)&gt;=31,0,INDEX(Data_EPA_Survival!$C$5:$C$36,INT(($A56/M$53))+1)+(($A56/M$53)-INT(($A56/M$53)))*(INDEX(Data_EPA_Survival!$C$5:$C$36,INT(($A56/M$53))+2)-INDEX(Data_EPA_Survival!$C$5:$C$36,INT(($A56/M$53))+1)))</f>
        <v/>
      </c>
      <c r="N56" s="26">
        <f>IF(($A56/N$53)&gt;=31,0,INDEX(Data_EPA_Survival!$C$5:$C$36,INT(($A56/N$53))+1)+(($A56/N$53)-INT(($A56/N$53)))*(INDEX(Data_EPA_Survival!$C$5:$C$36,INT(($A56/N$53))+2)-INDEX(Data_EPA_Survival!$C$5:$C$36,INT(($A56/N$53))+1)))</f>
        <v/>
      </c>
      <c r="O56" s="26">
        <f>IF(($A56/O$53)&gt;=31,0,INDEX(Data_EPA_Survival!$C$5:$C$36,INT(($A56/O$53))+1)+(($A56/O$53)-INT(($A56/O$53)))*(INDEX(Data_EPA_Survival!$C$5:$C$36,INT(($A56/O$53))+2)-INDEX(Data_EPA_Survival!$C$5:$C$36,INT(($A56/O$53))+1)))</f>
        <v/>
      </c>
      <c r="P56" s="26">
        <f>IF(($A56/P$53)&gt;=31,0,INDEX(Data_EPA_Survival!$C$5:$C$36,INT(($A56/P$53))+1)+(($A56/P$53)-INT(($A56/P$53)))*(INDEX(Data_EPA_Survival!$C$5:$C$36,INT(($A56/P$53))+2)-INDEX(Data_EPA_Survival!$C$5:$C$36,INT(($A56/P$53))+1)))</f>
        <v/>
      </c>
      <c r="Q56" s="26">
        <f>IF(($A56/Q$53)&gt;=31,0,INDEX(Data_EPA_Survival!$C$5:$C$36,INT(($A56/Q$53))+1)+(($A56/Q$53)-INT(($A56/Q$53)))*(INDEX(Data_EPA_Survival!$C$5:$C$36,INT(($A56/Q$53))+2)-INDEX(Data_EPA_Survival!$C$5:$C$36,INT(($A56/Q$53))+1)))</f>
        <v/>
      </c>
      <c r="R56" s="26">
        <f>IF(($A56/R$53)&gt;=31,0,INDEX(Data_EPA_Survival!$C$5:$C$36,INT(($A56/R$53))+1)+(($A56/R$53)-INT(($A56/R$53)))*(INDEX(Data_EPA_Survival!$C$5:$C$36,INT(($A56/R$53))+2)-INDEX(Data_EPA_Survival!$C$5:$C$36,INT(($A56/R$53))+1)))</f>
        <v/>
      </c>
      <c r="S56" s="26">
        <f>IF(($A56/S$53)&gt;=31,0,INDEX(Data_EPA_Survival!$C$5:$C$36,INT(($A56/S$53))+1)+(($A56/S$53)-INT(($A56/S$53)))*(INDEX(Data_EPA_Survival!$C$5:$C$36,INT(($A56/S$53))+2)-INDEX(Data_EPA_Survival!$C$5:$C$36,INT(($A56/S$53))+1)))</f>
        <v/>
      </c>
      <c r="T56" s="26">
        <f>IF(($A56/T$53)&gt;=31,0,INDEX(Data_EPA_Survival!$C$5:$C$36,INT(($A56/T$53))+1)+(($A56/T$53)-INT(($A56/T$53)))*(INDEX(Data_EPA_Survival!$C$5:$C$36,INT(($A56/T$53))+2)-INDEX(Data_EPA_Survival!$C$5:$C$36,INT(($A56/T$53))+1)))</f>
        <v/>
      </c>
    </row>
    <row r="57">
      <c r="A57" s="9" t="n">
        <v>2</v>
      </c>
      <c r="C57" s="26">
        <f>IF(($A57/C$53)&gt;=31,0,INDEX(Data_EPA_Survival!$C$5:$C$36,INT(($A57/C$53))+1)+(($A57/C$53)-INT(($A57/C$53)))*(INDEX(Data_EPA_Survival!$C$5:$C$36,INT(($A57/C$53))+2)-INDEX(Data_EPA_Survival!$C$5:$C$36,INT(($A57/C$53))+1)))</f>
        <v/>
      </c>
      <c r="D57" s="26">
        <f>IF(($A57/D$53)&gt;=31,0,INDEX(Data_EPA_Survival!$C$5:$C$36,INT(($A57/D$53))+1)+(($A57/D$53)-INT(($A57/D$53)))*(INDEX(Data_EPA_Survival!$C$5:$C$36,INT(($A57/D$53))+2)-INDEX(Data_EPA_Survival!$C$5:$C$36,INT(($A57/D$53))+1)))</f>
        <v/>
      </c>
      <c r="E57" s="26">
        <f>IF(($A57/E$53)&gt;=31,0,INDEX(Data_EPA_Survival!$C$5:$C$36,INT(($A57/E$53))+1)+(($A57/E$53)-INT(($A57/E$53)))*(INDEX(Data_EPA_Survival!$C$5:$C$36,INT(($A57/E$53))+2)-INDEX(Data_EPA_Survival!$C$5:$C$36,INT(($A57/E$53))+1)))</f>
        <v/>
      </c>
      <c r="F57" s="26">
        <f>IF(($A57/F$53)&gt;=31,0,INDEX(Data_EPA_Survival!$C$5:$C$36,INT(($A57/F$53))+1)+(($A57/F$53)-INT(($A57/F$53)))*(INDEX(Data_EPA_Survival!$C$5:$C$36,INT(($A57/F$53))+2)-INDEX(Data_EPA_Survival!$C$5:$C$36,INT(($A57/F$53))+1)))</f>
        <v/>
      </c>
      <c r="G57" s="26">
        <f>IF(($A57/G$53)&gt;=31,0,INDEX(Data_EPA_Survival!$C$5:$C$36,INT(($A57/G$53))+1)+(($A57/G$53)-INT(($A57/G$53)))*(INDEX(Data_EPA_Survival!$C$5:$C$36,INT(($A57/G$53))+2)-INDEX(Data_EPA_Survival!$C$5:$C$36,INT(($A57/G$53))+1)))</f>
        <v/>
      </c>
      <c r="H57" s="26">
        <f>IF(($A57/H$53)&gt;=31,0,INDEX(Data_EPA_Survival!$C$5:$C$36,INT(($A57/H$53))+1)+(($A57/H$53)-INT(($A57/H$53)))*(INDEX(Data_EPA_Survival!$C$5:$C$36,INT(($A57/H$53))+2)-INDEX(Data_EPA_Survival!$C$5:$C$36,INT(($A57/H$53))+1)))</f>
        <v/>
      </c>
      <c r="I57" s="26">
        <f>IF(($A57/I$53)&gt;=31,0,INDEX(Data_EPA_Survival!$C$5:$C$36,INT(($A57/I$53))+1)+(($A57/I$53)-INT(($A57/I$53)))*(INDEX(Data_EPA_Survival!$C$5:$C$36,INT(($A57/I$53))+2)-INDEX(Data_EPA_Survival!$C$5:$C$36,INT(($A57/I$53))+1)))</f>
        <v/>
      </c>
      <c r="J57" s="26">
        <f>IF(($A57/J$53)&gt;=31,0,INDEX(Data_EPA_Survival!$C$5:$C$36,INT(($A57/J$53))+1)+(($A57/J$53)-INT(($A57/J$53)))*(INDEX(Data_EPA_Survival!$C$5:$C$36,INT(($A57/J$53))+2)-INDEX(Data_EPA_Survival!$C$5:$C$36,INT(($A57/J$53))+1)))</f>
        <v/>
      </c>
      <c r="K57" s="26">
        <f>IF(($A57/K$53)&gt;=31,0,INDEX(Data_EPA_Survival!$C$5:$C$36,INT(($A57/K$53))+1)+(($A57/K$53)-INT(($A57/K$53)))*(INDEX(Data_EPA_Survival!$C$5:$C$36,INT(($A57/K$53))+2)-INDEX(Data_EPA_Survival!$C$5:$C$36,INT(($A57/K$53))+1)))</f>
        <v/>
      </c>
      <c r="L57" s="26">
        <f>IF(($A57/L$53)&gt;=31,0,INDEX(Data_EPA_Survival!$C$5:$C$36,INT(($A57/L$53))+1)+(($A57/L$53)-INT(($A57/L$53)))*(INDEX(Data_EPA_Survival!$C$5:$C$36,INT(($A57/L$53))+2)-INDEX(Data_EPA_Survival!$C$5:$C$36,INT(($A57/L$53))+1)))</f>
        <v/>
      </c>
      <c r="M57" s="26">
        <f>IF(($A57/M$53)&gt;=31,0,INDEX(Data_EPA_Survival!$C$5:$C$36,INT(($A57/M$53))+1)+(($A57/M$53)-INT(($A57/M$53)))*(INDEX(Data_EPA_Survival!$C$5:$C$36,INT(($A57/M$53))+2)-INDEX(Data_EPA_Survival!$C$5:$C$36,INT(($A57/M$53))+1)))</f>
        <v/>
      </c>
      <c r="N57" s="26">
        <f>IF(($A57/N$53)&gt;=31,0,INDEX(Data_EPA_Survival!$C$5:$C$36,INT(($A57/N$53))+1)+(($A57/N$53)-INT(($A57/N$53)))*(INDEX(Data_EPA_Survival!$C$5:$C$36,INT(($A57/N$53))+2)-INDEX(Data_EPA_Survival!$C$5:$C$36,INT(($A57/N$53))+1)))</f>
        <v/>
      </c>
      <c r="O57" s="26">
        <f>IF(($A57/O$53)&gt;=31,0,INDEX(Data_EPA_Survival!$C$5:$C$36,INT(($A57/O$53))+1)+(($A57/O$53)-INT(($A57/O$53)))*(INDEX(Data_EPA_Survival!$C$5:$C$36,INT(($A57/O$53))+2)-INDEX(Data_EPA_Survival!$C$5:$C$36,INT(($A57/O$53))+1)))</f>
        <v/>
      </c>
      <c r="P57" s="26">
        <f>IF(($A57/P$53)&gt;=31,0,INDEX(Data_EPA_Survival!$C$5:$C$36,INT(($A57/P$53))+1)+(($A57/P$53)-INT(($A57/P$53)))*(INDEX(Data_EPA_Survival!$C$5:$C$36,INT(($A57/P$53))+2)-INDEX(Data_EPA_Survival!$C$5:$C$36,INT(($A57/P$53))+1)))</f>
        <v/>
      </c>
      <c r="Q57" s="26">
        <f>IF(($A57/Q$53)&gt;=31,0,INDEX(Data_EPA_Survival!$C$5:$C$36,INT(($A57/Q$53))+1)+(($A57/Q$53)-INT(($A57/Q$53)))*(INDEX(Data_EPA_Survival!$C$5:$C$36,INT(($A57/Q$53))+2)-INDEX(Data_EPA_Survival!$C$5:$C$36,INT(($A57/Q$53))+1)))</f>
        <v/>
      </c>
      <c r="R57" s="26">
        <f>IF(($A57/R$53)&gt;=31,0,INDEX(Data_EPA_Survival!$C$5:$C$36,INT(($A57/R$53))+1)+(($A57/R$53)-INT(($A57/R$53)))*(INDEX(Data_EPA_Survival!$C$5:$C$36,INT(($A57/R$53))+2)-INDEX(Data_EPA_Survival!$C$5:$C$36,INT(($A57/R$53))+1)))</f>
        <v/>
      </c>
      <c r="S57" s="26">
        <f>IF(($A57/S$53)&gt;=31,0,INDEX(Data_EPA_Survival!$C$5:$C$36,INT(($A57/S$53))+1)+(($A57/S$53)-INT(($A57/S$53)))*(INDEX(Data_EPA_Survival!$C$5:$C$36,INT(($A57/S$53))+2)-INDEX(Data_EPA_Survival!$C$5:$C$36,INT(($A57/S$53))+1)))</f>
        <v/>
      </c>
      <c r="T57" s="26">
        <f>IF(($A57/T$53)&gt;=31,0,INDEX(Data_EPA_Survival!$C$5:$C$36,INT(($A57/T$53))+1)+(($A57/T$53)-INT(($A57/T$53)))*(INDEX(Data_EPA_Survival!$C$5:$C$36,INT(($A57/T$53))+2)-INDEX(Data_EPA_Survival!$C$5:$C$36,INT(($A57/T$53))+1)))</f>
        <v/>
      </c>
    </row>
    <row r="58">
      <c r="A58" s="9" t="n">
        <v>3</v>
      </c>
      <c r="C58" s="26">
        <f>IF(($A58/C$53)&gt;=31,0,INDEX(Data_EPA_Survival!$C$5:$C$36,INT(($A58/C$53))+1)+(($A58/C$53)-INT(($A58/C$53)))*(INDEX(Data_EPA_Survival!$C$5:$C$36,INT(($A58/C$53))+2)-INDEX(Data_EPA_Survival!$C$5:$C$36,INT(($A58/C$53))+1)))</f>
        <v/>
      </c>
      <c r="D58" s="26">
        <f>IF(($A58/D$53)&gt;=31,0,INDEX(Data_EPA_Survival!$C$5:$C$36,INT(($A58/D$53))+1)+(($A58/D$53)-INT(($A58/D$53)))*(INDEX(Data_EPA_Survival!$C$5:$C$36,INT(($A58/D$53))+2)-INDEX(Data_EPA_Survival!$C$5:$C$36,INT(($A58/D$53))+1)))</f>
        <v/>
      </c>
      <c r="E58" s="26">
        <f>IF(($A58/E$53)&gt;=31,0,INDEX(Data_EPA_Survival!$C$5:$C$36,INT(($A58/E$53))+1)+(($A58/E$53)-INT(($A58/E$53)))*(INDEX(Data_EPA_Survival!$C$5:$C$36,INT(($A58/E$53))+2)-INDEX(Data_EPA_Survival!$C$5:$C$36,INT(($A58/E$53))+1)))</f>
        <v/>
      </c>
      <c r="F58" s="26">
        <f>IF(($A58/F$53)&gt;=31,0,INDEX(Data_EPA_Survival!$C$5:$C$36,INT(($A58/F$53))+1)+(($A58/F$53)-INT(($A58/F$53)))*(INDEX(Data_EPA_Survival!$C$5:$C$36,INT(($A58/F$53))+2)-INDEX(Data_EPA_Survival!$C$5:$C$36,INT(($A58/F$53))+1)))</f>
        <v/>
      </c>
      <c r="G58" s="26">
        <f>IF(($A58/G$53)&gt;=31,0,INDEX(Data_EPA_Survival!$C$5:$C$36,INT(($A58/G$53))+1)+(($A58/G$53)-INT(($A58/G$53)))*(INDEX(Data_EPA_Survival!$C$5:$C$36,INT(($A58/G$53))+2)-INDEX(Data_EPA_Survival!$C$5:$C$36,INT(($A58/G$53))+1)))</f>
        <v/>
      </c>
      <c r="H58" s="26">
        <f>IF(($A58/H$53)&gt;=31,0,INDEX(Data_EPA_Survival!$C$5:$C$36,INT(($A58/H$53))+1)+(($A58/H$53)-INT(($A58/H$53)))*(INDEX(Data_EPA_Survival!$C$5:$C$36,INT(($A58/H$53))+2)-INDEX(Data_EPA_Survival!$C$5:$C$36,INT(($A58/H$53))+1)))</f>
        <v/>
      </c>
      <c r="I58" s="26">
        <f>IF(($A58/I$53)&gt;=31,0,INDEX(Data_EPA_Survival!$C$5:$C$36,INT(($A58/I$53))+1)+(($A58/I$53)-INT(($A58/I$53)))*(INDEX(Data_EPA_Survival!$C$5:$C$36,INT(($A58/I$53))+2)-INDEX(Data_EPA_Survival!$C$5:$C$36,INT(($A58/I$53))+1)))</f>
        <v/>
      </c>
      <c r="J58" s="26">
        <f>IF(($A58/J$53)&gt;=31,0,INDEX(Data_EPA_Survival!$C$5:$C$36,INT(($A58/J$53))+1)+(($A58/J$53)-INT(($A58/J$53)))*(INDEX(Data_EPA_Survival!$C$5:$C$36,INT(($A58/J$53))+2)-INDEX(Data_EPA_Survival!$C$5:$C$36,INT(($A58/J$53))+1)))</f>
        <v/>
      </c>
      <c r="K58" s="26">
        <f>IF(($A58/K$53)&gt;=31,0,INDEX(Data_EPA_Survival!$C$5:$C$36,INT(($A58/K$53))+1)+(($A58/K$53)-INT(($A58/K$53)))*(INDEX(Data_EPA_Survival!$C$5:$C$36,INT(($A58/K$53))+2)-INDEX(Data_EPA_Survival!$C$5:$C$36,INT(($A58/K$53))+1)))</f>
        <v/>
      </c>
      <c r="L58" s="26">
        <f>IF(($A58/L$53)&gt;=31,0,INDEX(Data_EPA_Survival!$C$5:$C$36,INT(($A58/L$53))+1)+(($A58/L$53)-INT(($A58/L$53)))*(INDEX(Data_EPA_Survival!$C$5:$C$36,INT(($A58/L$53))+2)-INDEX(Data_EPA_Survival!$C$5:$C$36,INT(($A58/L$53))+1)))</f>
        <v/>
      </c>
      <c r="M58" s="26">
        <f>IF(($A58/M$53)&gt;=31,0,INDEX(Data_EPA_Survival!$C$5:$C$36,INT(($A58/M$53))+1)+(($A58/M$53)-INT(($A58/M$53)))*(INDEX(Data_EPA_Survival!$C$5:$C$36,INT(($A58/M$53))+2)-INDEX(Data_EPA_Survival!$C$5:$C$36,INT(($A58/M$53))+1)))</f>
        <v/>
      </c>
      <c r="N58" s="26">
        <f>IF(($A58/N$53)&gt;=31,0,INDEX(Data_EPA_Survival!$C$5:$C$36,INT(($A58/N$53))+1)+(($A58/N$53)-INT(($A58/N$53)))*(INDEX(Data_EPA_Survival!$C$5:$C$36,INT(($A58/N$53))+2)-INDEX(Data_EPA_Survival!$C$5:$C$36,INT(($A58/N$53))+1)))</f>
        <v/>
      </c>
      <c r="O58" s="26">
        <f>IF(($A58/O$53)&gt;=31,0,INDEX(Data_EPA_Survival!$C$5:$C$36,INT(($A58/O$53))+1)+(($A58/O$53)-INT(($A58/O$53)))*(INDEX(Data_EPA_Survival!$C$5:$C$36,INT(($A58/O$53))+2)-INDEX(Data_EPA_Survival!$C$5:$C$36,INT(($A58/O$53))+1)))</f>
        <v/>
      </c>
      <c r="P58" s="26">
        <f>IF(($A58/P$53)&gt;=31,0,INDEX(Data_EPA_Survival!$C$5:$C$36,INT(($A58/P$53))+1)+(($A58/P$53)-INT(($A58/P$53)))*(INDEX(Data_EPA_Survival!$C$5:$C$36,INT(($A58/P$53))+2)-INDEX(Data_EPA_Survival!$C$5:$C$36,INT(($A58/P$53))+1)))</f>
        <v/>
      </c>
      <c r="Q58" s="26">
        <f>IF(($A58/Q$53)&gt;=31,0,INDEX(Data_EPA_Survival!$C$5:$C$36,INT(($A58/Q$53))+1)+(($A58/Q$53)-INT(($A58/Q$53)))*(INDEX(Data_EPA_Survival!$C$5:$C$36,INT(($A58/Q$53))+2)-INDEX(Data_EPA_Survival!$C$5:$C$36,INT(($A58/Q$53))+1)))</f>
        <v/>
      </c>
      <c r="R58" s="26">
        <f>IF(($A58/R$53)&gt;=31,0,INDEX(Data_EPA_Survival!$C$5:$C$36,INT(($A58/R$53))+1)+(($A58/R$53)-INT(($A58/R$53)))*(INDEX(Data_EPA_Survival!$C$5:$C$36,INT(($A58/R$53))+2)-INDEX(Data_EPA_Survival!$C$5:$C$36,INT(($A58/R$53))+1)))</f>
        <v/>
      </c>
      <c r="S58" s="26">
        <f>IF(($A58/S$53)&gt;=31,0,INDEX(Data_EPA_Survival!$C$5:$C$36,INT(($A58/S$53))+1)+(($A58/S$53)-INT(($A58/S$53)))*(INDEX(Data_EPA_Survival!$C$5:$C$36,INT(($A58/S$53))+2)-INDEX(Data_EPA_Survival!$C$5:$C$36,INT(($A58/S$53))+1)))</f>
        <v/>
      </c>
      <c r="T58" s="26">
        <f>IF(($A58/T$53)&gt;=31,0,INDEX(Data_EPA_Survival!$C$5:$C$36,INT(($A58/T$53))+1)+(($A58/T$53)-INT(($A58/T$53)))*(INDEX(Data_EPA_Survival!$C$5:$C$36,INT(($A58/T$53))+2)-INDEX(Data_EPA_Survival!$C$5:$C$36,INT(($A58/T$53))+1)))</f>
        <v/>
      </c>
    </row>
    <row r="59">
      <c r="A59" s="9" t="n">
        <v>4</v>
      </c>
      <c r="C59" s="26">
        <f>IF(($A59/C$53)&gt;=31,0,INDEX(Data_EPA_Survival!$C$5:$C$36,INT(($A59/C$53))+1)+(($A59/C$53)-INT(($A59/C$53)))*(INDEX(Data_EPA_Survival!$C$5:$C$36,INT(($A59/C$53))+2)-INDEX(Data_EPA_Survival!$C$5:$C$36,INT(($A59/C$53))+1)))</f>
        <v/>
      </c>
      <c r="D59" s="26">
        <f>IF(($A59/D$53)&gt;=31,0,INDEX(Data_EPA_Survival!$C$5:$C$36,INT(($A59/D$53))+1)+(($A59/D$53)-INT(($A59/D$53)))*(INDEX(Data_EPA_Survival!$C$5:$C$36,INT(($A59/D$53))+2)-INDEX(Data_EPA_Survival!$C$5:$C$36,INT(($A59/D$53))+1)))</f>
        <v/>
      </c>
      <c r="E59" s="26">
        <f>IF(($A59/E$53)&gt;=31,0,INDEX(Data_EPA_Survival!$C$5:$C$36,INT(($A59/E$53))+1)+(($A59/E$53)-INT(($A59/E$53)))*(INDEX(Data_EPA_Survival!$C$5:$C$36,INT(($A59/E$53))+2)-INDEX(Data_EPA_Survival!$C$5:$C$36,INT(($A59/E$53))+1)))</f>
        <v/>
      </c>
      <c r="F59" s="26">
        <f>IF(($A59/F$53)&gt;=31,0,INDEX(Data_EPA_Survival!$C$5:$C$36,INT(($A59/F$53))+1)+(($A59/F$53)-INT(($A59/F$53)))*(INDEX(Data_EPA_Survival!$C$5:$C$36,INT(($A59/F$53))+2)-INDEX(Data_EPA_Survival!$C$5:$C$36,INT(($A59/F$53))+1)))</f>
        <v/>
      </c>
      <c r="G59" s="26">
        <f>IF(($A59/G$53)&gt;=31,0,INDEX(Data_EPA_Survival!$C$5:$C$36,INT(($A59/G$53))+1)+(($A59/G$53)-INT(($A59/G$53)))*(INDEX(Data_EPA_Survival!$C$5:$C$36,INT(($A59/G$53))+2)-INDEX(Data_EPA_Survival!$C$5:$C$36,INT(($A59/G$53))+1)))</f>
        <v/>
      </c>
      <c r="H59" s="26">
        <f>IF(($A59/H$53)&gt;=31,0,INDEX(Data_EPA_Survival!$C$5:$C$36,INT(($A59/H$53))+1)+(($A59/H$53)-INT(($A59/H$53)))*(INDEX(Data_EPA_Survival!$C$5:$C$36,INT(($A59/H$53))+2)-INDEX(Data_EPA_Survival!$C$5:$C$36,INT(($A59/H$53))+1)))</f>
        <v/>
      </c>
      <c r="I59" s="26">
        <f>IF(($A59/I$53)&gt;=31,0,INDEX(Data_EPA_Survival!$C$5:$C$36,INT(($A59/I$53))+1)+(($A59/I$53)-INT(($A59/I$53)))*(INDEX(Data_EPA_Survival!$C$5:$C$36,INT(($A59/I$53))+2)-INDEX(Data_EPA_Survival!$C$5:$C$36,INT(($A59/I$53))+1)))</f>
        <v/>
      </c>
      <c r="J59" s="26">
        <f>IF(($A59/J$53)&gt;=31,0,INDEX(Data_EPA_Survival!$C$5:$C$36,INT(($A59/J$53))+1)+(($A59/J$53)-INT(($A59/J$53)))*(INDEX(Data_EPA_Survival!$C$5:$C$36,INT(($A59/J$53))+2)-INDEX(Data_EPA_Survival!$C$5:$C$36,INT(($A59/J$53))+1)))</f>
        <v/>
      </c>
      <c r="K59" s="26">
        <f>IF(($A59/K$53)&gt;=31,0,INDEX(Data_EPA_Survival!$C$5:$C$36,INT(($A59/K$53))+1)+(($A59/K$53)-INT(($A59/K$53)))*(INDEX(Data_EPA_Survival!$C$5:$C$36,INT(($A59/K$53))+2)-INDEX(Data_EPA_Survival!$C$5:$C$36,INT(($A59/K$53))+1)))</f>
        <v/>
      </c>
      <c r="L59" s="26">
        <f>IF(($A59/L$53)&gt;=31,0,INDEX(Data_EPA_Survival!$C$5:$C$36,INT(($A59/L$53))+1)+(($A59/L$53)-INT(($A59/L$53)))*(INDEX(Data_EPA_Survival!$C$5:$C$36,INT(($A59/L$53))+2)-INDEX(Data_EPA_Survival!$C$5:$C$36,INT(($A59/L$53))+1)))</f>
        <v/>
      </c>
      <c r="M59" s="26">
        <f>IF(($A59/M$53)&gt;=31,0,INDEX(Data_EPA_Survival!$C$5:$C$36,INT(($A59/M$53))+1)+(($A59/M$53)-INT(($A59/M$53)))*(INDEX(Data_EPA_Survival!$C$5:$C$36,INT(($A59/M$53))+2)-INDEX(Data_EPA_Survival!$C$5:$C$36,INT(($A59/M$53))+1)))</f>
        <v/>
      </c>
      <c r="N59" s="26">
        <f>IF(($A59/N$53)&gt;=31,0,INDEX(Data_EPA_Survival!$C$5:$C$36,INT(($A59/N$53))+1)+(($A59/N$53)-INT(($A59/N$53)))*(INDEX(Data_EPA_Survival!$C$5:$C$36,INT(($A59/N$53))+2)-INDEX(Data_EPA_Survival!$C$5:$C$36,INT(($A59/N$53))+1)))</f>
        <v/>
      </c>
      <c r="O59" s="26">
        <f>IF(($A59/O$53)&gt;=31,0,INDEX(Data_EPA_Survival!$C$5:$C$36,INT(($A59/O$53))+1)+(($A59/O$53)-INT(($A59/O$53)))*(INDEX(Data_EPA_Survival!$C$5:$C$36,INT(($A59/O$53))+2)-INDEX(Data_EPA_Survival!$C$5:$C$36,INT(($A59/O$53))+1)))</f>
        <v/>
      </c>
      <c r="P59" s="26">
        <f>IF(($A59/P$53)&gt;=31,0,INDEX(Data_EPA_Survival!$C$5:$C$36,INT(($A59/P$53))+1)+(($A59/P$53)-INT(($A59/P$53)))*(INDEX(Data_EPA_Survival!$C$5:$C$36,INT(($A59/P$53))+2)-INDEX(Data_EPA_Survival!$C$5:$C$36,INT(($A59/P$53))+1)))</f>
        <v/>
      </c>
      <c r="Q59" s="26">
        <f>IF(($A59/Q$53)&gt;=31,0,INDEX(Data_EPA_Survival!$C$5:$C$36,INT(($A59/Q$53))+1)+(($A59/Q$53)-INT(($A59/Q$53)))*(INDEX(Data_EPA_Survival!$C$5:$C$36,INT(($A59/Q$53))+2)-INDEX(Data_EPA_Survival!$C$5:$C$36,INT(($A59/Q$53))+1)))</f>
        <v/>
      </c>
      <c r="R59" s="26">
        <f>IF(($A59/R$53)&gt;=31,0,INDEX(Data_EPA_Survival!$C$5:$C$36,INT(($A59/R$53))+1)+(($A59/R$53)-INT(($A59/R$53)))*(INDEX(Data_EPA_Survival!$C$5:$C$36,INT(($A59/R$53))+2)-INDEX(Data_EPA_Survival!$C$5:$C$36,INT(($A59/R$53))+1)))</f>
        <v/>
      </c>
      <c r="S59" s="26">
        <f>IF(($A59/S$53)&gt;=31,0,INDEX(Data_EPA_Survival!$C$5:$C$36,INT(($A59/S$53))+1)+(($A59/S$53)-INT(($A59/S$53)))*(INDEX(Data_EPA_Survival!$C$5:$C$36,INT(($A59/S$53))+2)-INDEX(Data_EPA_Survival!$C$5:$C$36,INT(($A59/S$53))+1)))</f>
        <v/>
      </c>
      <c r="T59" s="26">
        <f>IF(($A59/T$53)&gt;=31,0,INDEX(Data_EPA_Survival!$C$5:$C$36,INT(($A59/T$53))+1)+(($A59/T$53)-INT(($A59/T$53)))*(INDEX(Data_EPA_Survival!$C$5:$C$36,INT(($A59/T$53))+2)-INDEX(Data_EPA_Survival!$C$5:$C$36,INT(($A59/T$53))+1)))</f>
        <v/>
      </c>
    </row>
    <row r="60">
      <c r="A60" s="9" t="n">
        <v>5</v>
      </c>
      <c r="C60" s="26">
        <f>IF(($A60/C$53)&gt;=31,0,INDEX(Data_EPA_Survival!$C$5:$C$36,INT(($A60/C$53))+1)+(($A60/C$53)-INT(($A60/C$53)))*(INDEX(Data_EPA_Survival!$C$5:$C$36,INT(($A60/C$53))+2)-INDEX(Data_EPA_Survival!$C$5:$C$36,INT(($A60/C$53))+1)))</f>
        <v/>
      </c>
      <c r="D60" s="26">
        <f>IF(($A60/D$53)&gt;=31,0,INDEX(Data_EPA_Survival!$C$5:$C$36,INT(($A60/D$53))+1)+(($A60/D$53)-INT(($A60/D$53)))*(INDEX(Data_EPA_Survival!$C$5:$C$36,INT(($A60/D$53))+2)-INDEX(Data_EPA_Survival!$C$5:$C$36,INT(($A60/D$53))+1)))</f>
        <v/>
      </c>
      <c r="E60" s="26">
        <f>IF(($A60/E$53)&gt;=31,0,INDEX(Data_EPA_Survival!$C$5:$C$36,INT(($A60/E$53))+1)+(($A60/E$53)-INT(($A60/E$53)))*(INDEX(Data_EPA_Survival!$C$5:$C$36,INT(($A60/E$53))+2)-INDEX(Data_EPA_Survival!$C$5:$C$36,INT(($A60/E$53))+1)))</f>
        <v/>
      </c>
      <c r="F60" s="26">
        <f>IF(($A60/F$53)&gt;=31,0,INDEX(Data_EPA_Survival!$C$5:$C$36,INT(($A60/F$53))+1)+(($A60/F$53)-INT(($A60/F$53)))*(INDEX(Data_EPA_Survival!$C$5:$C$36,INT(($A60/F$53))+2)-INDEX(Data_EPA_Survival!$C$5:$C$36,INT(($A60/F$53))+1)))</f>
        <v/>
      </c>
      <c r="G60" s="26">
        <f>IF(($A60/G$53)&gt;=31,0,INDEX(Data_EPA_Survival!$C$5:$C$36,INT(($A60/G$53))+1)+(($A60/G$53)-INT(($A60/G$53)))*(INDEX(Data_EPA_Survival!$C$5:$C$36,INT(($A60/G$53))+2)-INDEX(Data_EPA_Survival!$C$5:$C$36,INT(($A60/G$53))+1)))</f>
        <v/>
      </c>
      <c r="H60" s="26">
        <f>IF(($A60/H$53)&gt;=31,0,INDEX(Data_EPA_Survival!$C$5:$C$36,INT(($A60/H$53))+1)+(($A60/H$53)-INT(($A60/H$53)))*(INDEX(Data_EPA_Survival!$C$5:$C$36,INT(($A60/H$53))+2)-INDEX(Data_EPA_Survival!$C$5:$C$36,INT(($A60/H$53))+1)))</f>
        <v/>
      </c>
      <c r="I60" s="26">
        <f>IF(($A60/I$53)&gt;=31,0,INDEX(Data_EPA_Survival!$C$5:$C$36,INT(($A60/I$53))+1)+(($A60/I$53)-INT(($A60/I$53)))*(INDEX(Data_EPA_Survival!$C$5:$C$36,INT(($A60/I$53))+2)-INDEX(Data_EPA_Survival!$C$5:$C$36,INT(($A60/I$53))+1)))</f>
        <v/>
      </c>
      <c r="J60" s="26">
        <f>IF(($A60/J$53)&gt;=31,0,INDEX(Data_EPA_Survival!$C$5:$C$36,INT(($A60/J$53))+1)+(($A60/J$53)-INT(($A60/J$53)))*(INDEX(Data_EPA_Survival!$C$5:$C$36,INT(($A60/J$53))+2)-INDEX(Data_EPA_Survival!$C$5:$C$36,INT(($A60/J$53))+1)))</f>
        <v/>
      </c>
      <c r="K60" s="26">
        <f>IF(($A60/K$53)&gt;=31,0,INDEX(Data_EPA_Survival!$C$5:$C$36,INT(($A60/K$53))+1)+(($A60/K$53)-INT(($A60/K$53)))*(INDEX(Data_EPA_Survival!$C$5:$C$36,INT(($A60/K$53))+2)-INDEX(Data_EPA_Survival!$C$5:$C$36,INT(($A60/K$53))+1)))</f>
        <v/>
      </c>
      <c r="L60" s="26">
        <f>IF(($A60/L$53)&gt;=31,0,INDEX(Data_EPA_Survival!$C$5:$C$36,INT(($A60/L$53))+1)+(($A60/L$53)-INT(($A60/L$53)))*(INDEX(Data_EPA_Survival!$C$5:$C$36,INT(($A60/L$53))+2)-INDEX(Data_EPA_Survival!$C$5:$C$36,INT(($A60/L$53))+1)))</f>
        <v/>
      </c>
      <c r="M60" s="26">
        <f>IF(($A60/M$53)&gt;=31,0,INDEX(Data_EPA_Survival!$C$5:$C$36,INT(($A60/M$53))+1)+(($A60/M$53)-INT(($A60/M$53)))*(INDEX(Data_EPA_Survival!$C$5:$C$36,INT(($A60/M$53))+2)-INDEX(Data_EPA_Survival!$C$5:$C$36,INT(($A60/M$53))+1)))</f>
        <v/>
      </c>
      <c r="N60" s="26">
        <f>IF(($A60/N$53)&gt;=31,0,INDEX(Data_EPA_Survival!$C$5:$C$36,INT(($A60/N$53))+1)+(($A60/N$53)-INT(($A60/N$53)))*(INDEX(Data_EPA_Survival!$C$5:$C$36,INT(($A60/N$53))+2)-INDEX(Data_EPA_Survival!$C$5:$C$36,INT(($A60/N$53))+1)))</f>
        <v/>
      </c>
      <c r="O60" s="26">
        <f>IF(($A60/O$53)&gt;=31,0,INDEX(Data_EPA_Survival!$C$5:$C$36,INT(($A60/O$53))+1)+(($A60/O$53)-INT(($A60/O$53)))*(INDEX(Data_EPA_Survival!$C$5:$C$36,INT(($A60/O$53))+2)-INDEX(Data_EPA_Survival!$C$5:$C$36,INT(($A60/O$53))+1)))</f>
        <v/>
      </c>
      <c r="P60" s="26">
        <f>IF(($A60/P$53)&gt;=31,0,INDEX(Data_EPA_Survival!$C$5:$C$36,INT(($A60/P$53))+1)+(($A60/P$53)-INT(($A60/P$53)))*(INDEX(Data_EPA_Survival!$C$5:$C$36,INT(($A60/P$53))+2)-INDEX(Data_EPA_Survival!$C$5:$C$36,INT(($A60/P$53))+1)))</f>
        <v/>
      </c>
      <c r="Q60" s="26">
        <f>IF(($A60/Q$53)&gt;=31,0,INDEX(Data_EPA_Survival!$C$5:$C$36,INT(($A60/Q$53))+1)+(($A60/Q$53)-INT(($A60/Q$53)))*(INDEX(Data_EPA_Survival!$C$5:$C$36,INT(($A60/Q$53))+2)-INDEX(Data_EPA_Survival!$C$5:$C$36,INT(($A60/Q$53))+1)))</f>
        <v/>
      </c>
      <c r="R60" s="26">
        <f>IF(($A60/R$53)&gt;=31,0,INDEX(Data_EPA_Survival!$C$5:$C$36,INT(($A60/R$53))+1)+(($A60/R$53)-INT(($A60/R$53)))*(INDEX(Data_EPA_Survival!$C$5:$C$36,INT(($A60/R$53))+2)-INDEX(Data_EPA_Survival!$C$5:$C$36,INT(($A60/R$53))+1)))</f>
        <v/>
      </c>
      <c r="S60" s="26">
        <f>IF(($A60/S$53)&gt;=31,0,INDEX(Data_EPA_Survival!$C$5:$C$36,INT(($A60/S$53))+1)+(($A60/S$53)-INT(($A60/S$53)))*(INDEX(Data_EPA_Survival!$C$5:$C$36,INT(($A60/S$53))+2)-INDEX(Data_EPA_Survival!$C$5:$C$36,INT(($A60/S$53))+1)))</f>
        <v/>
      </c>
      <c r="T60" s="26">
        <f>IF(($A60/T$53)&gt;=31,0,INDEX(Data_EPA_Survival!$C$5:$C$36,INT(($A60/T$53))+1)+(($A60/T$53)-INT(($A60/T$53)))*(INDEX(Data_EPA_Survival!$C$5:$C$36,INT(($A60/T$53))+2)-INDEX(Data_EPA_Survival!$C$5:$C$36,INT(($A60/T$53))+1)))</f>
        <v/>
      </c>
    </row>
    <row r="61">
      <c r="A61" s="9" t="n">
        <v>6</v>
      </c>
      <c r="C61" s="26">
        <f>IF(($A61/C$53)&gt;=31,0,INDEX(Data_EPA_Survival!$C$5:$C$36,INT(($A61/C$53))+1)+(($A61/C$53)-INT(($A61/C$53)))*(INDEX(Data_EPA_Survival!$C$5:$C$36,INT(($A61/C$53))+2)-INDEX(Data_EPA_Survival!$C$5:$C$36,INT(($A61/C$53))+1)))</f>
        <v/>
      </c>
      <c r="D61" s="26">
        <f>IF(($A61/D$53)&gt;=31,0,INDEX(Data_EPA_Survival!$C$5:$C$36,INT(($A61/D$53))+1)+(($A61/D$53)-INT(($A61/D$53)))*(INDEX(Data_EPA_Survival!$C$5:$C$36,INT(($A61/D$53))+2)-INDEX(Data_EPA_Survival!$C$5:$C$36,INT(($A61/D$53))+1)))</f>
        <v/>
      </c>
      <c r="E61" s="26">
        <f>IF(($A61/E$53)&gt;=31,0,INDEX(Data_EPA_Survival!$C$5:$C$36,INT(($A61/E$53))+1)+(($A61/E$53)-INT(($A61/E$53)))*(INDEX(Data_EPA_Survival!$C$5:$C$36,INT(($A61/E$53))+2)-INDEX(Data_EPA_Survival!$C$5:$C$36,INT(($A61/E$53))+1)))</f>
        <v/>
      </c>
      <c r="F61" s="26">
        <f>IF(($A61/F$53)&gt;=31,0,INDEX(Data_EPA_Survival!$C$5:$C$36,INT(($A61/F$53))+1)+(($A61/F$53)-INT(($A61/F$53)))*(INDEX(Data_EPA_Survival!$C$5:$C$36,INT(($A61/F$53))+2)-INDEX(Data_EPA_Survival!$C$5:$C$36,INT(($A61/F$53))+1)))</f>
        <v/>
      </c>
      <c r="G61" s="26">
        <f>IF(($A61/G$53)&gt;=31,0,INDEX(Data_EPA_Survival!$C$5:$C$36,INT(($A61/G$53))+1)+(($A61/G$53)-INT(($A61/G$53)))*(INDEX(Data_EPA_Survival!$C$5:$C$36,INT(($A61/G$53))+2)-INDEX(Data_EPA_Survival!$C$5:$C$36,INT(($A61/G$53))+1)))</f>
        <v/>
      </c>
      <c r="H61" s="26">
        <f>IF(($A61/H$53)&gt;=31,0,INDEX(Data_EPA_Survival!$C$5:$C$36,INT(($A61/H$53))+1)+(($A61/H$53)-INT(($A61/H$53)))*(INDEX(Data_EPA_Survival!$C$5:$C$36,INT(($A61/H$53))+2)-INDEX(Data_EPA_Survival!$C$5:$C$36,INT(($A61/H$53))+1)))</f>
        <v/>
      </c>
      <c r="I61" s="26">
        <f>IF(($A61/I$53)&gt;=31,0,INDEX(Data_EPA_Survival!$C$5:$C$36,INT(($A61/I$53))+1)+(($A61/I$53)-INT(($A61/I$53)))*(INDEX(Data_EPA_Survival!$C$5:$C$36,INT(($A61/I$53))+2)-INDEX(Data_EPA_Survival!$C$5:$C$36,INT(($A61/I$53))+1)))</f>
        <v/>
      </c>
      <c r="J61" s="26">
        <f>IF(($A61/J$53)&gt;=31,0,INDEX(Data_EPA_Survival!$C$5:$C$36,INT(($A61/J$53))+1)+(($A61/J$53)-INT(($A61/J$53)))*(INDEX(Data_EPA_Survival!$C$5:$C$36,INT(($A61/J$53))+2)-INDEX(Data_EPA_Survival!$C$5:$C$36,INT(($A61/J$53))+1)))</f>
        <v/>
      </c>
      <c r="K61" s="26">
        <f>IF(($A61/K$53)&gt;=31,0,INDEX(Data_EPA_Survival!$C$5:$C$36,INT(($A61/K$53))+1)+(($A61/K$53)-INT(($A61/K$53)))*(INDEX(Data_EPA_Survival!$C$5:$C$36,INT(($A61/K$53))+2)-INDEX(Data_EPA_Survival!$C$5:$C$36,INT(($A61/K$53))+1)))</f>
        <v/>
      </c>
      <c r="L61" s="26">
        <f>IF(($A61/L$53)&gt;=31,0,INDEX(Data_EPA_Survival!$C$5:$C$36,INT(($A61/L$53))+1)+(($A61/L$53)-INT(($A61/L$53)))*(INDEX(Data_EPA_Survival!$C$5:$C$36,INT(($A61/L$53))+2)-INDEX(Data_EPA_Survival!$C$5:$C$36,INT(($A61/L$53))+1)))</f>
        <v/>
      </c>
      <c r="M61" s="26">
        <f>IF(($A61/M$53)&gt;=31,0,INDEX(Data_EPA_Survival!$C$5:$C$36,INT(($A61/M$53))+1)+(($A61/M$53)-INT(($A61/M$53)))*(INDEX(Data_EPA_Survival!$C$5:$C$36,INT(($A61/M$53))+2)-INDEX(Data_EPA_Survival!$C$5:$C$36,INT(($A61/M$53))+1)))</f>
        <v/>
      </c>
      <c r="N61" s="26">
        <f>IF(($A61/N$53)&gt;=31,0,INDEX(Data_EPA_Survival!$C$5:$C$36,INT(($A61/N$53))+1)+(($A61/N$53)-INT(($A61/N$53)))*(INDEX(Data_EPA_Survival!$C$5:$C$36,INT(($A61/N$53))+2)-INDEX(Data_EPA_Survival!$C$5:$C$36,INT(($A61/N$53))+1)))</f>
        <v/>
      </c>
      <c r="O61" s="26">
        <f>IF(($A61/O$53)&gt;=31,0,INDEX(Data_EPA_Survival!$C$5:$C$36,INT(($A61/O$53))+1)+(($A61/O$53)-INT(($A61/O$53)))*(INDEX(Data_EPA_Survival!$C$5:$C$36,INT(($A61/O$53))+2)-INDEX(Data_EPA_Survival!$C$5:$C$36,INT(($A61/O$53))+1)))</f>
        <v/>
      </c>
      <c r="P61" s="26">
        <f>IF(($A61/P$53)&gt;=31,0,INDEX(Data_EPA_Survival!$C$5:$C$36,INT(($A61/P$53))+1)+(($A61/P$53)-INT(($A61/P$53)))*(INDEX(Data_EPA_Survival!$C$5:$C$36,INT(($A61/P$53))+2)-INDEX(Data_EPA_Survival!$C$5:$C$36,INT(($A61/P$53))+1)))</f>
        <v/>
      </c>
      <c r="Q61" s="26">
        <f>IF(($A61/Q$53)&gt;=31,0,INDEX(Data_EPA_Survival!$C$5:$C$36,INT(($A61/Q$53))+1)+(($A61/Q$53)-INT(($A61/Q$53)))*(INDEX(Data_EPA_Survival!$C$5:$C$36,INT(($A61/Q$53))+2)-INDEX(Data_EPA_Survival!$C$5:$C$36,INT(($A61/Q$53))+1)))</f>
        <v/>
      </c>
      <c r="R61" s="26">
        <f>IF(($A61/R$53)&gt;=31,0,INDEX(Data_EPA_Survival!$C$5:$C$36,INT(($A61/R$53))+1)+(($A61/R$53)-INT(($A61/R$53)))*(INDEX(Data_EPA_Survival!$C$5:$C$36,INT(($A61/R$53))+2)-INDEX(Data_EPA_Survival!$C$5:$C$36,INT(($A61/R$53))+1)))</f>
        <v/>
      </c>
      <c r="S61" s="26">
        <f>IF(($A61/S$53)&gt;=31,0,INDEX(Data_EPA_Survival!$C$5:$C$36,INT(($A61/S$53))+1)+(($A61/S$53)-INT(($A61/S$53)))*(INDEX(Data_EPA_Survival!$C$5:$C$36,INT(($A61/S$53))+2)-INDEX(Data_EPA_Survival!$C$5:$C$36,INT(($A61/S$53))+1)))</f>
        <v/>
      </c>
      <c r="T61" s="26">
        <f>IF(($A61/T$53)&gt;=31,0,INDEX(Data_EPA_Survival!$C$5:$C$36,INT(($A61/T$53))+1)+(($A61/T$53)-INT(($A61/T$53)))*(INDEX(Data_EPA_Survival!$C$5:$C$36,INT(($A61/T$53))+2)-INDEX(Data_EPA_Survival!$C$5:$C$36,INT(($A61/T$53))+1)))</f>
        <v/>
      </c>
    </row>
    <row r="62">
      <c r="A62" s="9" t="n">
        <v>7</v>
      </c>
      <c r="C62" s="26">
        <f>IF(($A62/C$53)&gt;=31,0,INDEX(Data_EPA_Survival!$C$5:$C$36,INT(($A62/C$53))+1)+(($A62/C$53)-INT(($A62/C$53)))*(INDEX(Data_EPA_Survival!$C$5:$C$36,INT(($A62/C$53))+2)-INDEX(Data_EPA_Survival!$C$5:$C$36,INT(($A62/C$53))+1)))</f>
        <v/>
      </c>
      <c r="D62" s="26">
        <f>IF(($A62/D$53)&gt;=31,0,INDEX(Data_EPA_Survival!$C$5:$C$36,INT(($A62/D$53))+1)+(($A62/D$53)-INT(($A62/D$53)))*(INDEX(Data_EPA_Survival!$C$5:$C$36,INT(($A62/D$53))+2)-INDEX(Data_EPA_Survival!$C$5:$C$36,INT(($A62/D$53))+1)))</f>
        <v/>
      </c>
      <c r="E62" s="26">
        <f>IF(($A62/E$53)&gt;=31,0,INDEX(Data_EPA_Survival!$C$5:$C$36,INT(($A62/E$53))+1)+(($A62/E$53)-INT(($A62/E$53)))*(INDEX(Data_EPA_Survival!$C$5:$C$36,INT(($A62/E$53))+2)-INDEX(Data_EPA_Survival!$C$5:$C$36,INT(($A62/E$53))+1)))</f>
        <v/>
      </c>
      <c r="F62" s="26">
        <f>IF(($A62/F$53)&gt;=31,0,INDEX(Data_EPA_Survival!$C$5:$C$36,INT(($A62/F$53))+1)+(($A62/F$53)-INT(($A62/F$53)))*(INDEX(Data_EPA_Survival!$C$5:$C$36,INT(($A62/F$53))+2)-INDEX(Data_EPA_Survival!$C$5:$C$36,INT(($A62/F$53))+1)))</f>
        <v/>
      </c>
      <c r="G62" s="26">
        <f>IF(($A62/G$53)&gt;=31,0,INDEX(Data_EPA_Survival!$C$5:$C$36,INT(($A62/G$53))+1)+(($A62/G$53)-INT(($A62/G$53)))*(INDEX(Data_EPA_Survival!$C$5:$C$36,INT(($A62/G$53))+2)-INDEX(Data_EPA_Survival!$C$5:$C$36,INT(($A62/G$53))+1)))</f>
        <v/>
      </c>
      <c r="H62" s="26">
        <f>IF(($A62/H$53)&gt;=31,0,INDEX(Data_EPA_Survival!$C$5:$C$36,INT(($A62/H$53))+1)+(($A62/H$53)-INT(($A62/H$53)))*(INDEX(Data_EPA_Survival!$C$5:$C$36,INT(($A62/H$53))+2)-INDEX(Data_EPA_Survival!$C$5:$C$36,INT(($A62/H$53))+1)))</f>
        <v/>
      </c>
      <c r="I62" s="26">
        <f>IF(($A62/I$53)&gt;=31,0,INDEX(Data_EPA_Survival!$C$5:$C$36,INT(($A62/I$53))+1)+(($A62/I$53)-INT(($A62/I$53)))*(INDEX(Data_EPA_Survival!$C$5:$C$36,INT(($A62/I$53))+2)-INDEX(Data_EPA_Survival!$C$5:$C$36,INT(($A62/I$53))+1)))</f>
        <v/>
      </c>
      <c r="J62" s="26">
        <f>IF(($A62/J$53)&gt;=31,0,INDEX(Data_EPA_Survival!$C$5:$C$36,INT(($A62/J$53))+1)+(($A62/J$53)-INT(($A62/J$53)))*(INDEX(Data_EPA_Survival!$C$5:$C$36,INT(($A62/J$53))+2)-INDEX(Data_EPA_Survival!$C$5:$C$36,INT(($A62/J$53))+1)))</f>
        <v/>
      </c>
      <c r="K62" s="26">
        <f>IF(($A62/K$53)&gt;=31,0,INDEX(Data_EPA_Survival!$C$5:$C$36,INT(($A62/K$53))+1)+(($A62/K$53)-INT(($A62/K$53)))*(INDEX(Data_EPA_Survival!$C$5:$C$36,INT(($A62/K$53))+2)-INDEX(Data_EPA_Survival!$C$5:$C$36,INT(($A62/K$53))+1)))</f>
        <v/>
      </c>
      <c r="L62" s="26">
        <f>IF(($A62/L$53)&gt;=31,0,INDEX(Data_EPA_Survival!$C$5:$C$36,INT(($A62/L$53))+1)+(($A62/L$53)-INT(($A62/L$53)))*(INDEX(Data_EPA_Survival!$C$5:$C$36,INT(($A62/L$53))+2)-INDEX(Data_EPA_Survival!$C$5:$C$36,INT(($A62/L$53))+1)))</f>
        <v/>
      </c>
      <c r="M62" s="26">
        <f>IF(($A62/M$53)&gt;=31,0,INDEX(Data_EPA_Survival!$C$5:$C$36,INT(($A62/M$53))+1)+(($A62/M$53)-INT(($A62/M$53)))*(INDEX(Data_EPA_Survival!$C$5:$C$36,INT(($A62/M$53))+2)-INDEX(Data_EPA_Survival!$C$5:$C$36,INT(($A62/M$53))+1)))</f>
        <v/>
      </c>
      <c r="N62" s="26">
        <f>IF(($A62/N$53)&gt;=31,0,INDEX(Data_EPA_Survival!$C$5:$C$36,INT(($A62/N$53))+1)+(($A62/N$53)-INT(($A62/N$53)))*(INDEX(Data_EPA_Survival!$C$5:$C$36,INT(($A62/N$53))+2)-INDEX(Data_EPA_Survival!$C$5:$C$36,INT(($A62/N$53))+1)))</f>
        <v/>
      </c>
      <c r="O62" s="26">
        <f>IF(($A62/O$53)&gt;=31,0,INDEX(Data_EPA_Survival!$C$5:$C$36,INT(($A62/O$53))+1)+(($A62/O$53)-INT(($A62/O$53)))*(INDEX(Data_EPA_Survival!$C$5:$C$36,INT(($A62/O$53))+2)-INDEX(Data_EPA_Survival!$C$5:$C$36,INT(($A62/O$53))+1)))</f>
        <v/>
      </c>
      <c r="P62" s="26">
        <f>IF(($A62/P$53)&gt;=31,0,INDEX(Data_EPA_Survival!$C$5:$C$36,INT(($A62/P$53))+1)+(($A62/P$53)-INT(($A62/P$53)))*(INDEX(Data_EPA_Survival!$C$5:$C$36,INT(($A62/P$53))+2)-INDEX(Data_EPA_Survival!$C$5:$C$36,INT(($A62/P$53))+1)))</f>
        <v/>
      </c>
      <c r="Q62" s="26">
        <f>IF(($A62/Q$53)&gt;=31,0,INDEX(Data_EPA_Survival!$C$5:$C$36,INT(($A62/Q$53))+1)+(($A62/Q$53)-INT(($A62/Q$53)))*(INDEX(Data_EPA_Survival!$C$5:$C$36,INT(($A62/Q$53))+2)-INDEX(Data_EPA_Survival!$C$5:$C$36,INT(($A62/Q$53))+1)))</f>
        <v/>
      </c>
      <c r="R62" s="26">
        <f>IF(($A62/R$53)&gt;=31,0,INDEX(Data_EPA_Survival!$C$5:$C$36,INT(($A62/R$53))+1)+(($A62/R$53)-INT(($A62/R$53)))*(INDEX(Data_EPA_Survival!$C$5:$C$36,INT(($A62/R$53))+2)-INDEX(Data_EPA_Survival!$C$5:$C$36,INT(($A62/R$53))+1)))</f>
        <v/>
      </c>
      <c r="S62" s="26">
        <f>IF(($A62/S$53)&gt;=31,0,INDEX(Data_EPA_Survival!$C$5:$C$36,INT(($A62/S$53))+1)+(($A62/S$53)-INT(($A62/S$53)))*(INDEX(Data_EPA_Survival!$C$5:$C$36,INT(($A62/S$53))+2)-INDEX(Data_EPA_Survival!$C$5:$C$36,INT(($A62/S$53))+1)))</f>
        <v/>
      </c>
      <c r="T62" s="26">
        <f>IF(($A62/T$53)&gt;=31,0,INDEX(Data_EPA_Survival!$C$5:$C$36,INT(($A62/T$53))+1)+(($A62/T$53)-INT(($A62/T$53)))*(INDEX(Data_EPA_Survival!$C$5:$C$36,INT(($A62/T$53))+2)-INDEX(Data_EPA_Survival!$C$5:$C$36,INT(($A62/T$53))+1)))</f>
        <v/>
      </c>
    </row>
    <row r="63">
      <c r="A63" s="9" t="n">
        <v>8</v>
      </c>
      <c r="C63" s="26">
        <f>IF(($A63/C$53)&gt;=31,0,INDEX(Data_EPA_Survival!$C$5:$C$36,INT(($A63/C$53))+1)+(($A63/C$53)-INT(($A63/C$53)))*(INDEX(Data_EPA_Survival!$C$5:$C$36,INT(($A63/C$53))+2)-INDEX(Data_EPA_Survival!$C$5:$C$36,INT(($A63/C$53))+1)))</f>
        <v/>
      </c>
      <c r="D63" s="26">
        <f>IF(($A63/D$53)&gt;=31,0,INDEX(Data_EPA_Survival!$C$5:$C$36,INT(($A63/D$53))+1)+(($A63/D$53)-INT(($A63/D$53)))*(INDEX(Data_EPA_Survival!$C$5:$C$36,INT(($A63/D$53))+2)-INDEX(Data_EPA_Survival!$C$5:$C$36,INT(($A63/D$53))+1)))</f>
        <v/>
      </c>
      <c r="E63" s="26">
        <f>IF(($A63/E$53)&gt;=31,0,INDEX(Data_EPA_Survival!$C$5:$C$36,INT(($A63/E$53))+1)+(($A63/E$53)-INT(($A63/E$53)))*(INDEX(Data_EPA_Survival!$C$5:$C$36,INT(($A63/E$53))+2)-INDEX(Data_EPA_Survival!$C$5:$C$36,INT(($A63/E$53))+1)))</f>
        <v/>
      </c>
      <c r="F63" s="26">
        <f>IF(($A63/F$53)&gt;=31,0,INDEX(Data_EPA_Survival!$C$5:$C$36,INT(($A63/F$53))+1)+(($A63/F$53)-INT(($A63/F$53)))*(INDEX(Data_EPA_Survival!$C$5:$C$36,INT(($A63/F$53))+2)-INDEX(Data_EPA_Survival!$C$5:$C$36,INT(($A63/F$53))+1)))</f>
        <v/>
      </c>
      <c r="G63" s="26">
        <f>IF(($A63/G$53)&gt;=31,0,INDEX(Data_EPA_Survival!$C$5:$C$36,INT(($A63/G$53))+1)+(($A63/G$53)-INT(($A63/G$53)))*(INDEX(Data_EPA_Survival!$C$5:$C$36,INT(($A63/G$53))+2)-INDEX(Data_EPA_Survival!$C$5:$C$36,INT(($A63/G$53))+1)))</f>
        <v/>
      </c>
      <c r="H63" s="26">
        <f>IF(($A63/H$53)&gt;=31,0,INDEX(Data_EPA_Survival!$C$5:$C$36,INT(($A63/H$53))+1)+(($A63/H$53)-INT(($A63/H$53)))*(INDEX(Data_EPA_Survival!$C$5:$C$36,INT(($A63/H$53))+2)-INDEX(Data_EPA_Survival!$C$5:$C$36,INT(($A63/H$53))+1)))</f>
        <v/>
      </c>
      <c r="I63" s="26">
        <f>IF(($A63/I$53)&gt;=31,0,INDEX(Data_EPA_Survival!$C$5:$C$36,INT(($A63/I$53))+1)+(($A63/I$53)-INT(($A63/I$53)))*(INDEX(Data_EPA_Survival!$C$5:$C$36,INT(($A63/I$53))+2)-INDEX(Data_EPA_Survival!$C$5:$C$36,INT(($A63/I$53))+1)))</f>
        <v/>
      </c>
      <c r="J63" s="26">
        <f>IF(($A63/J$53)&gt;=31,0,INDEX(Data_EPA_Survival!$C$5:$C$36,INT(($A63/J$53))+1)+(($A63/J$53)-INT(($A63/J$53)))*(INDEX(Data_EPA_Survival!$C$5:$C$36,INT(($A63/J$53))+2)-INDEX(Data_EPA_Survival!$C$5:$C$36,INT(($A63/J$53))+1)))</f>
        <v/>
      </c>
      <c r="K63" s="26">
        <f>IF(($A63/K$53)&gt;=31,0,INDEX(Data_EPA_Survival!$C$5:$C$36,INT(($A63/K$53))+1)+(($A63/K$53)-INT(($A63/K$53)))*(INDEX(Data_EPA_Survival!$C$5:$C$36,INT(($A63/K$53))+2)-INDEX(Data_EPA_Survival!$C$5:$C$36,INT(($A63/K$53))+1)))</f>
        <v/>
      </c>
      <c r="L63" s="26">
        <f>IF(($A63/L$53)&gt;=31,0,INDEX(Data_EPA_Survival!$C$5:$C$36,INT(($A63/L$53))+1)+(($A63/L$53)-INT(($A63/L$53)))*(INDEX(Data_EPA_Survival!$C$5:$C$36,INT(($A63/L$53))+2)-INDEX(Data_EPA_Survival!$C$5:$C$36,INT(($A63/L$53))+1)))</f>
        <v/>
      </c>
      <c r="M63" s="26">
        <f>IF(($A63/M$53)&gt;=31,0,INDEX(Data_EPA_Survival!$C$5:$C$36,INT(($A63/M$53))+1)+(($A63/M$53)-INT(($A63/M$53)))*(INDEX(Data_EPA_Survival!$C$5:$C$36,INT(($A63/M$53))+2)-INDEX(Data_EPA_Survival!$C$5:$C$36,INT(($A63/M$53))+1)))</f>
        <v/>
      </c>
      <c r="N63" s="26">
        <f>IF(($A63/N$53)&gt;=31,0,INDEX(Data_EPA_Survival!$C$5:$C$36,INT(($A63/N$53))+1)+(($A63/N$53)-INT(($A63/N$53)))*(INDEX(Data_EPA_Survival!$C$5:$C$36,INT(($A63/N$53))+2)-INDEX(Data_EPA_Survival!$C$5:$C$36,INT(($A63/N$53))+1)))</f>
        <v/>
      </c>
      <c r="O63" s="26">
        <f>IF(($A63/O$53)&gt;=31,0,INDEX(Data_EPA_Survival!$C$5:$C$36,INT(($A63/O$53))+1)+(($A63/O$53)-INT(($A63/O$53)))*(INDEX(Data_EPA_Survival!$C$5:$C$36,INT(($A63/O$53))+2)-INDEX(Data_EPA_Survival!$C$5:$C$36,INT(($A63/O$53))+1)))</f>
        <v/>
      </c>
      <c r="P63" s="26">
        <f>IF(($A63/P$53)&gt;=31,0,INDEX(Data_EPA_Survival!$C$5:$C$36,INT(($A63/P$53))+1)+(($A63/P$53)-INT(($A63/P$53)))*(INDEX(Data_EPA_Survival!$C$5:$C$36,INT(($A63/P$53))+2)-INDEX(Data_EPA_Survival!$C$5:$C$36,INT(($A63/P$53))+1)))</f>
        <v/>
      </c>
      <c r="Q63" s="26">
        <f>IF(($A63/Q$53)&gt;=31,0,INDEX(Data_EPA_Survival!$C$5:$C$36,INT(($A63/Q$53))+1)+(($A63/Q$53)-INT(($A63/Q$53)))*(INDEX(Data_EPA_Survival!$C$5:$C$36,INT(($A63/Q$53))+2)-INDEX(Data_EPA_Survival!$C$5:$C$36,INT(($A63/Q$53))+1)))</f>
        <v/>
      </c>
      <c r="R63" s="26">
        <f>IF(($A63/R$53)&gt;=31,0,INDEX(Data_EPA_Survival!$C$5:$C$36,INT(($A63/R$53))+1)+(($A63/R$53)-INT(($A63/R$53)))*(INDEX(Data_EPA_Survival!$C$5:$C$36,INT(($A63/R$53))+2)-INDEX(Data_EPA_Survival!$C$5:$C$36,INT(($A63/R$53))+1)))</f>
        <v/>
      </c>
      <c r="S63" s="26">
        <f>IF(($A63/S$53)&gt;=31,0,INDEX(Data_EPA_Survival!$C$5:$C$36,INT(($A63/S$53))+1)+(($A63/S$53)-INT(($A63/S$53)))*(INDEX(Data_EPA_Survival!$C$5:$C$36,INT(($A63/S$53))+2)-INDEX(Data_EPA_Survival!$C$5:$C$36,INT(($A63/S$53))+1)))</f>
        <v/>
      </c>
      <c r="T63" s="26">
        <f>IF(($A63/T$53)&gt;=31,0,INDEX(Data_EPA_Survival!$C$5:$C$36,INT(($A63/T$53))+1)+(($A63/T$53)-INT(($A63/T$53)))*(INDEX(Data_EPA_Survival!$C$5:$C$36,INT(($A63/T$53))+2)-INDEX(Data_EPA_Survival!$C$5:$C$36,INT(($A63/T$53))+1)))</f>
        <v/>
      </c>
    </row>
    <row r="64">
      <c r="A64" s="9" t="n">
        <v>9</v>
      </c>
      <c r="C64" s="26">
        <f>IF(($A64/C$53)&gt;=31,0,INDEX(Data_EPA_Survival!$C$5:$C$36,INT(($A64/C$53))+1)+(($A64/C$53)-INT(($A64/C$53)))*(INDEX(Data_EPA_Survival!$C$5:$C$36,INT(($A64/C$53))+2)-INDEX(Data_EPA_Survival!$C$5:$C$36,INT(($A64/C$53))+1)))</f>
        <v/>
      </c>
      <c r="D64" s="26">
        <f>IF(($A64/D$53)&gt;=31,0,INDEX(Data_EPA_Survival!$C$5:$C$36,INT(($A64/D$53))+1)+(($A64/D$53)-INT(($A64/D$53)))*(INDEX(Data_EPA_Survival!$C$5:$C$36,INT(($A64/D$53))+2)-INDEX(Data_EPA_Survival!$C$5:$C$36,INT(($A64/D$53))+1)))</f>
        <v/>
      </c>
      <c r="E64" s="26">
        <f>IF(($A64/E$53)&gt;=31,0,INDEX(Data_EPA_Survival!$C$5:$C$36,INT(($A64/E$53))+1)+(($A64/E$53)-INT(($A64/E$53)))*(INDEX(Data_EPA_Survival!$C$5:$C$36,INT(($A64/E$53))+2)-INDEX(Data_EPA_Survival!$C$5:$C$36,INT(($A64/E$53))+1)))</f>
        <v/>
      </c>
      <c r="F64" s="26">
        <f>IF(($A64/F$53)&gt;=31,0,INDEX(Data_EPA_Survival!$C$5:$C$36,INT(($A64/F$53))+1)+(($A64/F$53)-INT(($A64/F$53)))*(INDEX(Data_EPA_Survival!$C$5:$C$36,INT(($A64/F$53))+2)-INDEX(Data_EPA_Survival!$C$5:$C$36,INT(($A64/F$53))+1)))</f>
        <v/>
      </c>
      <c r="G64" s="26">
        <f>IF(($A64/G$53)&gt;=31,0,INDEX(Data_EPA_Survival!$C$5:$C$36,INT(($A64/G$53))+1)+(($A64/G$53)-INT(($A64/G$53)))*(INDEX(Data_EPA_Survival!$C$5:$C$36,INT(($A64/G$53))+2)-INDEX(Data_EPA_Survival!$C$5:$C$36,INT(($A64/G$53))+1)))</f>
        <v/>
      </c>
      <c r="H64" s="26">
        <f>IF(($A64/H$53)&gt;=31,0,INDEX(Data_EPA_Survival!$C$5:$C$36,INT(($A64/H$53))+1)+(($A64/H$53)-INT(($A64/H$53)))*(INDEX(Data_EPA_Survival!$C$5:$C$36,INT(($A64/H$53))+2)-INDEX(Data_EPA_Survival!$C$5:$C$36,INT(($A64/H$53))+1)))</f>
        <v/>
      </c>
      <c r="I64" s="26">
        <f>IF(($A64/I$53)&gt;=31,0,INDEX(Data_EPA_Survival!$C$5:$C$36,INT(($A64/I$53))+1)+(($A64/I$53)-INT(($A64/I$53)))*(INDEX(Data_EPA_Survival!$C$5:$C$36,INT(($A64/I$53))+2)-INDEX(Data_EPA_Survival!$C$5:$C$36,INT(($A64/I$53))+1)))</f>
        <v/>
      </c>
      <c r="J64" s="26">
        <f>IF(($A64/J$53)&gt;=31,0,INDEX(Data_EPA_Survival!$C$5:$C$36,INT(($A64/J$53))+1)+(($A64/J$53)-INT(($A64/J$53)))*(INDEX(Data_EPA_Survival!$C$5:$C$36,INT(($A64/J$53))+2)-INDEX(Data_EPA_Survival!$C$5:$C$36,INT(($A64/J$53))+1)))</f>
        <v/>
      </c>
      <c r="K64" s="26">
        <f>IF(($A64/K$53)&gt;=31,0,INDEX(Data_EPA_Survival!$C$5:$C$36,INT(($A64/K$53))+1)+(($A64/K$53)-INT(($A64/K$53)))*(INDEX(Data_EPA_Survival!$C$5:$C$36,INT(($A64/K$53))+2)-INDEX(Data_EPA_Survival!$C$5:$C$36,INT(($A64/K$53))+1)))</f>
        <v/>
      </c>
      <c r="L64" s="26">
        <f>IF(($A64/L$53)&gt;=31,0,INDEX(Data_EPA_Survival!$C$5:$C$36,INT(($A64/L$53))+1)+(($A64/L$53)-INT(($A64/L$53)))*(INDEX(Data_EPA_Survival!$C$5:$C$36,INT(($A64/L$53))+2)-INDEX(Data_EPA_Survival!$C$5:$C$36,INT(($A64/L$53))+1)))</f>
        <v/>
      </c>
      <c r="M64" s="26">
        <f>IF(($A64/M$53)&gt;=31,0,INDEX(Data_EPA_Survival!$C$5:$C$36,INT(($A64/M$53))+1)+(($A64/M$53)-INT(($A64/M$53)))*(INDEX(Data_EPA_Survival!$C$5:$C$36,INT(($A64/M$53))+2)-INDEX(Data_EPA_Survival!$C$5:$C$36,INT(($A64/M$53))+1)))</f>
        <v/>
      </c>
      <c r="N64" s="26">
        <f>IF(($A64/N$53)&gt;=31,0,INDEX(Data_EPA_Survival!$C$5:$C$36,INT(($A64/N$53))+1)+(($A64/N$53)-INT(($A64/N$53)))*(INDEX(Data_EPA_Survival!$C$5:$C$36,INT(($A64/N$53))+2)-INDEX(Data_EPA_Survival!$C$5:$C$36,INT(($A64/N$53))+1)))</f>
        <v/>
      </c>
      <c r="O64" s="26">
        <f>IF(($A64/O$53)&gt;=31,0,INDEX(Data_EPA_Survival!$C$5:$C$36,INT(($A64/O$53))+1)+(($A64/O$53)-INT(($A64/O$53)))*(INDEX(Data_EPA_Survival!$C$5:$C$36,INT(($A64/O$53))+2)-INDEX(Data_EPA_Survival!$C$5:$C$36,INT(($A64/O$53))+1)))</f>
        <v/>
      </c>
      <c r="P64" s="26">
        <f>IF(($A64/P$53)&gt;=31,0,INDEX(Data_EPA_Survival!$C$5:$C$36,INT(($A64/P$53))+1)+(($A64/P$53)-INT(($A64/P$53)))*(INDEX(Data_EPA_Survival!$C$5:$C$36,INT(($A64/P$53))+2)-INDEX(Data_EPA_Survival!$C$5:$C$36,INT(($A64/P$53))+1)))</f>
        <v/>
      </c>
      <c r="Q64" s="26">
        <f>IF(($A64/Q$53)&gt;=31,0,INDEX(Data_EPA_Survival!$C$5:$C$36,INT(($A64/Q$53))+1)+(($A64/Q$53)-INT(($A64/Q$53)))*(INDEX(Data_EPA_Survival!$C$5:$C$36,INT(($A64/Q$53))+2)-INDEX(Data_EPA_Survival!$C$5:$C$36,INT(($A64/Q$53))+1)))</f>
        <v/>
      </c>
      <c r="R64" s="26">
        <f>IF(($A64/R$53)&gt;=31,0,INDEX(Data_EPA_Survival!$C$5:$C$36,INT(($A64/R$53))+1)+(($A64/R$53)-INT(($A64/R$53)))*(INDEX(Data_EPA_Survival!$C$5:$C$36,INT(($A64/R$53))+2)-INDEX(Data_EPA_Survival!$C$5:$C$36,INT(($A64/R$53))+1)))</f>
        <v/>
      </c>
      <c r="S64" s="26">
        <f>IF(($A64/S$53)&gt;=31,0,INDEX(Data_EPA_Survival!$C$5:$C$36,INT(($A64/S$53))+1)+(($A64/S$53)-INT(($A64/S$53)))*(INDEX(Data_EPA_Survival!$C$5:$C$36,INT(($A64/S$53))+2)-INDEX(Data_EPA_Survival!$C$5:$C$36,INT(($A64/S$53))+1)))</f>
        <v/>
      </c>
      <c r="T64" s="26">
        <f>IF(($A64/T$53)&gt;=31,0,INDEX(Data_EPA_Survival!$C$5:$C$36,INT(($A64/T$53))+1)+(($A64/T$53)-INT(($A64/T$53)))*(INDEX(Data_EPA_Survival!$C$5:$C$36,INT(($A64/T$53))+2)-INDEX(Data_EPA_Survival!$C$5:$C$36,INT(($A64/T$53))+1)))</f>
        <v/>
      </c>
    </row>
    <row r="65">
      <c r="A65" s="9" t="n">
        <v>10</v>
      </c>
      <c r="C65" s="26">
        <f>IF(($A65/C$53)&gt;=31,0,INDEX(Data_EPA_Survival!$C$5:$C$36,INT(($A65/C$53))+1)+(($A65/C$53)-INT(($A65/C$53)))*(INDEX(Data_EPA_Survival!$C$5:$C$36,INT(($A65/C$53))+2)-INDEX(Data_EPA_Survival!$C$5:$C$36,INT(($A65/C$53))+1)))</f>
        <v/>
      </c>
      <c r="D65" s="26">
        <f>IF(($A65/D$53)&gt;=31,0,INDEX(Data_EPA_Survival!$C$5:$C$36,INT(($A65/D$53))+1)+(($A65/D$53)-INT(($A65/D$53)))*(INDEX(Data_EPA_Survival!$C$5:$C$36,INT(($A65/D$53))+2)-INDEX(Data_EPA_Survival!$C$5:$C$36,INT(($A65/D$53))+1)))</f>
        <v/>
      </c>
      <c r="E65" s="26">
        <f>IF(($A65/E$53)&gt;=31,0,INDEX(Data_EPA_Survival!$C$5:$C$36,INT(($A65/E$53))+1)+(($A65/E$53)-INT(($A65/E$53)))*(INDEX(Data_EPA_Survival!$C$5:$C$36,INT(($A65/E$53))+2)-INDEX(Data_EPA_Survival!$C$5:$C$36,INT(($A65/E$53))+1)))</f>
        <v/>
      </c>
      <c r="F65" s="26">
        <f>IF(($A65/F$53)&gt;=31,0,INDEX(Data_EPA_Survival!$C$5:$C$36,INT(($A65/F$53))+1)+(($A65/F$53)-INT(($A65/F$53)))*(INDEX(Data_EPA_Survival!$C$5:$C$36,INT(($A65/F$53))+2)-INDEX(Data_EPA_Survival!$C$5:$C$36,INT(($A65/F$53))+1)))</f>
        <v/>
      </c>
      <c r="G65" s="26">
        <f>IF(($A65/G$53)&gt;=31,0,INDEX(Data_EPA_Survival!$C$5:$C$36,INT(($A65/G$53))+1)+(($A65/G$53)-INT(($A65/G$53)))*(INDEX(Data_EPA_Survival!$C$5:$C$36,INT(($A65/G$53))+2)-INDEX(Data_EPA_Survival!$C$5:$C$36,INT(($A65/G$53))+1)))</f>
        <v/>
      </c>
      <c r="H65" s="26">
        <f>IF(($A65/H$53)&gt;=31,0,INDEX(Data_EPA_Survival!$C$5:$C$36,INT(($A65/H$53))+1)+(($A65/H$53)-INT(($A65/H$53)))*(INDEX(Data_EPA_Survival!$C$5:$C$36,INT(($A65/H$53))+2)-INDEX(Data_EPA_Survival!$C$5:$C$36,INT(($A65/H$53))+1)))</f>
        <v/>
      </c>
      <c r="I65" s="26">
        <f>IF(($A65/I$53)&gt;=31,0,INDEX(Data_EPA_Survival!$C$5:$C$36,INT(($A65/I$53))+1)+(($A65/I$53)-INT(($A65/I$53)))*(INDEX(Data_EPA_Survival!$C$5:$C$36,INT(($A65/I$53))+2)-INDEX(Data_EPA_Survival!$C$5:$C$36,INT(($A65/I$53))+1)))</f>
        <v/>
      </c>
      <c r="J65" s="26">
        <f>IF(($A65/J$53)&gt;=31,0,INDEX(Data_EPA_Survival!$C$5:$C$36,INT(($A65/J$53))+1)+(($A65/J$53)-INT(($A65/J$53)))*(INDEX(Data_EPA_Survival!$C$5:$C$36,INT(($A65/J$53))+2)-INDEX(Data_EPA_Survival!$C$5:$C$36,INT(($A65/J$53))+1)))</f>
        <v/>
      </c>
      <c r="K65" s="26">
        <f>IF(($A65/K$53)&gt;=31,0,INDEX(Data_EPA_Survival!$C$5:$C$36,INT(($A65/K$53))+1)+(($A65/K$53)-INT(($A65/K$53)))*(INDEX(Data_EPA_Survival!$C$5:$C$36,INT(($A65/K$53))+2)-INDEX(Data_EPA_Survival!$C$5:$C$36,INT(($A65/K$53))+1)))</f>
        <v/>
      </c>
      <c r="L65" s="26">
        <f>IF(($A65/L$53)&gt;=31,0,INDEX(Data_EPA_Survival!$C$5:$C$36,INT(($A65/L$53))+1)+(($A65/L$53)-INT(($A65/L$53)))*(INDEX(Data_EPA_Survival!$C$5:$C$36,INT(($A65/L$53))+2)-INDEX(Data_EPA_Survival!$C$5:$C$36,INT(($A65/L$53))+1)))</f>
        <v/>
      </c>
      <c r="M65" s="26">
        <f>IF(($A65/M$53)&gt;=31,0,INDEX(Data_EPA_Survival!$C$5:$C$36,INT(($A65/M$53))+1)+(($A65/M$53)-INT(($A65/M$53)))*(INDEX(Data_EPA_Survival!$C$5:$C$36,INT(($A65/M$53))+2)-INDEX(Data_EPA_Survival!$C$5:$C$36,INT(($A65/M$53))+1)))</f>
        <v/>
      </c>
      <c r="N65" s="26">
        <f>IF(($A65/N$53)&gt;=31,0,INDEX(Data_EPA_Survival!$C$5:$C$36,INT(($A65/N$53))+1)+(($A65/N$53)-INT(($A65/N$53)))*(INDEX(Data_EPA_Survival!$C$5:$C$36,INT(($A65/N$53))+2)-INDEX(Data_EPA_Survival!$C$5:$C$36,INT(($A65/N$53))+1)))</f>
        <v/>
      </c>
      <c r="O65" s="26">
        <f>IF(($A65/O$53)&gt;=31,0,INDEX(Data_EPA_Survival!$C$5:$C$36,INT(($A65/O$53))+1)+(($A65/O$53)-INT(($A65/O$53)))*(INDEX(Data_EPA_Survival!$C$5:$C$36,INT(($A65/O$53))+2)-INDEX(Data_EPA_Survival!$C$5:$C$36,INT(($A65/O$53))+1)))</f>
        <v/>
      </c>
      <c r="P65" s="26">
        <f>IF(($A65/P$53)&gt;=31,0,INDEX(Data_EPA_Survival!$C$5:$C$36,INT(($A65/P$53))+1)+(($A65/P$53)-INT(($A65/P$53)))*(INDEX(Data_EPA_Survival!$C$5:$C$36,INT(($A65/P$53))+2)-INDEX(Data_EPA_Survival!$C$5:$C$36,INT(($A65/P$53))+1)))</f>
        <v/>
      </c>
      <c r="Q65" s="26">
        <f>IF(($A65/Q$53)&gt;=31,0,INDEX(Data_EPA_Survival!$C$5:$C$36,INT(($A65/Q$53))+1)+(($A65/Q$53)-INT(($A65/Q$53)))*(INDEX(Data_EPA_Survival!$C$5:$C$36,INT(($A65/Q$53))+2)-INDEX(Data_EPA_Survival!$C$5:$C$36,INT(($A65/Q$53))+1)))</f>
        <v/>
      </c>
      <c r="R65" s="26">
        <f>IF(($A65/R$53)&gt;=31,0,INDEX(Data_EPA_Survival!$C$5:$C$36,INT(($A65/R$53))+1)+(($A65/R$53)-INT(($A65/R$53)))*(INDEX(Data_EPA_Survival!$C$5:$C$36,INT(($A65/R$53))+2)-INDEX(Data_EPA_Survival!$C$5:$C$36,INT(($A65/R$53))+1)))</f>
        <v/>
      </c>
      <c r="S65" s="26">
        <f>IF(($A65/S$53)&gt;=31,0,INDEX(Data_EPA_Survival!$C$5:$C$36,INT(($A65/S$53))+1)+(($A65/S$53)-INT(($A65/S$53)))*(INDEX(Data_EPA_Survival!$C$5:$C$36,INT(($A65/S$53))+2)-INDEX(Data_EPA_Survival!$C$5:$C$36,INT(($A65/S$53))+1)))</f>
        <v/>
      </c>
      <c r="T65" s="26">
        <f>IF(($A65/T$53)&gt;=31,0,INDEX(Data_EPA_Survival!$C$5:$C$36,INT(($A65/T$53))+1)+(($A65/T$53)-INT(($A65/T$53)))*(INDEX(Data_EPA_Survival!$C$5:$C$36,INT(($A65/T$53))+2)-INDEX(Data_EPA_Survival!$C$5:$C$36,INT(($A65/T$53))+1)))</f>
        <v/>
      </c>
    </row>
    <row r="66">
      <c r="A66" s="9" t="n">
        <v>11</v>
      </c>
      <c r="C66" s="26">
        <f>IF(($A66/C$53)&gt;=31,0,INDEX(Data_EPA_Survival!$C$5:$C$36,INT(($A66/C$53))+1)+(($A66/C$53)-INT(($A66/C$53)))*(INDEX(Data_EPA_Survival!$C$5:$C$36,INT(($A66/C$53))+2)-INDEX(Data_EPA_Survival!$C$5:$C$36,INT(($A66/C$53))+1)))</f>
        <v/>
      </c>
      <c r="D66" s="26">
        <f>IF(($A66/D$53)&gt;=31,0,INDEX(Data_EPA_Survival!$C$5:$C$36,INT(($A66/D$53))+1)+(($A66/D$53)-INT(($A66/D$53)))*(INDEX(Data_EPA_Survival!$C$5:$C$36,INT(($A66/D$53))+2)-INDEX(Data_EPA_Survival!$C$5:$C$36,INT(($A66/D$53))+1)))</f>
        <v/>
      </c>
      <c r="E66" s="26">
        <f>IF(($A66/E$53)&gt;=31,0,INDEX(Data_EPA_Survival!$C$5:$C$36,INT(($A66/E$53))+1)+(($A66/E$53)-INT(($A66/E$53)))*(INDEX(Data_EPA_Survival!$C$5:$C$36,INT(($A66/E$53))+2)-INDEX(Data_EPA_Survival!$C$5:$C$36,INT(($A66/E$53))+1)))</f>
        <v/>
      </c>
      <c r="F66" s="26">
        <f>IF(($A66/F$53)&gt;=31,0,INDEX(Data_EPA_Survival!$C$5:$C$36,INT(($A66/F$53))+1)+(($A66/F$53)-INT(($A66/F$53)))*(INDEX(Data_EPA_Survival!$C$5:$C$36,INT(($A66/F$53))+2)-INDEX(Data_EPA_Survival!$C$5:$C$36,INT(($A66/F$53))+1)))</f>
        <v/>
      </c>
      <c r="G66" s="26">
        <f>IF(($A66/G$53)&gt;=31,0,INDEX(Data_EPA_Survival!$C$5:$C$36,INT(($A66/G$53))+1)+(($A66/G$53)-INT(($A66/G$53)))*(INDEX(Data_EPA_Survival!$C$5:$C$36,INT(($A66/G$53))+2)-INDEX(Data_EPA_Survival!$C$5:$C$36,INT(($A66/G$53))+1)))</f>
        <v/>
      </c>
      <c r="H66" s="26">
        <f>IF(($A66/H$53)&gt;=31,0,INDEX(Data_EPA_Survival!$C$5:$C$36,INT(($A66/H$53))+1)+(($A66/H$53)-INT(($A66/H$53)))*(INDEX(Data_EPA_Survival!$C$5:$C$36,INT(($A66/H$53))+2)-INDEX(Data_EPA_Survival!$C$5:$C$36,INT(($A66/H$53))+1)))</f>
        <v/>
      </c>
      <c r="I66" s="26">
        <f>IF(($A66/I$53)&gt;=31,0,INDEX(Data_EPA_Survival!$C$5:$C$36,INT(($A66/I$53))+1)+(($A66/I$53)-INT(($A66/I$53)))*(INDEX(Data_EPA_Survival!$C$5:$C$36,INT(($A66/I$53))+2)-INDEX(Data_EPA_Survival!$C$5:$C$36,INT(($A66/I$53))+1)))</f>
        <v/>
      </c>
      <c r="J66" s="26">
        <f>IF(($A66/J$53)&gt;=31,0,INDEX(Data_EPA_Survival!$C$5:$C$36,INT(($A66/J$53))+1)+(($A66/J$53)-INT(($A66/J$53)))*(INDEX(Data_EPA_Survival!$C$5:$C$36,INT(($A66/J$53))+2)-INDEX(Data_EPA_Survival!$C$5:$C$36,INT(($A66/J$53))+1)))</f>
        <v/>
      </c>
      <c r="K66" s="26">
        <f>IF(($A66/K$53)&gt;=31,0,INDEX(Data_EPA_Survival!$C$5:$C$36,INT(($A66/K$53))+1)+(($A66/K$53)-INT(($A66/K$53)))*(INDEX(Data_EPA_Survival!$C$5:$C$36,INT(($A66/K$53))+2)-INDEX(Data_EPA_Survival!$C$5:$C$36,INT(($A66/K$53))+1)))</f>
        <v/>
      </c>
      <c r="L66" s="26">
        <f>IF(($A66/L$53)&gt;=31,0,INDEX(Data_EPA_Survival!$C$5:$C$36,INT(($A66/L$53))+1)+(($A66/L$53)-INT(($A66/L$53)))*(INDEX(Data_EPA_Survival!$C$5:$C$36,INT(($A66/L$53))+2)-INDEX(Data_EPA_Survival!$C$5:$C$36,INT(($A66/L$53))+1)))</f>
        <v/>
      </c>
      <c r="M66" s="26">
        <f>IF(($A66/M$53)&gt;=31,0,INDEX(Data_EPA_Survival!$C$5:$C$36,INT(($A66/M$53))+1)+(($A66/M$53)-INT(($A66/M$53)))*(INDEX(Data_EPA_Survival!$C$5:$C$36,INT(($A66/M$53))+2)-INDEX(Data_EPA_Survival!$C$5:$C$36,INT(($A66/M$53))+1)))</f>
        <v/>
      </c>
      <c r="N66" s="26">
        <f>IF(($A66/N$53)&gt;=31,0,INDEX(Data_EPA_Survival!$C$5:$C$36,INT(($A66/N$53))+1)+(($A66/N$53)-INT(($A66/N$53)))*(INDEX(Data_EPA_Survival!$C$5:$C$36,INT(($A66/N$53))+2)-INDEX(Data_EPA_Survival!$C$5:$C$36,INT(($A66/N$53))+1)))</f>
        <v/>
      </c>
      <c r="O66" s="26">
        <f>IF(($A66/O$53)&gt;=31,0,INDEX(Data_EPA_Survival!$C$5:$C$36,INT(($A66/O$53))+1)+(($A66/O$53)-INT(($A66/O$53)))*(INDEX(Data_EPA_Survival!$C$5:$C$36,INT(($A66/O$53))+2)-INDEX(Data_EPA_Survival!$C$5:$C$36,INT(($A66/O$53))+1)))</f>
        <v/>
      </c>
      <c r="P66" s="26">
        <f>IF(($A66/P$53)&gt;=31,0,INDEX(Data_EPA_Survival!$C$5:$C$36,INT(($A66/P$53))+1)+(($A66/P$53)-INT(($A66/P$53)))*(INDEX(Data_EPA_Survival!$C$5:$C$36,INT(($A66/P$53))+2)-INDEX(Data_EPA_Survival!$C$5:$C$36,INT(($A66/P$53))+1)))</f>
        <v/>
      </c>
      <c r="Q66" s="26">
        <f>IF(($A66/Q$53)&gt;=31,0,INDEX(Data_EPA_Survival!$C$5:$C$36,INT(($A66/Q$53))+1)+(($A66/Q$53)-INT(($A66/Q$53)))*(INDEX(Data_EPA_Survival!$C$5:$C$36,INT(($A66/Q$53))+2)-INDEX(Data_EPA_Survival!$C$5:$C$36,INT(($A66/Q$53))+1)))</f>
        <v/>
      </c>
      <c r="R66" s="26">
        <f>IF(($A66/R$53)&gt;=31,0,INDEX(Data_EPA_Survival!$C$5:$C$36,INT(($A66/R$53))+1)+(($A66/R$53)-INT(($A66/R$53)))*(INDEX(Data_EPA_Survival!$C$5:$C$36,INT(($A66/R$53))+2)-INDEX(Data_EPA_Survival!$C$5:$C$36,INT(($A66/R$53))+1)))</f>
        <v/>
      </c>
      <c r="S66" s="26">
        <f>IF(($A66/S$53)&gt;=31,0,INDEX(Data_EPA_Survival!$C$5:$C$36,INT(($A66/S$53))+1)+(($A66/S$53)-INT(($A66/S$53)))*(INDEX(Data_EPA_Survival!$C$5:$C$36,INT(($A66/S$53))+2)-INDEX(Data_EPA_Survival!$C$5:$C$36,INT(($A66/S$53))+1)))</f>
        <v/>
      </c>
      <c r="T66" s="26">
        <f>IF(($A66/T$53)&gt;=31,0,INDEX(Data_EPA_Survival!$C$5:$C$36,INT(($A66/T$53))+1)+(($A66/T$53)-INT(($A66/T$53)))*(INDEX(Data_EPA_Survival!$C$5:$C$36,INT(($A66/T$53))+2)-INDEX(Data_EPA_Survival!$C$5:$C$36,INT(($A66/T$53))+1)))</f>
        <v/>
      </c>
    </row>
    <row r="67">
      <c r="A67" s="9" t="n">
        <v>12</v>
      </c>
      <c r="C67" s="26">
        <f>IF(($A67/C$53)&gt;=31,0,INDEX(Data_EPA_Survival!$C$5:$C$36,INT(($A67/C$53))+1)+(($A67/C$53)-INT(($A67/C$53)))*(INDEX(Data_EPA_Survival!$C$5:$C$36,INT(($A67/C$53))+2)-INDEX(Data_EPA_Survival!$C$5:$C$36,INT(($A67/C$53))+1)))</f>
        <v/>
      </c>
      <c r="D67" s="26">
        <f>IF(($A67/D$53)&gt;=31,0,INDEX(Data_EPA_Survival!$C$5:$C$36,INT(($A67/D$53))+1)+(($A67/D$53)-INT(($A67/D$53)))*(INDEX(Data_EPA_Survival!$C$5:$C$36,INT(($A67/D$53))+2)-INDEX(Data_EPA_Survival!$C$5:$C$36,INT(($A67/D$53))+1)))</f>
        <v/>
      </c>
      <c r="E67" s="26">
        <f>IF(($A67/E$53)&gt;=31,0,INDEX(Data_EPA_Survival!$C$5:$C$36,INT(($A67/E$53))+1)+(($A67/E$53)-INT(($A67/E$53)))*(INDEX(Data_EPA_Survival!$C$5:$C$36,INT(($A67/E$53))+2)-INDEX(Data_EPA_Survival!$C$5:$C$36,INT(($A67/E$53))+1)))</f>
        <v/>
      </c>
      <c r="F67" s="26">
        <f>IF(($A67/F$53)&gt;=31,0,INDEX(Data_EPA_Survival!$C$5:$C$36,INT(($A67/F$53))+1)+(($A67/F$53)-INT(($A67/F$53)))*(INDEX(Data_EPA_Survival!$C$5:$C$36,INT(($A67/F$53))+2)-INDEX(Data_EPA_Survival!$C$5:$C$36,INT(($A67/F$53))+1)))</f>
        <v/>
      </c>
      <c r="G67" s="26">
        <f>IF(($A67/G$53)&gt;=31,0,INDEX(Data_EPA_Survival!$C$5:$C$36,INT(($A67/G$53))+1)+(($A67/G$53)-INT(($A67/G$53)))*(INDEX(Data_EPA_Survival!$C$5:$C$36,INT(($A67/G$53))+2)-INDEX(Data_EPA_Survival!$C$5:$C$36,INT(($A67/G$53))+1)))</f>
        <v/>
      </c>
      <c r="H67" s="26">
        <f>IF(($A67/H$53)&gt;=31,0,INDEX(Data_EPA_Survival!$C$5:$C$36,INT(($A67/H$53))+1)+(($A67/H$53)-INT(($A67/H$53)))*(INDEX(Data_EPA_Survival!$C$5:$C$36,INT(($A67/H$53))+2)-INDEX(Data_EPA_Survival!$C$5:$C$36,INT(($A67/H$53))+1)))</f>
        <v/>
      </c>
      <c r="I67" s="26">
        <f>IF(($A67/I$53)&gt;=31,0,INDEX(Data_EPA_Survival!$C$5:$C$36,INT(($A67/I$53))+1)+(($A67/I$53)-INT(($A67/I$53)))*(INDEX(Data_EPA_Survival!$C$5:$C$36,INT(($A67/I$53))+2)-INDEX(Data_EPA_Survival!$C$5:$C$36,INT(($A67/I$53))+1)))</f>
        <v/>
      </c>
      <c r="J67" s="26">
        <f>IF(($A67/J$53)&gt;=31,0,INDEX(Data_EPA_Survival!$C$5:$C$36,INT(($A67/J$53))+1)+(($A67/J$53)-INT(($A67/J$53)))*(INDEX(Data_EPA_Survival!$C$5:$C$36,INT(($A67/J$53))+2)-INDEX(Data_EPA_Survival!$C$5:$C$36,INT(($A67/J$53))+1)))</f>
        <v/>
      </c>
      <c r="K67" s="26">
        <f>IF(($A67/K$53)&gt;=31,0,INDEX(Data_EPA_Survival!$C$5:$C$36,INT(($A67/K$53))+1)+(($A67/K$53)-INT(($A67/K$53)))*(INDEX(Data_EPA_Survival!$C$5:$C$36,INT(($A67/K$53))+2)-INDEX(Data_EPA_Survival!$C$5:$C$36,INT(($A67/K$53))+1)))</f>
        <v/>
      </c>
      <c r="L67" s="26">
        <f>IF(($A67/L$53)&gt;=31,0,INDEX(Data_EPA_Survival!$C$5:$C$36,INT(($A67/L$53))+1)+(($A67/L$53)-INT(($A67/L$53)))*(INDEX(Data_EPA_Survival!$C$5:$C$36,INT(($A67/L$53))+2)-INDEX(Data_EPA_Survival!$C$5:$C$36,INT(($A67/L$53))+1)))</f>
        <v/>
      </c>
      <c r="M67" s="26">
        <f>IF(($A67/M$53)&gt;=31,0,INDEX(Data_EPA_Survival!$C$5:$C$36,INT(($A67/M$53))+1)+(($A67/M$53)-INT(($A67/M$53)))*(INDEX(Data_EPA_Survival!$C$5:$C$36,INT(($A67/M$53))+2)-INDEX(Data_EPA_Survival!$C$5:$C$36,INT(($A67/M$53))+1)))</f>
        <v/>
      </c>
      <c r="N67" s="26">
        <f>IF(($A67/N$53)&gt;=31,0,INDEX(Data_EPA_Survival!$C$5:$C$36,INT(($A67/N$53))+1)+(($A67/N$53)-INT(($A67/N$53)))*(INDEX(Data_EPA_Survival!$C$5:$C$36,INT(($A67/N$53))+2)-INDEX(Data_EPA_Survival!$C$5:$C$36,INT(($A67/N$53))+1)))</f>
        <v/>
      </c>
      <c r="O67" s="26">
        <f>IF(($A67/O$53)&gt;=31,0,INDEX(Data_EPA_Survival!$C$5:$C$36,INT(($A67/O$53))+1)+(($A67/O$53)-INT(($A67/O$53)))*(INDEX(Data_EPA_Survival!$C$5:$C$36,INT(($A67/O$53))+2)-INDEX(Data_EPA_Survival!$C$5:$C$36,INT(($A67/O$53))+1)))</f>
        <v/>
      </c>
      <c r="P67" s="26">
        <f>IF(($A67/P$53)&gt;=31,0,INDEX(Data_EPA_Survival!$C$5:$C$36,INT(($A67/P$53))+1)+(($A67/P$53)-INT(($A67/P$53)))*(INDEX(Data_EPA_Survival!$C$5:$C$36,INT(($A67/P$53))+2)-INDEX(Data_EPA_Survival!$C$5:$C$36,INT(($A67/P$53))+1)))</f>
        <v/>
      </c>
      <c r="Q67" s="26">
        <f>IF(($A67/Q$53)&gt;=31,0,INDEX(Data_EPA_Survival!$C$5:$C$36,INT(($A67/Q$53))+1)+(($A67/Q$53)-INT(($A67/Q$53)))*(INDEX(Data_EPA_Survival!$C$5:$C$36,INT(($A67/Q$53))+2)-INDEX(Data_EPA_Survival!$C$5:$C$36,INT(($A67/Q$53))+1)))</f>
        <v/>
      </c>
      <c r="R67" s="26">
        <f>IF(($A67/R$53)&gt;=31,0,INDEX(Data_EPA_Survival!$C$5:$C$36,INT(($A67/R$53))+1)+(($A67/R$53)-INT(($A67/R$53)))*(INDEX(Data_EPA_Survival!$C$5:$C$36,INT(($A67/R$53))+2)-INDEX(Data_EPA_Survival!$C$5:$C$36,INT(($A67/R$53))+1)))</f>
        <v/>
      </c>
      <c r="S67" s="26">
        <f>IF(($A67/S$53)&gt;=31,0,INDEX(Data_EPA_Survival!$C$5:$C$36,INT(($A67/S$53))+1)+(($A67/S$53)-INT(($A67/S$53)))*(INDEX(Data_EPA_Survival!$C$5:$C$36,INT(($A67/S$53))+2)-INDEX(Data_EPA_Survival!$C$5:$C$36,INT(($A67/S$53))+1)))</f>
        <v/>
      </c>
      <c r="T67" s="26">
        <f>IF(($A67/T$53)&gt;=31,0,INDEX(Data_EPA_Survival!$C$5:$C$36,INT(($A67/T$53))+1)+(($A67/T$53)-INT(($A67/T$53)))*(INDEX(Data_EPA_Survival!$C$5:$C$36,INT(($A67/T$53))+2)-INDEX(Data_EPA_Survival!$C$5:$C$36,INT(($A67/T$53))+1)))</f>
        <v/>
      </c>
    </row>
    <row r="68">
      <c r="A68" s="9" t="n">
        <v>13</v>
      </c>
      <c r="C68" s="26">
        <f>IF(($A68/C$53)&gt;=31,0,INDEX(Data_EPA_Survival!$C$5:$C$36,INT(($A68/C$53))+1)+(($A68/C$53)-INT(($A68/C$53)))*(INDEX(Data_EPA_Survival!$C$5:$C$36,INT(($A68/C$53))+2)-INDEX(Data_EPA_Survival!$C$5:$C$36,INT(($A68/C$53))+1)))</f>
        <v/>
      </c>
      <c r="D68" s="26">
        <f>IF(($A68/D$53)&gt;=31,0,INDEX(Data_EPA_Survival!$C$5:$C$36,INT(($A68/D$53))+1)+(($A68/D$53)-INT(($A68/D$53)))*(INDEX(Data_EPA_Survival!$C$5:$C$36,INT(($A68/D$53))+2)-INDEX(Data_EPA_Survival!$C$5:$C$36,INT(($A68/D$53))+1)))</f>
        <v/>
      </c>
      <c r="E68" s="26">
        <f>IF(($A68/E$53)&gt;=31,0,INDEX(Data_EPA_Survival!$C$5:$C$36,INT(($A68/E$53))+1)+(($A68/E$53)-INT(($A68/E$53)))*(INDEX(Data_EPA_Survival!$C$5:$C$36,INT(($A68/E$53))+2)-INDEX(Data_EPA_Survival!$C$5:$C$36,INT(($A68/E$53))+1)))</f>
        <v/>
      </c>
      <c r="F68" s="26">
        <f>IF(($A68/F$53)&gt;=31,0,INDEX(Data_EPA_Survival!$C$5:$C$36,INT(($A68/F$53))+1)+(($A68/F$53)-INT(($A68/F$53)))*(INDEX(Data_EPA_Survival!$C$5:$C$36,INT(($A68/F$53))+2)-INDEX(Data_EPA_Survival!$C$5:$C$36,INT(($A68/F$53))+1)))</f>
        <v/>
      </c>
      <c r="G68" s="26">
        <f>IF(($A68/G$53)&gt;=31,0,INDEX(Data_EPA_Survival!$C$5:$C$36,INT(($A68/G$53))+1)+(($A68/G$53)-INT(($A68/G$53)))*(INDEX(Data_EPA_Survival!$C$5:$C$36,INT(($A68/G$53))+2)-INDEX(Data_EPA_Survival!$C$5:$C$36,INT(($A68/G$53))+1)))</f>
        <v/>
      </c>
      <c r="H68" s="26">
        <f>IF(($A68/H$53)&gt;=31,0,INDEX(Data_EPA_Survival!$C$5:$C$36,INT(($A68/H$53))+1)+(($A68/H$53)-INT(($A68/H$53)))*(INDEX(Data_EPA_Survival!$C$5:$C$36,INT(($A68/H$53))+2)-INDEX(Data_EPA_Survival!$C$5:$C$36,INT(($A68/H$53))+1)))</f>
        <v/>
      </c>
      <c r="I68" s="26">
        <f>IF(($A68/I$53)&gt;=31,0,INDEX(Data_EPA_Survival!$C$5:$C$36,INT(($A68/I$53))+1)+(($A68/I$53)-INT(($A68/I$53)))*(INDEX(Data_EPA_Survival!$C$5:$C$36,INT(($A68/I$53))+2)-INDEX(Data_EPA_Survival!$C$5:$C$36,INT(($A68/I$53))+1)))</f>
        <v/>
      </c>
      <c r="J68" s="26">
        <f>IF(($A68/J$53)&gt;=31,0,INDEX(Data_EPA_Survival!$C$5:$C$36,INT(($A68/J$53))+1)+(($A68/J$53)-INT(($A68/J$53)))*(INDEX(Data_EPA_Survival!$C$5:$C$36,INT(($A68/J$53))+2)-INDEX(Data_EPA_Survival!$C$5:$C$36,INT(($A68/J$53))+1)))</f>
        <v/>
      </c>
      <c r="K68" s="26">
        <f>IF(($A68/K$53)&gt;=31,0,INDEX(Data_EPA_Survival!$C$5:$C$36,INT(($A68/K$53))+1)+(($A68/K$53)-INT(($A68/K$53)))*(INDEX(Data_EPA_Survival!$C$5:$C$36,INT(($A68/K$53))+2)-INDEX(Data_EPA_Survival!$C$5:$C$36,INT(($A68/K$53))+1)))</f>
        <v/>
      </c>
      <c r="L68" s="26">
        <f>IF(($A68/L$53)&gt;=31,0,INDEX(Data_EPA_Survival!$C$5:$C$36,INT(($A68/L$53))+1)+(($A68/L$53)-INT(($A68/L$53)))*(INDEX(Data_EPA_Survival!$C$5:$C$36,INT(($A68/L$53))+2)-INDEX(Data_EPA_Survival!$C$5:$C$36,INT(($A68/L$53))+1)))</f>
        <v/>
      </c>
      <c r="M68" s="26">
        <f>IF(($A68/M$53)&gt;=31,0,INDEX(Data_EPA_Survival!$C$5:$C$36,INT(($A68/M$53))+1)+(($A68/M$53)-INT(($A68/M$53)))*(INDEX(Data_EPA_Survival!$C$5:$C$36,INT(($A68/M$53))+2)-INDEX(Data_EPA_Survival!$C$5:$C$36,INT(($A68/M$53))+1)))</f>
        <v/>
      </c>
      <c r="N68" s="26">
        <f>IF(($A68/N$53)&gt;=31,0,INDEX(Data_EPA_Survival!$C$5:$C$36,INT(($A68/N$53))+1)+(($A68/N$53)-INT(($A68/N$53)))*(INDEX(Data_EPA_Survival!$C$5:$C$36,INT(($A68/N$53))+2)-INDEX(Data_EPA_Survival!$C$5:$C$36,INT(($A68/N$53))+1)))</f>
        <v/>
      </c>
      <c r="O68" s="26">
        <f>IF(($A68/O$53)&gt;=31,0,INDEX(Data_EPA_Survival!$C$5:$C$36,INT(($A68/O$53))+1)+(($A68/O$53)-INT(($A68/O$53)))*(INDEX(Data_EPA_Survival!$C$5:$C$36,INT(($A68/O$53))+2)-INDEX(Data_EPA_Survival!$C$5:$C$36,INT(($A68/O$53))+1)))</f>
        <v/>
      </c>
      <c r="P68" s="26">
        <f>IF(($A68/P$53)&gt;=31,0,INDEX(Data_EPA_Survival!$C$5:$C$36,INT(($A68/P$53))+1)+(($A68/P$53)-INT(($A68/P$53)))*(INDEX(Data_EPA_Survival!$C$5:$C$36,INT(($A68/P$53))+2)-INDEX(Data_EPA_Survival!$C$5:$C$36,INT(($A68/P$53))+1)))</f>
        <v/>
      </c>
      <c r="Q68" s="26">
        <f>IF(($A68/Q$53)&gt;=31,0,INDEX(Data_EPA_Survival!$C$5:$C$36,INT(($A68/Q$53))+1)+(($A68/Q$53)-INT(($A68/Q$53)))*(INDEX(Data_EPA_Survival!$C$5:$C$36,INT(($A68/Q$53))+2)-INDEX(Data_EPA_Survival!$C$5:$C$36,INT(($A68/Q$53))+1)))</f>
        <v/>
      </c>
      <c r="R68" s="26">
        <f>IF(($A68/R$53)&gt;=31,0,INDEX(Data_EPA_Survival!$C$5:$C$36,INT(($A68/R$53))+1)+(($A68/R$53)-INT(($A68/R$53)))*(INDEX(Data_EPA_Survival!$C$5:$C$36,INT(($A68/R$53))+2)-INDEX(Data_EPA_Survival!$C$5:$C$36,INT(($A68/R$53))+1)))</f>
        <v/>
      </c>
      <c r="S68" s="26">
        <f>IF(($A68/S$53)&gt;=31,0,INDEX(Data_EPA_Survival!$C$5:$C$36,INT(($A68/S$53))+1)+(($A68/S$53)-INT(($A68/S$53)))*(INDEX(Data_EPA_Survival!$C$5:$C$36,INT(($A68/S$53))+2)-INDEX(Data_EPA_Survival!$C$5:$C$36,INT(($A68/S$53))+1)))</f>
        <v/>
      </c>
      <c r="T68" s="26">
        <f>IF(($A68/T$53)&gt;=31,0,INDEX(Data_EPA_Survival!$C$5:$C$36,INT(($A68/T$53))+1)+(($A68/T$53)-INT(($A68/T$53)))*(INDEX(Data_EPA_Survival!$C$5:$C$36,INT(($A68/T$53))+2)-INDEX(Data_EPA_Survival!$C$5:$C$36,INT(($A68/T$53))+1)))</f>
        <v/>
      </c>
    </row>
    <row r="69">
      <c r="A69" s="9" t="n">
        <v>14</v>
      </c>
      <c r="C69" s="26">
        <f>IF(($A69/C$53)&gt;=31,0,INDEX(Data_EPA_Survival!$C$5:$C$36,INT(($A69/C$53))+1)+(($A69/C$53)-INT(($A69/C$53)))*(INDEX(Data_EPA_Survival!$C$5:$C$36,INT(($A69/C$53))+2)-INDEX(Data_EPA_Survival!$C$5:$C$36,INT(($A69/C$53))+1)))</f>
        <v/>
      </c>
      <c r="D69" s="26">
        <f>IF(($A69/D$53)&gt;=31,0,INDEX(Data_EPA_Survival!$C$5:$C$36,INT(($A69/D$53))+1)+(($A69/D$53)-INT(($A69/D$53)))*(INDEX(Data_EPA_Survival!$C$5:$C$36,INT(($A69/D$53))+2)-INDEX(Data_EPA_Survival!$C$5:$C$36,INT(($A69/D$53))+1)))</f>
        <v/>
      </c>
      <c r="E69" s="26">
        <f>IF(($A69/E$53)&gt;=31,0,INDEX(Data_EPA_Survival!$C$5:$C$36,INT(($A69/E$53))+1)+(($A69/E$53)-INT(($A69/E$53)))*(INDEX(Data_EPA_Survival!$C$5:$C$36,INT(($A69/E$53))+2)-INDEX(Data_EPA_Survival!$C$5:$C$36,INT(($A69/E$53))+1)))</f>
        <v/>
      </c>
      <c r="F69" s="26">
        <f>IF(($A69/F$53)&gt;=31,0,INDEX(Data_EPA_Survival!$C$5:$C$36,INT(($A69/F$53))+1)+(($A69/F$53)-INT(($A69/F$53)))*(INDEX(Data_EPA_Survival!$C$5:$C$36,INT(($A69/F$53))+2)-INDEX(Data_EPA_Survival!$C$5:$C$36,INT(($A69/F$53))+1)))</f>
        <v/>
      </c>
      <c r="G69" s="26">
        <f>IF(($A69/G$53)&gt;=31,0,INDEX(Data_EPA_Survival!$C$5:$C$36,INT(($A69/G$53))+1)+(($A69/G$53)-INT(($A69/G$53)))*(INDEX(Data_EPA_Survival!$C$5:$C$36,INT(($A69/G$53))+2)-INDEX(Data_EPA_Survival!$C$5:$C$36,INT(($A69/G$53))+1)))</f>
        <v/>
      </c>
      <c r="H69" s="26">
        <f>IF(($A69/H$53)&gt;=31,0,INDEX(Data_EPA_Survival!$C$5:$C$36,INT(($A69/H$53))+1)+(($A69/H$53)-INT(($A69/H$53)))*(INDEX(Data_EPA_Survival!$C$5:$C$36,INT(($A69/H$53))+2)-INDEX(Data_EPA_Survival!$C$5:$C$36,INT(($A69/H$53))+1)))</f>
        <v/>
      </c>
      <c r="I69" s="26">
        <f>IF(($A69/I$53)&gt;=31,0,INDEX(Data_EPA_Survival!$C$5:$C$36,INT(($A69/I$53))+1)+(($A69/I$53)-INT(($A69/I$53)))*(INDEX(Data_EPA_Survival!$C$5:$C$36,INT(($A69/I$53))+2)-INDEX(Data_EPA_Survival!$C$5:$C$36,INT(($A69/I$53))+1)))</f>
        <v/>
      </c>
      <c r="J69" s="26">
        <f>IF(($A69/J$53)&gt;=31,0,INDEX(Data_EPA_Survival!$C$5:$C$36,INT(($A69/J$53))+1)+(($A69/J$53)-INT(($A69/J$53)))*(INDEX(Data_EPA_Survival!$C$5:$C$36,INT(($A69/J$53))+2)-INDEX(Data_EPA_Survival!$C$5:$C$36,INT(($A69/J$53))+1)))</f>
        <v/>
      </c>
      <c r="K69" s="26">
        <f>IF(($A69/K$53)&gt;=31,0,INDEX(Data_EPA_Survival!$C$5:$C$36,INT(($A69/K$53))+1)+(($A69/K$53)-INT(($A69/K$53)))*(INDEX(Data_EPA_Survival!$C$5:$C$36,INT(($A69/K$53))+2)-INDEX(Data_EPA_Survival!$C$5:$C$36,INT(($A69/K$53))+1)))</f>
        <v/>
      </c>
      <c r="L69" s="26">
        <f>IF(($A69/L$53)&gt;=31,0,INDEX(Data_EPA_Survival!$C$5:$C$36,INT(($A69/L$53))+1)+(($A69/L$53)-INT(($A69/L$53)))*(INDEX(Data_EPA_Survival!$C$5:$C$36,INT(($A69/L$53))+2)-INDEX(Data_EPA_Survival!$C$5:$C$36,INT(($A69/L$53))+1)))</f>
        <v/>
      </c>
      <c r="M69" s="26">
        <f>IF(($A69/M$53)&gt;=31,0,INDEX(Data_EPA_Survival!$C$5:$C$36,INT(($A69/M$53))+1)+(($A69/M$53)-INT(($A69/M$53)))*(INDEX(Data_EPA_Survival!$C$5:$C$36,INT(($A69/M$53))+2)-INDEX(Data_EPA_Survival!$C$5:$C$36,INT(($A69/M$53))+1)))</f>
        <v/>
      </c>
      <c r="N69" s="26">
        <f>IF(($A69/N$53)&gt;=31,0,INDEX(Data_EPA_Survival!$C$5:$C$36,INT(($A69/N$53))+1)+(($A69/N$53)-INT(($A69/N$53)))*(INDEX(Data_EPA_Survival!$C$5:$C$36,INT(($A69/N$53))+2)-INDEX(Data_EPA_Survival!$C$5:$C$36,INT(($A69/N$53))+1)))</f>
        <v/>
      </c>
      <c r="O69" s="26">
        <f>IF(($A69/O$53)&gt;=31,0,INDEX(Data_EPA_Survival!$C$5:$C$36,INT(($A69/O$53))+1)+(($A69/O$53)-INT(($A69/O$53)))*(INDEX(Data_EPA_Survival!$C$5:$C$36,INT(($A69/O$53))+2)-INDEX(Data_EPA_Survival!$C$5:$C$36,INT(($A69/O$53))+1)))</f>
        <v/>
      </c>
      <c r="P69" s="26">
        <f>IF(($A69/P$53)&gt;=31,0,INDEX(Data_EPA_Survival!$C$5:$C$36,INT(($A69/P$53))+1)+(($A69/P$53)-INT(($A69/P$53)))*(INDEX(Data_EPA_Survival!$C$5:$C$36,INT(($A69/P$53))+2)-INDEX(Data_EPA_Survival!$C$5:$C$36,INT(($A69/P$53))+1)))</f>
        <v/>
      </c>
      <c r="Q69" s="26">
        <f>IF(($A69/Q$53)&gt;=31,0,INDEX(Data_EPA_Survival!$C$5:$C$36,INT(($A69/Q$53))+1)+(($A69/Q$53)-INT(($A69/Q$53)))*(INDEX(Data_EPA_Survival!$C$5:$C$36,INT(($A69/Q$53))+2)-INDEX(Data_EPA_Survival!$C$5:$C$36,INT(($A69/Q$53))+1)))</f>
        <v/>
      </c>
      <c r="R69" s="26">
        <f>IF(($A69/R$53)&gt;=31,0,INDEX(Data_EPA_Survival!$C$5:$C$36,INT(($A69/R$53))+1)+(($A69/R$53)-INT(($A69/R$53)))*(INDEX(Data_EPA_Survival!$C$5:$C$36,INT(($A69/R$53))+2)-INDEX(Data_EPA_Survival!$C$5:$C$36,INT(($A69/R$53))+1)))</f>
        <v/>
      </c>
      <c r="S69" s="26">
        <f>IF(($A69/S$53)&gt;=31,0,INDEX(Data_EPA_Survival!$C$5:$C$36,INT(($A69/S$53))+1)+(($A69/S$53)-INT(($A69/S$53)))*(INDEX(Data_EPA_Survival!$C$5:$C$36,INT(($A69/S$53))+2)-INDEX(Data_EPA_Survival!$C$5:$C$36,INT(($A69/S$53))+1)))</f>
        <v/>
      </c>
      <c r="T69" s="26">
        <f>IF(($A69/T$53)&gt;=31,0,INDEX(Data_EPA_Survival!$C$5:$C$36,INT(($A69/T$53))+1)+(($A69/T$53)-INT(($A69/T$53)))*(INDEX(Data_EPA_Survival!$C$5:$C$36,INT(($A69/T$53))+2)-INDEX(Data_EPA_Survival!$C$5:$C$36,INT(($A69/T$53))+1)))</f>
        <v/>
      </c>
    </row>
    <row r="70">
      <c r="A70" s="9" t="n">
        <v>15</v>
      </c>
      <c r="C70" s="26">
        <f>IF(($A70/C$53)&gt;=31,0,INDEX(Data_EPA_Survival!$C$5:$C$36,INT(($A70/C$53))+1)+(($A70/C$53)-INT(($A70/C$53)))*(INDEX(Data_EPA_Survival!$C$5:$C$36,INT(($A70/C$53))+2)-INDEX(Data_EPA_Survival!$C$5:$C$36,INT(($A70/C$53))+1)))</f>
        <v/>
      </c>
      <c r="D70" s="26">
        <f>IF(($A70/D$53)&gt;=31,0,INDEX(Data_EPA_Survival!$C$5:$C$36,INT(($A70/D$53))+1)+(($A70/D$53)-INT(($A70/D$53)))*(INDEX(Data_EPA_Survival!$C$5:$C$36,INT(($A70/D$53))+2)-INDEX(Data_EPA_Survival!$C$5:$C$36,INT(($A70/D$53))+1)))</f>
        <v/>
      </c>
      <c r="E70" s="26">
        <f>IF(($A70/E$53)&gt;=31,0,INDEX(Data_EPA_Survival!$C$5:$C$36,INT(($A70/E$53))+1)+(($A70/E$53)-INT(($A70/E$53)))*(INDEX(Data_EPA_Survival!$C$5:$C$36,INT(($A70/E$53))+2)-INDEX(Data_EPA_Survival!$C$5:$C$36,INT(($A70/E$53))+1)))</f>
        <v/>
      </c>
      <c r="F70" s="26">
        <f>IF(($A70/F$53)&gt;=31,0,INDEX(Data_EPA_Survival!$C$5:$C$36,INT(($A70/F$53))+1)+(($A70/F$53)-INT(($A70/F$53)))*(INDEX(Data_EPA_Survival!$C$5:$C$36,INT(($A70/F$53))+2)-INDEX(Data_EPA_Survival!$C$5:$C$36,INT(($A70/F$53))+1)))</f>
        <v/>
      </c>
      <c r="G70" s="26">
        <f>IF(($A70/G$53)&gt;=31,0,INDEX(Data_EPA_Survival!$C$5:$C$36,INT(($A70/G$53))+1)+(($A70/G$53)-INT(($A70/G$53)))*(INDEX(Data_EPA_Survival!$C$5:$C$36,INT(($A70/G$53))+2)-INDEX(Data_EPA_Survival!$C$5:$C$36,INT(($A70/G$53))+1)))</f>
        <v/>
      </c>
      <c r="H70" s="26">
        <f>IF(($A70/H$53)&gt;=31,0,INDEX(Data_EPA_Survival!$C$5:$C$36,INT(($A70/H$53))+1)+(($A70/H$53)-INT(($A70/H$53)))*(INDEX(Data_EPA_Survival!$C$5:$C$36,INT(($A70/H$53))+2)-INDEX(Data_EPA_Survival!$C$5:$C$36,INT(($A70/H$53))+1)))</f>
        <v/>
      </c>
      <c r="I70" s="26">
        <f>IF(($A70/I$53)&gt;=31,0,INDEX(Data_EPA_Survival!$C$5:$C$36,INT(($A70/I$53))+1)+(($A70/I$53)-INT(($A70/I$53)))*(INDEX(Data_EPA_Survival!$C$5:$C$36,INT(($A70/I$53))+2)-INDEX(Data_EPA_Survival!$C$5:$C$36,INT(($A70/I$53))+1)))</f>
        <v/>
      </c>
      <c r="J70" s="26">
        <f>IF(($A70/J$53)&gt;=31,0,INDEX(Data_EPA_Survival!$C$5:$C$36,INT(($A70/J$53))+1)+(($A70/J$53)-INT(($A70/J$53)))*(INDEX(Data_EPA_Survival!$C$5:$C$36,INT(($A70/J$53))+2)-INDEX(Data_EPA_Survival!$C$5:$C$36,INT(($A70/J$53))+1)))</f>
        <v/>
      </c>
      <c r="K70" s="26">
        <f>IF(($A70/K$53)&gt;=31,0,INDEX(Data_EPA_Survival!$C$5:$C$36,INT(($A70/K$53))+1)+(($A70/K$53)-INT(($A70/K$53)))*(INDEX(Data_EPA_Survival!$C$5:$C$36,INT(($A70/K$53))+2)-INDEX(Data_EPA_Survival!$C$5:$C$36,INT(($A70/K$53))+1)))</f>
        <v/>
      </c>
      <c r="L70" s="26">
        <f>IF(($A70/L$53)&gt;=31,0,INDEX(Data_EPA_Survival!$C$5:$C$36,INT(($A70/L$53))+1)+(($A70/L$53)-INT(($A70/L$53)))*(INDEX(Data_EPA_Survival!$C$5:$C$36,INT(($A70/L$53))+2)-INDEX(Data_EPA_Survival!$C$5:$C$36,INT(($A70/L$53))+1)))</f>
        <v/>
      </c>
      <c r="M70" s="26">
        <f>IF(($A70/M$53)&gt;=31,0,INDEX(Data_EPA_Survival!$C$5:$C$36,INT(($A70/M$53))+1)+(($A70/M$53)-INT(($A70/M$53)))*(INDEX(Data_EPA_Survival!$C$5:$C$36,INT(($A70/M$53))+2)-INDEX(Data_EPA_Survival!$C$5:$C$36,INT(($A70/M$53))+1)))</f>
        <v/>
      </c>
      <c r="N70" s="26">
        <f>IF(($A70/N$53)&gt;=31,0,INDEX(Data_EPA_Survival!$C$5:$C$36,INT(($A70/N$53))+1)+(($A70/N$53)-INT(($A70/N$53)))*(INDEX(Data_EPA_Survival!$C$5:$C$36,INT(($A70/N$53))+2)-INDEX(Data_EPA_Survival!$C$5:$C$36,INT(($A70/N$53))+1)))</f>
        <v/>
      </c>
      <c r="O70" s="26">
        <f>IF(($A70/O$53)&gt;=31,0,INDEX(Data_EPA_Survival!$C$5:$C$36,INT(($A70/O$53))+1)+(($A70/O$53)-INT(($A70/O$53)))*(INDEX(Data_EPA_Survival!$C$5:$C$36,INT(($A70/O$53))+2)-INDEX(Data_EPA_Survival!$C$5:$C$36,INT(($A70/O$53))+1)))</f>
        <v/>
      </c>
      <c r="P70" s="26">
        <f>IF(($A70/P$53)&gt;=31,0,INDEX(Data_EPA_Survival!$C$5:$C$36,INT(($A70/P$53))+1)+(($A70/P$53)-INT(($A70/P$53)))*(INDEX(Data_EPA_Survival!$C$5:$C$36,INT(($A70/P$53))+2)-INDEX(Data_EPA_Survival!$C$5:$C$36,INT(($A70/P$53))+1)))</f>
        <v/>
      </c>
      <c r="Q70" s="26">
        <f>IF(($A70/Q$53)&gt;=31,0,INDEX(Data_EPA_Survival!$C$5:$C$36,INT(($A70/Q$53))+1)+(($A70/Q$53)-INT(($A70/Q$53)))*(INDEX(Data_EPA_Survival!$C$5:$C$36,INT(($A70/Q$53))+2)-INDEX(Data_EPA_Survival!$C$5:$C$36,INT(($A70/Q$53))+1)))</f>
        <v/>
      </c>
      <c r="R70" s="26">
        <f>IF(($A70/R$53)&gt;=31,0,INDEX(Data_EPA_Survival!$C$5:$C$36,INT(($A70/R$53))+1)+(($A70/R$53)-INT(($A70/R$53)))*(INDEX(Data_EPA_Survival!$C$5:$C$36,INT(($A70/R$53))+2)-INDEX(Data_EPA_Survival!$C$5:$C$36,INT(($A70/R$53))+1)))</f>
        <v/>
      </c>
      <c r="S70" s="26">
        <f>IF(($A70/S$53)&gt;=31,0,INDEX(Data_EPA_Survival!$C$5:$C$36,INT(($A70/S$53))+1)+(($A70/S$53)-INT(($A70/S$53)))*(INDEX(Data_EPA_Survival!$C$5:$C$36,INT(($A70/S$53))+2)-INDEX(Data_EPA_Survival!$C$5:$C$36,INT(($A70/S$53))+1)))</f>
        <v/>
      </c>
      <c r="T70" s="26">
        <f>IF(($A70/T$53)&gt;=31,0,INDEX(Data_EPA_Survival!$C$5:$C$36,INT(($A70/T$53))+1)+(($A70/T$53)-INT(($A70/T$53)))*(INDEX(Data_EPA_Survival!$C$5:$C$36,INT(($A70/T$53))+2)-INDEX(Data_EPA_Survival!$C$5:$C$36,INT(($A70/T$53))+1)))</f>
        <v/>
      </c>
    </row>
    <row r="71">
      <c r="A71" s="9" t="n">
        <v>16</v>
      </c>
      <c r="C71" s="26">
        <f>IF(($A71/C$53)&gt;=31,0,INDEX(Data_EPA_Survival!$C$5:$C$36,INT(($A71/C$53))+1)+(($A71/C$53)-INT(($A71/C$53)))*(INDEX(Data_EPA_Survival!$C$5:$C$36,INT(($A71/C$53))+2)-INDEX(Data_EPA_Survival!$C$5:$C$36,INT(($A71/C$53))+1)))</f>
        <v/>
      </c>
      <c r="D71" s="26">
        <f>IF(($A71/D$53)&gt;=31,0,INDEX(Data_EPA_Survival!$C$5:$C$36,INT(($A71/D$53))+1)+(($A71/D$53)-INT(($A71/D$53)))*(INDEX(Data_EPA_Survival!$C$5:$C$36,INT(($A71/D$53))+2)-INDEX(Data_EPA_Survival!$C$5:$C$36,INT(($A71/D$53))+1)))</f>
        <v/>
      </c>
      <c r="E71" s="26">
        <f>IF(($A71/E$53)&gt;=31,0,INDEX(Data_EPA_Survival!$C$5:$C$36,INT(($A71/E$53))+1)+(($A71/E$53)-INT(($A71/E$53)))*(INDEX(Data_EPA_Survival!$C$5:$C$36,INT(($A71/E$53))+2)-INDEX(Data_EPA_Survival!$C$5:$C$36,INT(($A71/E$53))+1)))</f>
        <v/>
      </c>
      <c r="F71" s="26">
        <f>IF(($A71/F$53)&gt;=31,0,INDEX(Data_EPA_Survival!$C$5:$C$36,INT(($A71/F$53))+1)+(($A71/F$53)-INT(($A71/F$53)))*(INDEX(Data_EPA_Survival!$C$5:$C$36,INT(($A71/F$53))+2)-INDEX(Data_EPA_Survival!$C$5:$C$36,INT(($A71/F$53))+1)))</f>
        <v/>
      </c>
      <c r="G71" s="26">
        <f>IF(($A71/G$53)&gt;=31,0,INDEX(Data_EPA_Survival!$C$5:$C$36,INT(($A71/G$53))+1)+(($A71/G$53)-INT(($A71/G$53)))*(INDEX(Data_EPA_Survival!$C$5:$C$36,INT(($A71/G$53))+2)-INDEX(Data_EPA_Survival!$C$5:$C$36,INT(($A71/G$53))+1)))</f>
        <v/>
      </c>
      <c r="H71" s="26">
        <f>IF(($A71/H$53)&gt;=31,0,INDEX(Data_EPA_Survival!$C$5:$C$36,INT(($A71/H$53))+1)+(($A71/H$53)-INT(($A71/H$53)))*(INDEX(Data_EPA_Survival!$C$5:$C$36,INT(($A71/H$53))+2)-INDEX(Data_EPA_Survival!$C$5:$C$36,INT(($A71/H$53))+1)))</f>
        <v/>
      </c>
      <c r="I71" s="26">
        <f>IF(($A71/I$53)&gt;=31,0,INDEX(Data_EPA_Survival!$C$5:$C$36,INT(($A71/I$53))+1)+(($A71/I$53)-INT(($A71/I$53)))*(INDEX(Data_EPA_Survival!$C$5:$C$36,INT(($A71/I$53))+2)-INDEX(Data_EPA_Survival!$C$5:$C$36,INT(($A71/I$53))+1)))</f>
        <v/>
      </c>
      <c r="J71" s="26">
        <f>IF(($A71/J$53)&gt;=31,0,INDEX(Data_EPA_Survival!$C$5:$C$36,INT(($A71/J$53))+1)+(($A71/J$53)-INT(($A71/J$53)))*(INDEX(Data_EPA_Survival!$C$5:$C$36,INT(($A71/J$53))+2)-INDEX(Data_EPA_Survival!$C$5:$C$36,INT(($A71/J$53))+1)))</f>
        <v/>
      </c>
      <c r="K71" s="26">
        <f>IF(($A71/K$53)&gt;=31,0,INDEX(Data_EPA_Survival!$C$5:$C$36,INT(($A71/K$53))+1)+(($A71/K$53)-INT(($A71/K$53)))*(INDEX(Data_EPA_Survival!$C$5:$C$36,INT(($A71/K$53))+2)-INDEX(Data_EPA_Survival!$C$5:$C$36,INT(($A71/K$53))+1)))</f>
        <v/>
      </c>
      <c r="L71" s="26">
        <f>IF(($A71/L$53)&gt;=31,0,INDEX(Data_EPA_Survival!$C$5:$C$36,INT(($A71/L$53))+1)+(($A71/L$53)-INT(($A71/L$53)))*(INDEX(Data_EPA_Survival!$C$5:$C$36,INT(($A71/L$53))+2)-INDEX(Data_EPA_Survival!$C$5:$C$36,INT(($A71/L$53))+1)))</f>
        <v/>
      </c>
      <c r="M71" s="26">
        <f>IF(($A71/M$53)&gt;=31,0,INDEX(Data_EPA_Survival!$C$5:$C$36,INT(($A71/M$53))+1)+(($A71/M$53)-INT(($A71/M$53)))*(INDEX(Data_EPA_Survival!$C$5:$C$36,INT(($A71/M$53))+2)-INDEX(Data_EPA_Survival!$C$5:$C$36,INT(($A71/M$53))+1)))</f>
        <v/>
      </c>
      <c r="N71" s="26">
        <f>IF(($A71/N$53)&gt;=31,0,INDEX(Data_EPA_Survival!$C$5:$C$36,INT(($A71/N$53))+1)+(($A71/N$53)-INT(($A71/N$53)))*(INDEX(Data_EPA_Survival!$C$5:$C$36,INT(($A71/N$53))+2)-INDEX(Data_EPA_Survival!$C$5:$C$36,INT(($A71/N$53))+1)))</f>
        <v/>
      </c>
      <c r="O71" s="26">
        <f>IF(($A71/O$53)&gt;=31,0,INDEX(Data_EPA_Survival!$C$5:$C$36,INT(($A71/O$53))+1)+(($A71/O$53)-INT(($A71/O$53)))*(INDEX(Data_EPA_Survival!$C$5:$C$36,INT(($A71/O$53))+2)-INDEX(Data_EPA_Survival!$C$5:$C$36,INT(($A71/O$53))+1)))</f>
        <v/>
      </c>
      <c r="P71" s="26">
        <f>IF(($A71/P$53)&gt;=31,0,INDEX(Data_EPA_Survival!$C$5:$C$36,INT(($A71/P$53))+1)+(($A71/P$53)-INT(($A71/P$53)))*(INDEX(Data_EPA_Survival!$C$5:$C$36,INT(($A71/P$53))+2)-INDEX(Data_EPA_Survival!$C$5:$C$36,INT(($A71/P$53))+1)))</f>
        <v/>
      </c>
      <c r="Q71" s="26">
        <f>IF(($A71/Q$53)&gt;=31,0,INDEX(Data_EPA_Survival!$C$5:$C$36,INT(($A71/Q$53))+1)+(($A71/Q$53)-INT(($A71/Q$53)))*(INDEX(Data_EPA_Survival!$C$5:$C$36,INT(($A71/Q$53))+2)-INDEX(Data_EPA_Survival!$C$5:$C$36,INT(($A71/Q$53))+1)))</f>
        <v/>
      </c>
      <c r="R71" s="26">
        <f>IF(($A71/R$53)&gt;=31,0,INDEX(Data_EPA_Survival!$C$5:$C$36,INT(($A71/R$53))+1)+(($A71/R$53)-INT(($A71/R$53)))*(INDEX(Data_EPA_Survival!$C$5:$C$36,INT(($A71/R$53))+2)-INDEX(Data_EPA_Survival!$C$5:$C$36,INT(($A71/R$53))+1)))</f>
        <v/>
      </c>
      <c r="S71" s="26">
        <f>IF(($A71/S$53)&gt;=31,0,INDEX(Data_EPA_Survival!$C$5:$C$36,INT(($A71/S$53))+1)+(($A71/S$53)-INT(($A71/S$53)))*(INDEX(Data_EPA_Survival!$C$5:$C$36,INT(($A71/S$53))+2)-INDEX(Data_EPA_Survival!$C$5:$C$36,INT(($A71/S$53))+1)))</f>
        <v/>
      </c>
      <c r="T71" s="26">
        <f>IF(($A71/T$53)&gt;=31,0,INDEX(Data_EPA_Survival!$C$5:$C$36,INT(($A71/T$53))+1)+(($A71/T$53)-INT(($A71/T$53)))*(INDEX(Data_EPA_Survival!$C$5:$C$36,INT(($A71/T$53))+2)-INDEX(Data_EPA_Survival!$C$5:$C$36,INT(($A71/T$53))+1)))</f>
        <v/>
      </c>
    </row>
    <row r="72">
      <c r="A72" s="9" t="n">
        <v>17</v>
      </c>
      <c r="C72" s="26">
        <f>IF(($A72/C$53)&gt;=31,0,INDEX(Data_EPA_Survival!$C$5:$C$36,INT(($A72/C$53))+1)+(($A72/C$53)-INT(($A72/C$53)))*(INDEX(Data_EPA_Survival!$C$5:$C$36,INT(($A72/C$53))+2)-INDEX(Data_EPA_Survival!$C$5:$C$36,INT(($A72/C$53))+1)))</f>
        <v/>
      </c>
      <c r="D72" s="26">
        <f>IF(($A72/D$53)&gt;=31,0,INDEX(Data_EPA_Survival!$C$5:$C$36,INT(($A72/D$53))+1)+(($A72/D$53)-INT(($A72/D$53)))*(INDEX(Data_EPA_Survival!$C$5:$C$36,INT(($A72/D$53))+2)-INDEX(Data_EPA_Survival!$C$5:$C$36,INT(($A72/D$53))+1)))</f>
        <v/>
      </c>
      <c r="E72" s="26">
        <f>IF(($A72/E$53)&gt;=31,0,INDEX(Data_EPA_Survival!$C$5:$C$36,INT(($A72/E$53))+1)+(($A72/E$53)-INT(($A72/E$53)))*(INDEX(Data_EPA_Survival!$C$5:$C$36,INT(($A72/E$53))+2)-INDEX(Data_EPA_Survival!$C$5:$C$36,INT(($A72/E$53))+1)))</f>
        <v/>
      </c>
      <c r="F72" s="26">
        <f>IF(($A72/F$53)&gt;=31,0,INDEX(Data_EPA_Survival!$C$5:$C$36,INT(($A72/F$53))+1)+(($A72/F$53)-INT(($A72/F$53)))*(INDEX(Data_EPA_Survival!$C$5:$C$36,INT(($A72/F$53))+2)-INDEX(Data_EPA_Survival!$C$5:$C$36,INT(($A72/F$53))+1)))</f>
        <v/>
      </c>
      <c r="G72" s="26">
        <f>IF(($A72/G$53)&gt;=31,0,INDEX(Data_EPA_Survival!$C$5:$C$36,INT(($A72/G$53))+1)+(($A72/G$53)-INT(($A72/G$53)))*(INDEX(Data_EPA_Survival!$C$5:$C$36,INT(($A72/G$53))+2)-INDEX(Data_EPA_Survival!$C$5:$C$36,INT(($A72/G$53))+1)))</f>
        <v/>
      </c>
      <c r="H72" s="26">
        <f>IF(($A72/H$53)&gt;=31,0,INDEX(Data_EPA_Survival!$C$5:$C$36,INT(($A72/H$53))+1)+(($A72/H$53)-INT(($A72/H$53)))*(INDEX(Data_EPA_Survival!$C$5:$C$36,INT(($A72/H$53))+2)-INDEX(Data_EPA_Survival!$C$5:$C$36,INT(($A72/H$53))+1)))</f>
        <v/>
      </c>
      <c r="I72" s="26">
        <f>IF(($A72/I$53)&gt;=31,0,INDEX(Data_EPA_Survival!$C$5:$C$36,INT(($A72/I$53))+1)+(($A72/I$53)-INT(($A72/I$53)))*(INDEX(Data_EPA_Survival!$C$5:$C$36,INT(($A72/I$53))+2)-INDEX(Data_EPA_Survival!$C$5:$C$36,INT(($A72/I$53))+1)))</f>
        <v/>
      </c>
      <c r="J72" s="26">
        <f>IF(($A72/J$53)&gt;=31,0,INDEX(Data_EPA_Survival!$C$5:$C$36,INT(($A72/J$53))+1)+(($A72/J$53)-INT(($A72/J$53)))*(INDEX(Data_EPA_Survival!$C$5:$C$36,INT(($A72/J$53))+2)-INDEX(Data_EPA_Survival!$C$5:$C$36,INT(($A72/J$53))+1)))</f>
        <v/>
      </c>
      <c r="K72" s="26">
        <f>IF(($A72/K$53)&gt;=31,0,INDEX(Data_EPA_Survival!$C$5:$C$36,INT(($A72/K$53))+1)+(($A72/K$53)-INT(($A72/K$53)))*(INDEX(Data_EPA_Survival!$C$5:$C$36,INT(($A72/K$53))+2)-INDEX(Data_EPA_Survival!$C$5:$C$36,INT(($A72/K$53))+1)))</f>
        <v/>
      </c>
      <c r="L72" s="26">
        <f>IF(($A72/L$53)&gt;=31,0,INDEX(Data_EPA_Survival!$C$5:$C$36,INT(($A72/L$53))+1)+(($A72/L$53)-INT(($A72/L$53)))*(INDEX(Data_EPA_Survival!$C$5:$C$36,INT(($A72/L$53))+2)-INDEX(Data_EPA_Survival!$C$5:$C$36,INT(($A72/L$53))+1)))</f>
        <v/>
      </c>
      <c r="M72" s="26">
        <f>IF(($A72/M$53)&gt;=31,0,INDEX(Data_EPA_Survival!$C$5:$C$36,INT(($A72/M$53))+1)+(($A72/M$53)-INT(($A72/M$53)))*(INDEX(Data_EPA_Survival!$C$5:$C$36,INT(($A72/M$53))+2)-INDEX(Data_EPA_Survival!$C$5:$C$36,INT(($A72/M$53))+1)))</f>
        <v/>
      </c>
      <c r="N72" s="26">
        <f>IF(($A72/N$53)&gt;=31,0,INDEX(Data_EPA_Survival!$C$5:$C$36,INT(($A72/N$53))+1)+(($A72/N$53)-INT(($A72/N$53)))*(INDEX(Data_EPA_Survival!$C$5:$C$36,INT(($A72/N$53))+2)-INDEX(Data_EPA_Survival!$C$5:$C$36,INT(($A72/N$53))+1)))</f>
        <v/>
      </c>
      <c r="O72" s="26">
        <f>IF(($A72/O$53)&gt;=31,0,INDEX(Data_EPA_Survival!$C$5:$C$36,INT(($A72/O$53))+1)+(($A72/O$53)-INT(($A72/O$53)))*(INDEX(Data_EPA_Survival!$C$5:$C$36,INT(($A72/O$53))+2)-INDEX(Data_EPA_Survival!$C$5:$C$36,INT(($A72/O$53))+1)))</f>
        <v/>
      </c>
      <c r="P72" s="26">
        <f>IF(($A72/P$53)&gt;=31,0,INDEX(Data_EPA_Survival!$C$5:$C$36,INT(($A72/P$53))+1)+(($A72/P$53)-INT(($A72/P$53)))*(INDEX(Data_EPA_Survival!$C$5:$C$36,INT(($A72/P$53))+2)-INDEX(Data_EPA_Survival!$C$5:$C$36,INT(($A72/P$53))+1)))</f>
        <v/>
      </c>
      <c r="Q72" s="26">
        <f>IF(($A72/Q$53)&gt;=31,0,INDEX(Data_EPA_Survival!$C$5:$C$36,INT(($A72/Q$53))+1)+(($A72/Q$53)-INT(($A72/Q$53)))*(INDEX(Data_EPA_Survival!$C$5:$C$36,INT(($A72/Q$53))+2)-INDEX(Data_EPA_Survival!$C$5:$C$36,INT(($A72/Q$53))+1)))</f>
        <v/>
      </c>
      <c r="R72" s="26">
        <f>IF(($A72/R$53)&gt;=31,0,INDEX(Data_EPA_Survival!$C$5:$C$36,INT(($A72/R$53))+1)+(($A72/R$53)-INT(($A72/R$53)))*(INDEX(Data_EPA_Survival!$C$5:$C$36,INT(($A72/R$53))+2)-INDEX(Data_EPA_Survival!$C$5:$C$36,INT(($A72/R$53))+1)))</f>
        <v/>
      </c>
      <c r="S72" s="26">
        <f>IF(($A72/S$53)&gt;=31,0,INDEX(Data_EPA_Survival!$C$5:$C$36,INT(($A72/S$53))+1)+(($A72/S$53)-INT(($A72/S$53)))*(INDEX(Data_EPA_Survival!$C$5:$C$36,INT(($A72/S$53))+2)-INDEX(Data_EPA_Survival!$C$5:$C$36,INT(($A72/S$53))+1)))</f>
        <v/>
      </c>
      <c r="T72" s="26">
        <f>IF(($A72/T$53)&gt;=31,0,INDEX(Data_EPA_Survival!$C$5:$C$36,INT(($A72/T$53))+1)+(($A72/T$53)-INT(($A72/T$53)))*(INDEX(Data_EPA_Survival!$C$5:$C$36,INT(($A72/T$53))+2)-INDEX(Data_EPA_Survival!$C$5:$C$36,INT(($A72/T$53))+1)))</f>
        <v/>
      </c>
    </row>
    <row r="73">
      <c r="A73" s="9" t="n">
        <v>18</v>
      </c>
      <c r="C73" s="26">
        <f>IF(($A73/C$53)&gt;=31,0,INDEX(Data_EPA_Survival!$C$5:$C$36,INT(($A73/C$53))+1)+(($A73/C$53)-INT(($A73/C$53)))*(INDEX(Data_EPA_Survival!$C$5:$C$36,INT(($A73/C$53))+2)-INDEX(Data_EPA_Survival!$C$5:$C$36,INT(($A73/C$53))+1)))</f>
        <v/>
      </c>
      <c r="D73" s="26">
        <f>IF(($A73/D$53)&gt;=31,0,INDEX(Data_EPA_Survival!$C$5:$C$36,INT(($A73/D$53))+1)+(($A73/D$53)-INT(($A73/D$53)))*(INDEX(Data_EPA_Survival!$C$5:$C$36,INT(($A73/D$53))+2)-INDEX(Data_EPA_Survival!$C$5:$C$36,INT(($A73/D$53))+1)))</f>
        <v/>
      </c>
      <c r="E73" s="26">
        <f>IF(($A73/E$53)&gt;=31,0,INDEX(Data_EPA_Survival!$C$5:$C$36,INT(($A73/E$53))+1)+(($A73/E$53)-INT(($A73/E$53)))*(INDEX(Data_EPA_Survival!$C$5:$C$36,INT(($A73/E$53))+2)-INDEX(Data_EPA_Survival!$C$5:$C$36,INT(($A73/E$53))+1)))</f>
        <v/>
      </c>
      <c r="F73" s="26">
        <f>IF(($A73/F$53)&gt;=31,0,INDEX(Data_EPA_Survival!$C$5:$C$36,INT(($A73/F$53))+1)+(($A73/F$53)-INT(($A73/F$53)))*(INDEX(Data_EPA_Survival!$C$5:$C$36,INT(($A73/F$53))+2)-INDEX(Data_EPA_Survival!$C$5:$C$36,INT(($A73/F$53))+1)))</f>
        <v/>
      </c>
      <c r="G73" s="26">
        <f>IF(($A73/G$53)&gt;=31,0,INDEX(Data_EPA_Survival!$C$5:$C$36,INT(($A73/G$53))+1)+(($A73/G$53)-INT(($A73/G$53)))*(INDEX(Data_EPA_Survival!$C$5:$C$36,INT(($A73/G$53))+2)-INDEX(Data_EPA_Survival!$C$5:$C$36,INT(($A73/G$53))+1)))</f>
        <v/>
      </c>
      <c r="H73" s="26">
        <f>IF(($A73/H$53)&gt;=31,0,INDEX(Data_EPA_Survival!$C$5:$C$36,INT(($A73/H$53))+1)+(($A73/H$53)-INT(($A73/H$53)))*(INDEX(Data_EPA_Survival!$C$5:$C$36,INT(($A73/H$53))+2)-INDEX(Data_EPA_Survival!$C$5:$C$36,INT(($A73/H$53))+1)))</f>
        <v/>
      </c>
      <c r="I73" s="26">
        <f>IF(($A73/I$53)&gt;=31,0,INDEX(Data_EPA_Survival!$C$5:$C$36,INT(($A73/I$53))+1)+(($A73/I$53)-INT(($A73/I$53)))*(INDEX(Data_EPA_Survival!$C$5:$C$36,INT(($A73/I$53))+2)-INDEX(Data_EPA_Survival!$C$5:$C$36,INT(($A73/I$53))+1)))</f>
        <v/>
      </c>
      <c r="J73" s="26">
        <f>IF(($A73/J$53)&gt;=31,0,INDEX(Data_EPA_Survival!$C$5:$C$36,INT(($A73/J$53))+1)+(($A73/J$53)-INT(($A73/J$53)))*(INDEX(Data_EPA_Survival!$C$5:$C$36,INT(($A73/J$53))+2)-INDEX(Data_EPA_Survival!$C$5:$C$36,INT(($A73/J$53))+1)))</f>
        <v/>
      </c>
      <c r="K73" s="26">
        <f>IF(($A73/K$53)&gt;=31,0,INDEX(Data_EPA_Survival!$C$5:$C$36,INT(($A73/K$53))+1)+(($A73/K$53)-INT(($A73/K$53)))*(INDEX(Data_EPA_Survival!$C$5:$C$36,INT(($A73/K$53))+2)-INDEX(Data_EPA_Survival!$C$5:$C$36,INT(($A73/K$53))+1)))</f>
        <v/>
      </c>
      <c r="L73" s="26">
        <f>IF(($A73/L$53)&gt;=31,0,INDEX(Data_EPA_Survival!$C$5:$C$36,INT(($A73/L$53))+1)+(($A73/L$53)-INT(($A73/L$53)))*(INDEX(Data_EPA_Survival!$C$5:$C$36,INT(($A73/L$53))+2)-INDEX(Data_EPA_Survival!$C$5:$C$36,INT(($A73/L$53))+1)))</f>
        <v/>
      </c>
      <c r="M73" s="26">
        <f>IF(($A73/M$53)&gt;=31,0,INDEX(Data_EPA_Survival!$C$5:$C$36,INT(($A73/M$53))+1)+(($A73/M$53)-INT(($A73/M$53)))*(INDEX(Data_EPA_Survival!$C$5:$C$36,INT(($A73/M$53))+2)-INDEX(Data_EPA_Survival!$C$5:$C$36,INT(($A73/M$53))+1)))</f>
        <v/>
      </c>
      <c r="N73" s="26">
        <f>IF(($A73/N$53)&gt;=31,0,INDEX(Data_EPA_Survival!$C$5:$C$36,INT(($A73/N$53))+1)+(($A73/N$53)-INT(($A73/N$53)))*(INDEX(Data_EPA_Survival!$C$5:$C$36,INT(($A73/N$53))+2)-INDEX(Data_EPA_Survival!$C$5:$C$36,INT(($A73/N$53))+1)))</f>
        <v/>
      </c>
      <c r="O73" s="26">
        <f>IF(($A73/O$53)&gt;=31,0,INDEX(Data_EPA_Survival!$C$5:$C$36,INT(($A73/O$53))+1)+(($A73/O$53)-INT(($A73/O$53)))*(INDEX(Data_EPA_Survival!$C$5:$C$36,INT(($A73/O$53))+2)-INDEX(Data_EPA_Survival!$C$5:$C$36,INT(($A73/O$53))+1)))</f>
        <v/>
      </c>
      <c r="P73" s="26">
        <f>IF(($A73/P$53)&gt;=31,0,INDEX(Data_EPA_Survival!$C$5:$C$36,INT(($A73/P$53))+1)+(($A73/P$53)-INT(($A73/P$53)))*(INDEX(Data_EPA_Survival!$C$5:$C$36,INT(($A73/P$53))+2)-INDEX(Data_EPA_Survival!$C$5:$C$36,INT(($A73/P$53))+1)))</f>
        <v/>
      </c>
      <c r="Q73" s="26">
        <f>IF(($A73/Q$53)&gt;=31,0,INDEX(Data_EPA_Survival!$C$5:$C$36,INT(($A73/Q$53))+1)+(($A73/Q$53)-INT(($A73/Q$53)))*(INDEX(Data_EPA_Survival!$C$5:$C$36,INT(($A73/Q$53))+2)-INDEX(Data_EPA_Survival!$C$5:$C$36,INT(($A73/Q$53))+1)))</f>
        <v/>
      </c>
      <c r="R73" s="26">
        <f>IF(($A73/R$53)&gt;=31,0,INDEX(Data_EPA_Survival!$C$5:$C$36,INT(($A73/R$53))+1)+(($A73/R$53)-INT(($A73/R$53)))*(INDEX(Data_EPA_Survival!$C$5:$C$36,INT(($A73/R$53))+2)-INDEX(Data_EPA_Survival!$C$5:$C$36,INT(($A73/R$53))+1)))</f>
        <v/>
      </c>
      <c r="S73" s="26">
        <f>IF(($A73/S$53)&gt;=31,0,INDEX(Data_EPA_Survival!$C$5:$C$36,INT(($A73/S$53))+1)+(($A73/S$53)-INT(($A73/S$53)))*(INDEX(Data_EPA_Survival!$C$5:$C$36,INT(($A73/S$53))+2)-INDEX(Data_EPA_Survival!$C$5:$C$36,INT(($A73/S$53))+1)))</f>
        <v/>
      </c>
      <c r="T73" s="26">
        <f>IF(($A73/T$53)&gt;=31,0,INDEX(Data_EPA_Survival!$C$5:$C$36,INT(($A73/T$53))+1)+(($A73/T$53)-INT(($A73/T$53)))*(INDEX(Data_EPA_Survival!$C$5:$C$36,INT(($A73/T$53))+2)-INDEX(Data_EPA_Survival!$C$5:$C$36,INT(($A73/T$53))+1)))</f>
        <v/>
      </c>
    </row>
    <row r="74">
      <c r="A74" s="9" t="n">
        <v>19</v>
      </c>
      <c r="C74" s="26">
        <f>IF(($A74/C$53)&gt;=31,0,INDEX(Data_EPA_Survival!$C$5:$C$36,INT(($A74/C$53))+1)+(($A74/C$53)-INT(($A74/C$53)))*(INDEX(Data_EPA_Survival!$C$5:$C$36,INT(($A74/C$53))+2)-INDEX(Data_EPA_Survival!$C$5:$C$36,INT(($A74/C$53))+1)))</f>
        <v/>
      </c>
      <c r="D74" s="26">
        <f>IF(($A74/D$53)&gt;=31,0,INDEX(Data_EPA_Survival!$C$5:$C$36,INT(($A74/D$53))+1)+(($A74/D$53)-INT(($A74/D$53)))*(INDEX(Data_EPA_Survival!$C$5:$C$36,INT(($A74/D$53))+2)-INDEX(Data_EPA_Survival!$C$5:$C$36,INT(($A74/D$53))+1)))</f>
        <v/>
      </c>
      <c r="E74" s="26">
        <f>IF(($A74/E$53)&gt;=31,0,INDEX(Data_EPA_Survival!$C$5:$C$36,INT(($A74/E$53))+1)+(($A74/E$53)-INT(($A74/E$53)))*(INDEX(Data_EPA_Survival!$C$5:$C$36,INT(($A74/E$53))+2)-INDEX(Data_EPA_Survival!$C$5:$C$36,INT(($A74/E$53))+1)))</f>
        <v/>
      </c>
      <c r="F74" s="26">
        <f>IF(($A74/F$53)&gt;=31,0,INDEX(Data_EPA_Survival!$C$5:$C$36,INT(($A74/F$53))+1)+(($A74/F$53)-INT(($A74/F$53)))*(INDEX(Data_EPA_Survival!$C$5:$C$36,INT(($A74/F$53))+2)-INDEX(Data_EPA_Survival!$C$5:$C$36,INT(($A74/F$53))+1)))</f>
        <v/>
      </c>
      <c r="G74" s="26">
        <f>IF(($A74/G$53)&gt;=31,0,INDEX(Data_EPA_Survival!$C$5:$C$36,INT(($A74/G$53))+1)+(($A74/G$53)-INT(($A74/G$53)))*(INDEX(Data_EPA_Survival!$C$5:$C$36,INT(($A74/G$53))+2)-INDEX(Data_EPA_Survival!$C$5:$C$36,INT(($A74/G$53))+1)))</f>
        <v/>
      </c>
      <c r="H74" s="26">
        <f>IF(($A74/H$53)&gt;=31,0,INDEX(Data_EPA_Survival!$C$5:$C$36,INT(($A74/H$53))+1)+(($A74/H$53)-INT(($A74/H$53)))*(INDEX(Data_EPA_Survival!$C$5:$C$36,INT(($A74/H$53))+2)-INDEX(Data_EPA_Survival!$C$5:$C$36,INT(($A74/H$53))+1)))</f>
        <v/>
      </c>
      <c r="I74" s="26">
        <f>IF(($A74/I$53)&gt;=31,0,INDEX(Data_EPA_Survival!$C$5:$C$36,INT(($A74/I$53))+1)+(($A74/I$53)-INT(($A74/I$53)))*(INDEX(Data_EPA_Survival!$C$5:$C$36,INT(($A74/I$53))+2)-INDEX(Data_EPA_Survival!$C$5:$C$36,INT(($A74/I$53))+1)))</f>
        <v/>
      </c>
      <c r="J74" s="26">
        <f>IF(($A74/J$53)&gt;=31,0,INDEX(Data_EPA_Survival!$C$5:$C$36,INT(($A74/J$53))+1)+(($A74/J$53)-INT(($A74/J$53)))*(INDEX(Data_EPA_Survival!$C$5:$C$36,INT(($A74/J$53))+2)-INDEX(Data_EPA_Survival!$C$5:$C$36,INT(($A74/J$53))+1)))</f>
        <v/>
      </c>
      <c r="K74" s="26">
        <f>IF(($A74/K$53)&gt;=31,0,INDEX(Data_EPA_Survival!$C$5:$C$36,INT(($A74/K$53))+1)+(($A74/K$53)-INT(($A74/K$53)))*(INDEX(Data_EPA_Survival!$C$5:$C$36,INT(($A74/K$53))+2)-INDEX(Data_EPA_Survival!$C$5:$C$36,INT(($A74/K$53))+1)))</f>
        <v/>
      </c>
      <c r="L74" s="26">
        <f>IF(($A74/L$53)&gt;=31,0,INDEX(Data_EPA_Survival!$C$5:$C$36,INT(($A74/L$53))+1)+(($A74/L$53)-INT(($A74/L$53)))*(INDEX(Data_EPA_Survival!$C$5:$C$36,INT(($A74/L$53))+2)-INDEX(Data_EPA_Survival!$C$5:$C$36,INT(($A74/L$53))+1)))</f>
        <v/>
      </c>
      <c r="M74" s="26">
        <f>IF(($A74/M$53)&gt;=31,0,INDEX(Data_EPA_Survival!$C$5:$C$36,INT(($A74/M$53))+1)+(($A74/M$53)-INT(($A74/M$53)))*(INDEX(Data_EPA_Survival!$C$5:$C$36,INT(($A74/M$53))+2)-INDEX(Data_EPA_Survival!$C$5:$C$36,INT(($A74/M$53))+1)))</f>
        <v/>
      </c>
      <c r="N74" s="26">
        <f>IF(($A74/N$53)&gt;=31,0,INDEX(Data_EPA_Survival!$C$5:$C$36,INT(($A74/N$53))+1)+(($A74/N$53)-INT(($A74/N$53)))*(INDEX(Data_EPA_Survival!$C$5:$C$36,INT(($A74/N$53))+2)-INDEX(Data_EPA_Survival!$C$5:$C$36,INT(($A74/N$53))+1)))</f>
        <v/>
      </c>
      <c r="O74" s="26">
        <f>IF(($A74/O$53)&gt;=31,0,INDEX(Data_EPA_Survival!$C$5:$C$36,INT(($A74/O$53))+1)+(($A74/O$53)-INT(($A74/O$53)))*(INDEX(Data_EPA_Survival!$C$5:$C$36,INT(($A74/O$53))+2)-INDEX(Data_EPA_Survival!$C$5:$C$36,INT(($A74/O$53))+1)))</f>
        <v/>
      </c>
      <c r="P74" s="26">
        <f>IF(($A74/P$53)&gt;=31,0,INDEX(Data_EPA_Survival!$C$5:$C$36,INT(($A74/P$53))+1)+(($A74/P$53)-INT(($A74/P$53)))*(INDEX(Data_EPA_Survival!$C$5:$C$36,INT(($A74/P$53))+2)-INDEX(Data_EPA_Survival!$C$5:$C$36,INT(($A74/P$53))+1)))</f>
        <v/>
      </c>
      <c r="Q74" s="26">
        <f>IF(($A74/Q$53)&gt;=31,0,INDEX(Data_EPA_Survival!$C$5:$C$36,INT(($A74/Q$53))+1)+(($A74/Q$53)-INT(($A74/Q$53)))*(INDEX(Data_EPA_Survival!$C$5:$C$36,INT(($A74/Q$53))+2)-INDEX(Data_EPA_Survival!$C$5:$C$36,INT(($A74/Q$53))+1)))</f>
        <v/>
      </c>
      <c r="R74" s="26">
        <f>IF(($A74/R$53)&gt;=31,0,INDEX(Data_EPA_Survival!$C$5:$C$36,INT(($A74/R$53))+1)+(($A74/R$53)-INT(($A74/R$53)))*(INDEX(Data_EPA_Survival!$C$5:$C$36,INT(($A74/R$53))+2)-INDEX(Data_EPA_Survival!$C$5:$C$36,INT(($A74/R$53))+1)))</f>
        <v/>
      </c>
      <c r="S74" s="26">
        <f>IF(($A74/S$53)&gt;=31,0,INDEX(Data_EPA_Survival!$C$5:$C$36,INT(($A74/S$53))+1)+(($A74/S$53)-INT(($A74/S$53)))*(INDEX(Data_EPA_Survival!$C$5:$C$36,INT(($A74/S$53))+2)-INDEX(Data_EPA_Survival!$C$5:$C$36,INT(($A74/S$53))+1)))</f>
        <v/>
      </c>
      <c r="T74" s="26">
        <f>IF(($A74/T$53)&gt;=31,0,INDEX(Data_EPA_Survival!$C$5:$C$36,INT(($A74/T$53))+1)+(($A74/T$53)-INT(($A74/T$53)))*(INDEX(Data_EPA_Survival!$C$5:$C$36,INT(($A74/T$53))+2)-INDEX(Data_EPA_Survival!$C$5:$C$36,INT(($A74/T$53))+1)))</f>
        <v/>
      </c>
    </row>
    <row r="75">
      <c r="A75" s="9" t="n">
        <v>20</v>
      </c>
      <c r="C75" s="26">
        <f>IF(($A75/C$53)&gt;=31,0,INDEX(Data_EPA_Survival!$C$5:$C$36,INT(($A75/C$53))+1)+(($A75/C$53)-INT(($A75/C$53)))*(INDEX(Data_EPA_Survival!$C$5:$C$36,INT(($A75/C$53))+2)-INDEX(Data_EPA_Survival!$C$5:$C$36,INT(($A75/C$53))+1)))</f>
        <v/>
      </c>
      <c r="D75" s="26">
        <f>IF(($A75/D$53)&gt;=31,0,INDEX(Data_EPA_Survival!$C$5:$C$36,INT(($A75/D$53))+1)+(($A75/D$53)-INT(($A75/D$53)))*(INDEX(Data_EPA_Survival!$C$5:$C$36,INT(($A75/D$53))+2)-INDEX(Data_EPA_Survival!$C$5:$C$36,INT(($A75/D$53))+1)))</f>
        <v/>
      </c>
      <c r="E75" s="26">
        <f>IF(($A75/E$53)&gt;=31,0,INDEX(Data_EPA_Survival!$C$5:$C$36,INT(($A75/E$53))+1)+(($A75/E$53)-INT(($A75/E$53)))*(INDEX(Data_EPA_Survival!$C$5:$C$36,INT(($A75/E$53))+2)-INDEX(Data_EPA_Survival!$C$5:$C$36,INT(($A75/E$53))+1)))</f>
        <v/>
      </c>
      <c r="F75" s="26">
        <f>IF(($A75/F$53)&gt;=31,0,INDEX(Data_EPA_Survival!$C$5:$C$36,INT(($A75/F$53))+1)+(($A75/F$53)-INT(($A75/F$53)))*(INDEX(Data_EPA_Survival!$C$5:$C$36,INT(($A75/F$53))+2)-INDEX(Data_EPA_Survival!$C$5:$C$36,INT(($A75/F$53))+1)))</f>
        <v/>
      </c>
      <c r="G75" s="26">
        <f>IF(($A75/G$53)&gt;=31,0,INDEX(Data_EPA_Survival!$C$5:$C$36,INT(($A75/G$53))+1)+(($A75/G$53)-INT(($A75/G$53)))*(INDEX(Data_EPA_Survival!$C$5:$C$36,INT(($A75/G$53))+2)-INDEX(Data_EPA_Survival!$C$5:$C$36,INT(($A75/G$53))+1)))</f>
        <v/>
      </c>
      <c r="H75" s="26">
        <f>IF(($A75/H$53)&gt;=31,0,INDEX(Data_EPA_Survival!$C$5:$C$36,INT(($A75/H$53))+1)+(($A75/H$53)-INT(($A75/H$53)))*(INDEX(Data_EPA_Survival!$C$5:$C$36,INT(($A75/H$53))+2)-INDEX(Data_EPA_Survival!$C$5:$C$36,INT(($A75/H$53))+1)))</f>
        <v/>
      </c>
      <c r="I75" s="26">
        <f>IF(($A75/I$53)&gt;=31,0,INDEX(Data_EPA_Survival!$C$5:$C$36,INT(($A75/I$53))+1)+(($A75/I$53)-INT(($A75/I$53)))*(INDEX(Data_EPA_Survival!$C$5:$C$36,INT(($A75/I$53))+2)-INDEX(Data_EPA_Survival!$C$5:$C$36,INT(($A75/I$53))+1)))</f>
        <v/>
      </c>
      <c r="J75" s="26">
        <f>IF(($A75/J$53)&gt;=31,0,INDEX(Data_EPA_Survival!$C$5:$C$36,INT(($A75/J$53))+1)+(($A75/J$53)-INT(($A75/J$53)))*(INDEX(Data_EPA_Survival!$C$5:$C$36,INT(($A75/J$53))+2)-INDEX(Data_EPA_Survival!$C$5:$C$36,INT(($A75/J$53))+1)))</f>
        <v/>
      </c>
      <c r="K75" s="26">
        <f>IF(($A75/K$53)&gt;=31,0,INDEX(Data_EPA_Survival!$C$5:$C$36,INT(($A75/K$53))+1)+(($A75/K$53)-INT(($A75/K$53)))*(INDEX(Data_EPA_Survival!$C$5:$C$36,INT(($A75/K$53))+2)-INDEX(Data_EPA_Survival!$C$5:$C$36,INT(($A75/K$53))+1)))</f>
        <v/>
      </c>
      <c r="L75" s="26">
        <f>IF(($A75/L$53)&gt;=31,0,INDEX(Data_EPA_Survival!$C$5:$C$36,INT(($A75/L$53))+1)+(($A75/L$53)-INT(($A75/L$53)))*(INDEX(Data_EPA_Survival!$C$5:$C$36,INT(($A75/L$53))+2)-INDEX(Data_EPA_Survival!$C$5:$C$36,INT(($A75/L$53))+1)))</f>
        <v/>
      </c>
      <c r="M75" s="26">
        <f>IF(($A75/M$53)&gt;=31,0,INDEX(Data_EPA_Survival!$C$5:$C$36,INT(($A75/M$53))+1)+(($A75/M$53)-INT(($A75/M$53)))*(INDEX(Data_EPA_Survival!$C$5:$C$36,INT(($A75/M$53))+2)-INDEX(Data_EPA_Survival!$C$5:$C$36,INT(($A75/M$53))+1)))</f>
        <v/>
      </c>
      <c r="N75" s="26">
        <f>IF(($A75/N$53)&gt;=31,0,INDEX(Data_EPA_Survival!$C$5:$C$36,INT(($A75/N$53))+1)+(($A75/N$53)-INT(($A75/N$53)))*(INDEX(Data_EPA_Survival!$C$5:$C$36,INT(($A75/N$53))+2)-INDEX(Data_EPA_Survival!$C$5:$C$36,INT(($A75/N$53))+1)))</f>
        <v/>
      </c>
      <c r="O75" s="26">
        <f>IF(($A75/O$53)&gt;=31,0,INDEX(Data_EPA_Survival!$C$5:$C$36,INT(($A75/O$53))+1)+(($A75/O$53)-INT(($A75/O$53)))*(INDEX(Data_EPA_Survival!$C$5:$C$36,INT(($A75/O$53))+2)-INDEX(Data_EPA_Survival!$C$5:$C$36,INT(($A75/O$53))+1)))</f>
        <v/>
      </c>
      <c r="P75" s="26">
        <f>IF(($A75/P$53)&gt;=31,0,INDEX(Data_EPA_Survival!$C$5:$C$36,INT(($A75/P$53))+1)+(($A75/P$53)-INT(($A75/P$53)))*(INDEX(Data_EPA_Survival!$C$5:$C$36,INT(($A75/P$53))+2)-INDEX(Data_EPA_Survival!$C$5:$C$36,INT(($A75/P$53))+1)))</f>
        <v/>
      </c>
      <c r="Q75" s="26">
        <f>IF(($A75/Q$53)&gt;=31,0,INDEX(Data_EPA_Survival!$C$5:$C$36,INT(($A75/Q$53))+1)+(($A75/Q$53)-INT(($A75/Q$53)))*(INDEX(Data_EPA_Survival!$C$5:$C$36,INT(($A75/Q$53))+2)-INDEX(Data_EPA_Survival!$C$5:$C$36,INT(($A75/Q$53))+1)))</f>
        <v/>
      </c>
      <c r="R75" s="26">
        <f>IF(($A75/R$53)&gt;=31,0,INDEX(Data_EPA_Survival!$C$5:$C$36,INT(($A75/R$53))+1)+(($A75/R$53)-INT(($A75/R$53)))*(INDEX(Data_EPA_Survival!$C$5:$C$36,INT(($A75/R$53))+2)-INDEX(Data_EPA_Survival!$C$5:$C$36,INT(($A75/R$53))+1)))</f>
        <v/>
      </c>
      <c r="S75" s="26">
        <f>IF(($A75/S$53)&gt;=31,0,INDEX(Data_EPA_Survival!$C$5:$C$36,INT(($A75/S$53))+1)+(($A75/S$53)-INT(($A75/S$53)))*(INDEX(Data_EPA_Survival!$C$5:$C$36,INT(($A75/S$53))+2)-INDEX(Data_EPA_Survival!$C$5:$C$36,INT(($A75/S$53))+1)))</f>
        <v/>
      </c>
      <c r="T75" s="26">
        <f>IF(($A75/T$53)&gt;=31,0,INDEX(Data_EPA_Survival!$C$5:$C$36,INT(($A75/T$53))+1)+(($A75/T$53)-INT(($A75/T$53)))*(INDEX(Data_EPA_Survival!$C$5:$C$36,INT(($A75/T$53))+2)-INDEX(Data_EPA_Survival!$C$5:$C$36,INT(($A75/T$53))+1)))</f>
        <v/>
      </c>
    </row>
    <row r="76">
      <c r="A76" s="9" t="n">
        <v>21</v>
      </c>
      <c r="C76" s="26">
        <f>IF(($A76/C$53)&gt;=31,0,INDEX(Data_EPA_Survival!$C$5:$C$36,INT(($A76/C$53))+1)+(($A76/C$53)-INT(($A76/C$53)))*(INDEX(Data_EPA_Survival!$C$5:$C$36,INT(($A76/C$53))+2)-INDEX(Data_EPA_Survival!$C$5:$C$36,INT(($A76/C$53))+1)))</f>
        <v/>
      </c>
      <c r="D76" s="26">
        <f>IF(($A76/D$53)&gt;=31,0,INDEX(Data_EPA_Survival!$C$5:$C$36,INT(($A76/D$53))+1)+(($A76/D$53)-INT(($A76/D$53)))*(INDEX(Data_EPA_Survival!$C$5:$C$36,INT(($A76/D$53))+2)-INDEX(Data_EPA_Survival!$C$5:$C$36,INT(($A76/D$53))+1)))</f>
        <v/>
      </c>
      <c r="E76" s="26">
        <f>IF(($A76/E$53)&gt;=31,0,INDEX(Data_EPA_Survival!$C$5:$C$36,INT(($A76/E$53))+1)+(($A76/E$53)-INT(($A76/E$53)))*(INDEX(Data_EPA_Survival!$C$5:$C$36,INT(($A76/E$53))+2)-INDEX(Data_EPA_Survival!$C$5:$C$36,INT(($A76/E$53))+1)))</f>
        <v/>
      </c>
      <c r="F76" s="26">
        <f>IF(($A76/F$53)&gt;=31,0,INDEX(Data_EPA_Survival!$C$5:$C$36,INT(($A76/F$53))+1)+(($A76/F$53)-INT(($A76/F$53)))*(INDEX(Data_EPA_Survival!$C$5:$C$36,INT(($A76/F$53))+2)-INDEX(Data_EPA_Survival!$C$5:$C$36,INT(($A76/F$53))+1)))</f>
        <v/>
      </c>
      <c r="G76" s="26">
        <f>IF(($A76/G$53)&gt;=31,0,INDEX(Data_EPA_Survival!$C$5:$C$36,INT(($A76/G$53))+1)+(($A76/G$53)-INT(($A76/G$53)))*(INDEX(Data_EPA_Survival!$C$5:$C$36,INT(($A76/G$53))+2)-INDEX(Data_EPA_Survival!$C$5:$C$36,INT(($A76/G$53))+1)))</f>
        <v/>
      </c>
      <c r="H76" s="26">
        <f>IF(($A76/H$53)&gt;=31,0,INDEX(Data_EPA_Survival!$C$5:$C$36,INT(($A76/H$53))+1)+(($A76/H$53)-INT(($A76/H$53)))*(INDEX(Data_EPA_Survival!$C$5:$C$36,INT(($A76/H$53))+2)-INDEX(Data_EPA_Survival!$C$5:$C$36,INT(($A76/H$53))+1)))</f>
        <v/>
      </c>
      <c r="I76" s="26">
        <f>IF(($A76/I$53)&gt;=31,0,INDEX(Data_EPA_Survival!$C$5:$C$36,INT(($A76/I$53))+1)+(($A76/I$53)-INT(($A76/I$53)))*(INDEX(Data_EPA_Survival!$C$5:$C$36,INT(($A76/I$53))+2)-INDEX(Data_EPA_Survival!$C$5:$C$36,INT(($A76/I$53))+1)))</f>
        <v/>
      </c>
      <c r="J76" s="26">
        <f>IF(($A76/J$53)&gt;=31,0,INDEX(Data_EPA_Survival!$C$5:$C$36,INT(($A76/J$53))+1)+(($A76/J$53)-INT(($A76/J$53)))*(INDEX(Data_EPA_Survival!$C$5:$C$36,INT(($A76/J$53))+2)-INDEX(Data_EPA_Survival!$C$5:$C$36,INT(($A76/J$53))+1)))</f>
        <v/>
      </c>
      <c r="K76" s="26">
        <f>IF(($A76/K$53)&gt;=31,0,INDEX(Data_EPA_Survival!$C$5:$C$36,INT(($A76/K$53))+1)+(($A76/K$53)-INT(($A76/K$53)))*(INDEX(Data_EPA_Survival!$C$5:$C$36,INT(($A76/K$53))+2)-INDEX(Data_EPA_Survival!$C$5:$C$36,INT(($A76/K$53))+1)))</f>
        <v/>
      </c>
      <c r="L76" s="26">
        <f>IF(($A76/L$53)&gt;=31,0,INDEX(Data_EPA_Survival!$C$5:$C$36,INT(($A76/L$53))+1)+(($A76/L$53)-INT(($A76/L$53)))*(INDEX(Data_EPA_Survival!$C$5:$C$36,INT(($A76/L$53))+2)-INDEX(Data_EPA_Survival!$C$5:$C$36,INT(($A76/L$53))+1)))</f>
        <v/>
      </c>
      <c r="M76" s="26">
        <f>IF(($A76/M$53)&gt;=31,0,INDEX(Data_EPA_Survival!$C$5:$C$36,INT(($A76/M$53))+1)+(($A76/M$53)-INT(($A76/M$53)))*(INDEX(Data_EPA_Survival!$C$5:$C$36,INT(($A76/M$53))+2)-INDEX(Data_EPA_Survival!$C$5:$C$36,INT(($A76/M$53))+1)))</f>
        <v/>
      </c>
      <c r="N76" s="26">
        <f>IF(($A76/N$53)&gt;=31,0,INDEX(Data_EPA_Survival!$C$5:$C$36,INT(($A76/N$53))+1)+(($A76/N$53)-INT(($A76/N$53)))*(INDEX(Data_EPA_Survival!$C$5:$C$36,INT(($A76/N$53))+2)-INDEX(Data_EPA_Survival!$C$5:$C$36,INT(($A76/N$53))+1)))</f>
        <v/>
      </c>
      <c r="O76" s="26">
        <f>IF(($A76/O$53)&gt;=31,0,INDEX(Data_EPA_Survival!$C$5:$C$36,INT(($A76/O$53))+1)+(($A76/O$53)-INT(($A76/O$53)))*(INDEX(Data_EPA_Survival!$C$5:$C$36,INT(($A76/O$53))+2)-INDEX(Data_EPA_Survival!$C$5:$C$36,INT(($A76/O$53))+1)))</f>
        <v/>
      </c>
      <c r="P76" s="26">
        <f>IF(($A76/P$53)&gt;=31,0,INDEX(Data_EPA_Survival!$C$5:$C$36,INT(($A76/P$53))+1)+(($A76/P$53)-INT(($A76/P$53)))*(INDEX(Data_EPA_Survival!$C$5:$C$36,INT(($A76/P$53))+2)-INDEX(Data_EPA_Survival!$C$5:$C$36,INT(($A76/P$53))+1)))</f>
        <v/>
      </c>
      <c r="Q76" s="26">
        <f>IF(($A76/Q$53)&gt;=31,0,INDEX(Data_EPA_Survival!$C$5:$C$36,INT(($A76/Q$53))+1)+(($A76/Q$53)-INT(($A76/Q$53)))*(INDEX(Data_EPA_Survival!$C$5:$C$36,INT(($A76/Q$53))+2)-INDEX(Data_EPA_Survival!$C$5:$C$36,INT(($A76/Q$53))+1)))</f>
        <v/>
      </c>
      <c r="R76" s="26">
        <f>IF(($A76/R$53)&gt;=31,0,INDEX(Data_EPA_Survival!$C$5:$C$36,INT(($A76/R$53))+1)+(($A76/R$53)-INT(($A76/R$53)))*(INDEX(Data_EPA_Survival!$C$5:$C$36,INT(($A76/R$53))+2)-INDEX(Data_EPA_Survival!$C$5:$C$36,INT(($A76/R$53))+1)))</f>
        <v/>
      </c>
      <c r="S76" s="26">
        <f>IF(($A76/S$53)&gt;=31,0,INDEX(Data_EPA_Survival!$C$5:$C$36,INT(($A76/S$53))+1)+(($A76/S$53)-INT(($A76/S$53)))*(INDEX(Data_EPA_Survival!$C$5:$C$36,INT(($A76/S$53))+2)-INDEX(Data_EPA_Survival!$C$5:$C$36,INT(($A76/S$53))+1)))</f>
        <v/>
      </c>
      <c r="T76" s="26">
        <f>IF(($A76/T$53)&gt;=31,0,INDEX(Data_EPA_Survival!$C$5:$C$36,INT(($A76/T$53))+1)+(($A76/T$53)-INT(($A76/T$53)))*(INDEX(Data_EPA_Survival!$C$5:$C$36,INT(($A76/T$53))+2)-INDEX(Data_EPA_Survival!$C$5:$C$36,INT(($A76/T$53))+1)))</f>
        <v/>
      </c>
    </row>
    <row r="77">
      <c r="A77" s="9" t="n">
        <v>22</v>
      </c>
      <c r="C77" s="26">
        <f>IF(($A77/C$53)&gt;=31,0,INDEX(Data_EPA_Survival!$C$5:$C$36,INT(($A77/C$53))+1)+(($A77/C$53)-INT(($A77/C$53)))*(INDEX(Data_EPA_Survival!$C$5:$C$36,INT(($A77/C$53))+2)-INDEX(Data_EPA_Survival!$C$5:$C$36,INT(($A77/C$53))+1)))</f>
        <v/>
      </c>
      <c r="D77" s="26">
        <f>IF(($A77/D$53)&gt;=31,0,INDEX(Data_EPA_Survival!$C$5:$C$36,INT(($A77/D$53))+1)+(($A77/D$53)-INT(($A77/D$53)))*(INDEX(Data_EPA_Survival!$C$5:$C$36,INT(($A77/D$53))+2)-INDEX(Data_EPA_Survival!$C$5:$C$36,INT(($A77/D$53))+1)))</f>
        <v/>
      </c>
      <c r="E77" s="26">
        <f>IF(($A77/E$53)&gt;=31,0,INDEX(Data_EPA_Survival!$C$5:$C$36,INT(($A77/E$53))+1)+(($A77/E$53)-INT(($A77/E$53)))*(INDEX(Data_EPA_Survival!$C$5:$C$36,INT(($A77/E$53))+2)-INDEX(Data_EPA_Survival!$C$5:$C$36,INT(($A77/E$53))+1)))</f>
        <v/>
      </c>
      <c r="F77" s="26">
        <f>IF(($A77/F$53)&gt;=31,0,INDEX(Data_EPA_Survival!$C$5:$C$36,INT(($A77/F$53))+1)+(($A77/F$53)-INT(($A77/F$53)))*(INDEX(Data_EPA_Survival!$C$5:$C$36,INT(($A77/F$53))+2)-INDEX(Data_EPA_Survival!$C$5:$C$36,INT(($A77/F$53))+1)))</f>
        <v/>
      </c>
      <c r="G77" s="26">
        <f>IF(($A77/G$53)&gt;=31,0,INDEX(Data_EPA_Survival!$C$5:$C$36,INT(($A77/G$53))+1)+(($A77/G$53)-INT(($A77/G$53)))*(INDEX(Data_EPA_Survival!$C$5:$C$36,INT(($A77/G$53))+2)-INDEX(Data_EPA_Survival!$C$5:$C$36,INT(($A77/G$53))+1)))</f>
        <v/>
      </c>
      <c r="H77" s="26">
        <f>IF(($A77/H$53)&gt;=31,0,INDEX(Data_EPA_Survival!$C$5:$C$36,INT(($A77/H$53))+1)+(($A77/H$53)-INT(($A77/H$53)))*(INDEX(Data_EPA_Survival!$C$5:$C$36,INT(($A77/H$53))+2)-INDEX(Data_EPA_Survival!$C$5:$C$36,INT(($A77/H$53))+1)))</f>
        <v/>
      </c>
      <c r="I77" s="26">
        <f>IF(($A77/I$53)&gt;=31,0,INDEX(Data_EPA_Survival!$C$5:$C$36,INT(($A77/I$53))+1)+(($A77/I$53)-INT(($A77/I$53)))*(INDEX(Data_EPA_Survival!$C$5:$C$36,INT(($A77/I$53))+2)-INDEX(Data_EPA_Survival!$C$5:$C$36,INT(($A77/I$53))+1)))</f>
        <v/>
      </c>
      <c r="J77" s="26">
        <f>IF(($A77/J$53)&gt;=31,0,INDEX(Data_EPA_Survival!$C$5:$C$36,INT(($A77/J$53))+1)+(($A77/J$53)-INT(($A77/J$53)))*(INDEX(Data_EPA_Survival!$C$5:$C$36,INT(($A77/J$53))+2)-INDEX(Data_EPA_Survival!$C$5:$C$36,INT(($A77/J$53))+1)))</f>
        <v/>
      </c>
      <c r="K77" s="26">
        <f>IF(($A77/K$53)&gt;=31,0,INDEX(Data_EPA_Survival!$C$5:$C$36,INT(($A77/K$53))+1)+(($A77/K$53)-INT(($A77/K$53)))*(INDEX(Data_EPA_Survival!$C$5:$C$36,INT(($A77/K$53))+2)-INDEX(Data_EPA_Survival!$C$5:$C$36,INT(($A77/K$53))+1)))</f>
        <v/>
      </c>
      <c r="L77" s="26">
        <f>IF(($A77/L$53)&gt;=31,0,INDEX(Data_EPA_Survival!$C$5:$C$36,INT(($A77/L$53))+1)+(($A77/L$53)-INT(($A77/L$53)))*(INDEX(Data_EPA_Survival!$C$5:$C$36,INT(($A77/L$53))+2)-INDEX(Data_EPA_Survival!$C$5:$C$36,INT(($A77/L$53))+1)))</f>
        <v/>
      </c>
      <c r="M77" s="26">
        <f>IF(($A77/M$53)&gt;=31,0,INDEX(Data_EPA_Survival!$C$5:$C$36,INT(($A77/M$53))+1)+(($A77/M$53)-INT(($A77/M$53)))*(INDEX(Data_EPA_Survival!$C$5:$C$36,INT(($A77/M$53))+2)-INDEX(Data_EPA_Survival!$C$5:$C$36,INT(($A77/M$53))+1)))</f>
        <v/>
      </c>
      <c r="N77" s="26">
        <f>IF(($A77/N$53)&gt;=31,0,INDEX(Data_EPA_Survival!$C$5:$C$36,INT(($A77/N$53))+1)+(($A77/N$53)-INT(($A77/N$53)))*(INDEX(Data_EPA_Survival!$C$5:$C$36,INT(($A77/N$53))+2)-INDEX(Data_EPA_Survival!$C$5:$C$36,INT(($A77/N$53))+1)))</f>
        <v/>
      </c>
      <c r="O77" s="26">
        <f>IF(($A77/O$53)&gt;=31,0,INDEX(Data_EPA_Survival!$C$5:$C$36,INT(($A77/O$53))+1)+(($A77/O$53)-INT(($A77/O$53)))*(INDEX(Data_EPA_Survival!$C$5:$C$36,INT(($A77/O$53))+2)-INDEX(Data_EPA_Survival!$C$5:$C$36,INT(($A77/O$53))+1)))</f>
        <v/>
      </c>
      <c r="P77" s="26">
        <f>IF(($A77/P$53)&gt;=31,0,INDEX(Data_EPA_Survival!$C$5:$C$36,INT(($A77/P$53))+1)+(($A77/P$53)-INT(($A77/P$53)))*(INDEX(Data_EPA_Survival!$C$5:$C$36,INT(($A77/P$53))+2)-INDEX(Data_EPA_Survival!$C$5:$C$36,INT(($A77/P$53))+1)))</f>
        <v/>
      </c>
      <c r="Q77" s="26">
        <f>IF(($A77/Q$53)&gt;=31,0,INDEX(Data_EPA_Survival!$C$5:$C$36,INT(($A77/Q$53))+1)+(($A77/Q$53)-INT(($A77/Q$53)))*(INDEX(Data_EPA_Survival!$C$5:$C$36,INT(($A77/Q$53))+2)-INDEX(Data_EPA_Survival!$C$5:$C$36,INT(($A77/Q$53))+1)))</f>
        <v/>
      </c>
      <c r="R77" s="26">
        <f>IF(($A77/R$53)&gt;=31,0,INDEX(Data_EPA_Survival!$C$5:$C$36,INT(($A77/R$53))+1)+(($A77/R$53)-INT(($A77/R$53)))*(INDEX(Data_EPA_Survival!$C$5:$C$36,INT(($A77/R$53))+2)-INDEX(Data_EPA_Survival!$C$5:$C$36,INT(($A77/R$53))+1)))</f>
        <v/>
      </c>
      <c r="S77" s="26">
        <f>IF(($A77/S$53)&gt;=31,0,INDEX(Data_EPA_Survival!$C$5:$C$36,INT(($A77/S$53))+1)+(($A77/S$53)-INT(($A77/S$53)))*(INDEX(Data_EPA_Survival!$C$5:$C$36,INT(($A77/S$53))+2)-INDEX(Data_EPA_Survival!$C$5:$C$36,INT(($A77/S$53))+1)))</f>
        <v/>
      </c>
      <c r="T77" s="26">
        <f>IF(($A77/T$53)&gt;=31,0,INDEX(Data_EPA_Survival!$C$5:$C$36,INT(($A77/T$53))+1)+(($A77/T$53)-INT(($A77/T$53)))*(INDEX(Data_EPA_Survival!$C$5:$C$36,INT(($A77/T$53))+2)-INDEX(Data_EPA_Survival!$C$5:$C$36,INT(($A77/T$53))+1)))</f>
        <v/>
      </c>
    </row>
    <row r="78">
      <c r="A78" s="9" t="n">
        <v>23</v>
      </c>
      <c r="C78" s="26">
        <f>IF(($A78/C$53)&gt;=31,0,INDEX(Data_EPA_Survival!$C$5:$C$36,INT(($A78/C$53))+1)+(($A78/C$53)-INT(($A78/C$53)))*(INDEX(Data_EPA_Survival!$C$5:$C$36,INT(($A78/C$53))+2)-INDEX(Data_EPA_Survival!$C$5:$C$36,INT(($A78/C$53))+1)))</f>
        <v/>
      </c>
      <c r="D78" s="26">
        <f>IF(($A78/D$53)&gt;=31,0,INDEX(Data_EPA_Survival!$C$5:$C$36,INT(($A78/D$53))+1)+(($A78/D$53)-INT(($A78/D$53)))*(INDEX(Data_EPA_Survival!$C$5:$C$36,INT(($A78/D$53))+2)-INDEX(Data_EPA_Survival!$C$5:$C$36,INT(($A78/D$53))+1)))</f>
        <v/>
      </c>
      <c r="E78" s="26">
        <f>IF(($A78/E$53)&gt;=31,0,INDEX(Data_EPA_Survival!$C$5:$C$36,INT(($A78/E$53))+1)+(($A78/E$53)-INT(($A78/E$53)))*(INDEX(Data_EPA_Survival!$C$5:$C$36,INT(($A78/E$53))+2)-INDEX(Data_EPA_Survival!$C$5:$C$36,INT(($A78/E$53))+1)))</f>
        <v/>
      </c>
      <c r="F78" s="26">
        <f>IF(($A78/F$53)&gt;=31,0,INDEX(Data_EPA_Survival!$C$5:$C$36,INT(($A78/F$53))+1)+(($A78/F$53)-INT(($A78/F$53)))*(INDEX(Data_EPA_Survival!$C$5:$C$36,INT(($A78/F$53))+2)-INDEX(Data_EPA_Survival!$C$5:$C$36,INT(($A78/F$53))+1)))</f>
        <v/>
      </c>
      <c r="G78" s="26">
        <f>IF(($A78/G$53)&gt;=31,0,INDEX(Data_EPA_Survival!$C$5:$C$36,INT(($A78/G$53))+1)+(($A78/G$53)-INT(($A78/G$53)))*(INDEX(Data_EPA_Survival!$C$5:$C$36,INT(($A78/G$53))+2)-INDEX(Data_EPA_Survival!$C$5:$C$36,INT(($A78/G$53))+1)))</f>
        <v/>
      </c>
      <c r="H78" s="26">
        <f>IF(($A78/H$53)&gt;=31,0,INDEX(Data_EPA_Survival!$C$5:$C$36,INT(($A78/H$53))+1)+(($A78/H$53)-INT(($A78/H$53)))*(INDEX(Data_EPA_Survival!$C$5:$C$36,INT(($A78/H$53))+2)-INDEX(Data_EPA_Survival!$C$5:$C$36,INT(($A78/H$53))+1)))</f>
        <v/>
      </c>
      <c r="I78" s="26">
        <f>IF(($A78/I$53)&gt;=31,0,INDEX(Data_EPA_Survival!$C$5:$C$36,INT(($A78/I$53))+1)+(($A78/I$53)-INT(($A78/I$53)))*(INDEX(Data_EPA_Survival!$C$5:$C$36,INT(($A78/I$53))+2)-INDEX(Data_EPA_Survival!$C$5:$C$36,INT(($A78/I$53))+1)))</f>
        <v/>
      </c>
      <c r="J78" s="26">
        <f>IF(($A78/J$53)&gt;=31,0,INDEX(Data_EPA_Survival!$C$5:$C$36,INT(($A78/J$53))+1)+(($A78/J$53)-INT(($A78/J$53)))*(INDEX(Data_EPA_Survival!$C$5:$C$36,INT(($A78/J$53))+2)-INDEX(Data_EPA_Survival!$C$5:$C$36,INT(($A78/J$53))+1)))</f>
        <v/>
      </c>
      <c r="K78" s="26">
        <f>IF(($A78/K$53)&gt;=31,0,INDEX(Data_EPA_Survival!$C$5:$C$36,INT(($A78/K$53))+1)+(($A78/K$53)-INT(($A78/K$53)))*(INDEX(Data_EPA_Survival!$C$5:$C$36,INT(($A78/K$53))+2)-INDEX(Data_EPA_Survival!$C$5:$C$36,INT(($A78/K$53))+1)))</f>
        <v/>
      </c>
      <c r="L78" s="26">
        <f>IF(($A78/L$53)&gt;=31,0,INDEX(Data_EPA_Survival!$C$5:$C$36,INT(($A78/L$53))+1)+(($A78/L$53)-INT(($A78/L$53)))*(INDEX(Data_EPA_Survival!$C$5:$C$36,INT(($A78/L$53))+2)-INDEX(Data_EPA_Survival!$C$5:$C$36,INT(($A78/L$53))+1)))</f>
        <v/>
      </c>
      <c r="M78" s="26">
        <f>IF(($A78/M$53)&gt;=31,0,INDEX(Data_EPA_Survival!$C$5:$C$36,INT(($A78/M$53))+1)+(($A78/M$53)-INT(($A78/M$53)))*(INDEX(Data_EPA_Survival!$C$5:$C$36,INT(($A78/M$53))+2)-INDEX(Data_EPA_Survival!$C$5:$C$36,INT(($A78/M$53))+1)))</f>
        <v/>
      </c>
      <c r="N78" s="26">
        <f>IF(($A78/N$53)&gt;=31,0,INDEX(Data_EPA_Survival!$C$5:$C$36,INT(($A78/N$53))+1)+(($A78/N$53)-INT(($A78/N$53)))*(INDEX(Data_EPA_Survival!$C$5:$C$36,INT(($A78/N$53))+2)-INDEX(Data_EPA_Survival!$C$5:$C$36,INT(($A78/N$53))+1)))</f>
        <v/>
      </c>
      <c r="O78" s="26">
        <f>IF(($A78/O$53)&gt;=31,0,INDEX(Data_EPA_Survival!$C$5:$C$36,INT(($A78/O$53))+1)+(($A78/O$53)-INT(($A78/O$53)))*(INDEX(Data_EPA_Survival!$C$5:$C$36,INT(($A78/O$53))+2)-INDEX(Data_EPA_Survival!$C$5:$C$36,INT(($A78/O$53))+1)))</f>
        <v/>
      </c>
      <c r="P78" s="26">
        <f>IF(($A78/P$53)&gt;=31,0,INDEX(Data_EPA_Survival!$C$5:$C$36,INT(($A78/P$53))+1)+(($A78/P$53)-INT(($A78/P$53)))*(INDEX(Data_EPA_Survival!$C$5:$C$36,INT(($A78/P$53))+2)-INDEX(Data_EPA_Survival!$C$5:$C$36,INT(($A78/P$53))+1)))</f>
        <v/>
      </c>
      <c r="Q78" s="26">
        <f>IF(($A78/Q$53)&gt;=31,0,INDEX(Data_EPA_Survival!$C$5:$C$36,INT(($A78/Q$53))+1)+(($A78/Q$53)-INT(($A78/Q$53)))*(INDEX(Data_EPA_Survival!$C$5:$C$36,INT(($A78/Q$53))+2)-INDEX(Data_EPA_Survival!$C$5:$C$36,INT(($A78/Q$53))+1)))</f>
        <v/>
      </c>
      <c r="R78" s="26">
        <f>IF(($A78/R$53)&gt;=31,0,INDEX(Data_EPA_Survival!$C$5:$C$36,INT(($A78/R$53))+1)+(($A78/R$53)-INT(($A78/R$53)))*(INDEX(Data_EPA_Survival!$C$5:$C$36,INT(($A78/R$53))+2)-INDEX(Data_EPA_Survival!$C$5:$C$36,INT(($A78/R$53))+1)))</f>
        <v/>
      </c>
      <c r="S78" s="26">
        <f>IF(($A78/S$53)&gt;=31,0,INDEX(Data_EPA_Survival!$C$5:$C$36,INT(($A78/S$53))+1)+(($A78/S$53)-INT(($A78/S$53)))*(INDEX(Data_EPA_Survival!$C$5:$C$36,INT(($A78/S$53))+2)-INDEX(Data_EPA_Survival!$C$5:$C$36,INT(($A78/S$53))+1)))</f>
        <v/>
      </c>
      <c r="T78" s="26">
        <f>IF(($A78/T$53)&gt;=31,0,INDEX(Data_EPA_Survival!$C$5:$C$36,INT(($A78/T$53))+1)+(($A78/T$53)-INT(($A78/T$53)))*(INDEX(Data_EPA_Survival!$C$5:$C$36,INT(($A78/T$53))+2)-INDEX(Data_EPA_Survival!$C$5:$C$36,INT(($A78/T$53))+1)))</f>
        <v/>
      </c>
    </row>
    <row r="79">
      <c r="A79" s="9" t="n">
        <v>24</v>
      </c>
      <c r="C79" s="26">
        <f>IF(($A79/C$53)&gt;=31,0,INDEX(Data_EPA_Survival!$C$5:$C$36,INT(($A79/C$53))+1)+(($A79/C$53)-INT(($A79/C$53)))*(INDEX(Data_EPA_Survival!$C$5:$C$36,INT(($A79/C$53))+2)-INDEX(Data_EPA_Survival!$C$5:$C$36,INT(($A79/C$53))+1)))</f>
        <v/>
      </c>
      <c r="D79" s="26">
        <f>IF(($A79/D$53)&gt;=31,0,INDEX(Data_EPA_Survival!$C$5:$C$36,INT(($A79/D$53))+1)+(($A79/D$53)-INT(($A79/D$53)))*(INDEX(Data_EPA_Survival!$C$5:$C$36,INT(($A79/D$53))+2)-INDEX(Data_EPA_Survival!$C$5:$C$36,INT(($A79/D$53))+1)))</f>
        <v/>
      </c>
      <c r="E79" s="26">
        <f>IF(($A79/E$53)&gt;=31,0,INDEX(Data_EPA_Survival!$C$5:$C$36,INT(($A79/E$53))+1)+(($A79/E$53)-INT(($A79/E$53)))*(INDEX(Data_EPA_Survival!$C$5:$C$36,INT(($A79/E$53))+2)-INDEX(Data_EPA_Survival!$C$5:$C$36,INT(($A79/E$53))+1)))</f>
        <v/>
      </c>
      <c r="F79" s="26">
        <f>IF(($A79/F$53)&gt;=31,0,INDEX(Data_EPA_Survival!$C$5:$C$36,INT(($A79/F$53))+1)+(($A79/F$53)-INT(($A79/F$53)))*(INDEX(Data_EPA_Survival!$C$5:$C$36,INT(($A79/F$53))+2)-INDEX(Data_EPA_Survival!$C$5:$C$36,INT(($A79/F$53))+1)))</f>
        <v/>
      </c>
      <c r="G79" s="26">
        <f>IF(($A79/G$53)&gt;=31,0,INDEX(Data_EPA_Survival!$C$5:$C$36,INT(($A79/G$53))+1)+(($A79/G$53)-INT(($A79/G$53)))*(INDEX(Data_EPA_Survival!$C$5:$C$36,INT(($A79/G$53))+2)-INDEX(Data_EPA_Survival!$C$5:$C$36,INT(($A79/G$53))+1)))</f>
        <v/>
      </c>
      <c r="H79" s="26">
        <f>IF(($A79/H$53)&gt;=31,0,INDEX(Data_EPA_Survival!$C$5:$C$36,INT(($A79/H$53))+1)+(($A79/H$53)-INT(($A79/H$53)))*(INDEX(Data_EPA_Survival!$C$5:$C$36,INT(($A79/H$53))+2)-INDEX(Data_EPA_Survival!$C$5:$C$36,INT(($A79/H$53))+1)))</f>
        <v/>
      </c>
      <c r="I79" s="26">
        <f>IF(($A79/I$53)&gt;=31,0,INDEX(Data_EPA_Survival!$C$5:$C$36,INT(($A79/I$53))+1)+(($A79/I$53)-INT(($A79/I$53)))*(INDEX(Data_EPA_Survival!$C$5:$C$36,INT(($A79/I$53))+2)-INDEX(Data_EPA_Survival!$C$5:$C$36,INT(($A79/I$53))+1)))</f>
        <v/>
      </c>
      <c r="J79" s="26">
        <f>IF(($A79/J$53)&gt;=31,0,INDEX(Data_EPA_Survival!$C$5:$C$36,INT(($A79/J$53))+1)+(($A79/J$53)-INT(($A79/J$53)))*(INDEX(Data_EPA_Survival!$C$5:$C$36,INT(($A79/J$53))+2)-INDEX(Data_EPA_Survival!$C$5:$C$36,INT(($A79/J$53))+1)))</f>
        <v/>
      </c>
      <c r="K79" s="26">
        <f>IF(($A79/K$53)&gt;=31,0,INDEX(Data_EPA_Survival!$C$5:$C$36,INT(($A79/K$53))+1)+(($A79/K$53)-INT(($A79/K$53)))*(INDEX(Data_EPA_Survival!$C$5:$C$36,INT(($A79/K$53))+2)-INDEX(Data_EPA_Survival!$C$5:$C$36,INT(($A79/K$53))+1)))</f>
        <v/>
      </c>
      <c r="L79" s="26">
        <f>IF(($A79/L$53)&gt;=31,0,INDEX(Data_EPA_Survival!$C$5:$C$36,INT(($A79/L$53))+1)+(($A79/L$53)-INT(($A79/L$53)))*(INDEX(Data_EPA_Survival!$C$5:$C$36,INT(($A79/L$53))+2)-INDEX(Data_EPA_Survival!$C$5:$C$36,INT(($A79/L$53))+1)))</f>
        <v/>
      </c>
      <c r="M79" s="26">
        <f>IF(($A79/M$53)&gt;=31,0,INDEX(Data_EPA_Survival!$C$5:$C$36,INT(($A79/M$53))+1)+(($A79/M$53)-INT(($A79/M$53)))*(INDEX(Data_EPA_Survival!$C$5:$C$36,INT(($A79/M$53))+2)-INDEX(Data_EPA_Survival!$C$5:$C$36,INT(($A79/M$53))+1)))</f>
        <v/>
      </c>
      <c r="N79" s="26">
        <f>IF(($A79/N$53)&gt;=31,0,INDEX(Data_EPA_Survival!$C$5:$C$36,INT(($A79/N$53))+1)+(($A79/N$53)-INT(($A79/N$53)))*(INDEX(Data_EPA_Survival!$C$5:$C$36,INT(($A79/N$53))+2)-INDEX(Data_EPA_Survival!$C$5:$C$36,INT(($A79/N$53))+1)))</f>
        <v/>
      </c>
      <c r="O79" s="26">
        <f>IF(($A79/O$53)&gt;=31,0,INDEX(Data_EPA_Survival!$C$5:$C$36,INT(($A79/O$53))+1)+(($A79/O$53)-INT(($A79/O$53)))*(INDEX(Data_EPA_Survival!$C$5:$C$36,INT(($A79/O$53))+2)-INDEX(Data_EPA_Survival!$C$5:$C$36,INT(($A79/O$53))+1)))</f>
        <v/>
      </c>
      <c r="P79" s="26">
        <f>IF(($A79/P$53)&gt;=31,0,INDEX(Data_EPA_Survival!$C$5:$C$36,INT(($A79/P$53))+1)+(($A79/P$53)-INT(($A79/P$53)))*(INDEX(Data_EPA_Survival!$C$5:$C$36,INT(($A79/P$53))+2)-INDEX(Data_EPA_Survival!$C$5:$C$36,INT(($A79/P$53))+1)))</f>
        <v/>
      </c>
      <c r="Q79" s="26">
        <f>IF(($A79/Q$53)&gt;=31,0,INDEX(Data_EPA_Survival!$C$5:$C$36,INT(($A79/Q$53))+1)+(($A79/Q$53)-INT(($A79/Q$53)))*(INDEX(Data_EPA_Survival!$C$5:$C$36,INT(($A79/Q$53))+2)-INDEX(Data_EPA_Survival!$C$5:$C$36,INT(($A79/Q$53))+1)))</f>
        <v/>
      </c>
      <c r="R79" s="26">
        <f>IF(($A79/R$53)&gt;=31,0,INDEX(Data_EPA_Survival!$C$5:$C$36,INT(($A79/R$53))+1)+(($A79/R$53)-INT(($A79/R$53)))*(INDEX(Data_EPA_Survival!$C$5:$C$36,INT(($A79/R$53))+2)-INDEX(Data_EPA_Survival!$C$5:$C$36,INT(($A79/R$53))+1)))</f>
        <v/>
      </c>
      <c r="S79" s="26">
        <f>IF(($A79/S$53)&gt;=31,0,INDEX(Data_EPA_Survival!$C$5:$C$36,INT(($A79/S$53))+1)+(($A79/S$53)-INT(($A79/S$53)))*(INDEX(Data_EPA_Survival!$C$5:$C$36,INT(($A79/S$53))+2)-INDEX(Data_EPA_Survival!$C$5:$C$36,INT(($A79/S$53))+1)))</f>
        <v/>
      </c>
      <c r="T79" s="26">
        <f>IF(($A79/T$53)&gt;=31,0,INDEX(Data_EPA_Survival!$C$5:$C$36,INT(($A79/T$53))+1)+(($A79/T$53)-INT(($A79/T$53)))*(INDEX(Data_EPA_Survival!$C$5:$C$36,INT(($A79/T$53))+2)-INDEX(Data_EPA_Survival!$C$5:$C$36,INT(($A79/T$53))+1)))</f>
        <v/>
      </c>
    </row>
    <row r="80">
      <c r="A80" s="9" t="n">
        <v>25</v>
      </c>
      <c r="C80" s="26">
        <f>IF(($A80/C$53)&gt;=31,0,INDEX(Data_EPA_Survival!$C$5:$C$36,INT(($A80/C$53))+1)+(($A80/C$53)-INT(($A80/C$53)))*(INDEX(Data_EPA_Survival!$C$5:$C$36,INT(($A80/C$53))+2)-INDEX(Data_EPA_Survival!$C$5:$C$36,INT(($A80/C$53))+1)))</f>
        <v/>
      </c>
      <c r="D80" s="26">
        <f>IF(($A80/D$53)&gt;=31,0,INDEX(Data_EPA_Survival!$C$5:$C$36,INT(($A80/D$53))+1)+(($A80/D$53)-INT(($A80/D$53)))*(INDEX(Data_EPA_Survival!$C$5:$C$36,INT(($A80/D$53))+2)-INDEX(Data_EPA_Survival!$C$5:$C$36,INT(($A80/D$53))+1)))</f>
        <v/>
      </c>
      <c r="E80" s="26">
        <f>IF(($A80/E$53)&gt;=31,0,INDEX(Data_EPA_Survival!$C$5:$C$36,INT(($A80/E$53))+1)+(($A80/E$53)-INT(($A80/E$53)))*(INDEX(Data_EPA_Survival!$C$5:$C$36,INT(($A80/E$53))+2)-INDEX(Data_EPA_Survival!$C$5:$C$36,INT(($A80/E$53))+1)))</f>
        <v/>
      </c>
      <c r="F80" s="26">
        <f>IF(($A80/F$53)&gt;=31,0,INDEX(Data_EPA_Survival!$C$5:$C$36,INT(($A80/F$53))+1)+(($A80/F$53)-INT(($A80/F$53)))*(INDEX(Data_EPA_Survival!$C$5:$C$36,INT(($A80/F$53))+2)-INDEX(Data_EPA_Survival!$C$5:$C$36,INT(($A80/F$53))+1)))</f>
        <v/>
      </c>
      <c r="G80" s="26">
        <f>IF(($A80/G$53)&gt;=31,0,INDEX(Data_EPA_Survival!$C$5:$C$36,INT(($A80/G$53))+1)+(($A80/G$53)-INT(($A80/G$53)))*(INDEX(Data_EPA_Survival!$C$5:$C$36,INT(($A80/G$53))+2)-INDEX(Data_EPA_Survival!$C$5:$C$36,INT(($A80/G$53))+1)))</f>
        <v/>
      </c>
      <c r="H80" s="26">
        <f>IF(($A80/H$53)&gt;=31,0,INDEX(Data_EPA_Survival!$C$5:$C$36,INT(($A80/H$53))+1)+(($A80/H$53)-INT(($A80/H$53)))*(INDEX(Data_EPA_Survival!$C$5:$C$36,INT(($A80/H$53))+2)-INDEX(Data_EPA_Survival!$C$5:$C$36,INT(($A80/H$53))+1)))</f>
        <v/>
      </c>
      <c r="I80" s="26">
        <f>IF(($A80/I$53)&gt;=31,0,INDEX(Data_EPA_Survival!$C$5:$C$36,INT(($A80/I$53))+1)+(($A80/I$53)-INT(($A80/I$53)))*(INDEX(Data_EPA_Survival!$C$5:$C$36,INT(($A80/I$53))+2)-INDEX(Data_EPA_Survival!$C$5:$C$36,INT(($A80/I$53))+1)))</f>
        <v/>
      </c>
      <c r="J80" s="26">
        <f>IF(($A80/J$53)&gt;=31,0,INDEX(Data_EPA_Survival!$C$5:$C$36,INT(($A80/J$53))+1)+(($A80/J$53)-INT(($A80/J$53)))*(INDEX(Data_EPA_Survival!$C$5:$C$36,INT(($A80/J$53))+2)-INDEX(Data_EPA_Survival!$C$5:$C$36,INT(($A80/J$53))+1)))</f>
        <v/>
      </c>
      <c r="K80" s="26">
        <f>IF(($A80/K$53)&gt;=31,0,INDEX(Data_EPA_Survival!$C$5:$C$36,INT(($A80/K$53))+1)+(($A80/K$53)-INT(($A80/K$53)))*(INDEX(Data_EPA_Survival!$C$5:$C$36,INT(($A80/K$53))+2)-INDEX(Data_EPA_Survival!$C$5:$C$36,INT(($A80/K$53))+1)))</f>
        <v/>
      </c>
      <c r="L80" s="26">
        <f>IF(($A80/L$53)&gt;=31,0,INDEX(Data_EPA_Survival!$C$5:$C$36,INT(($A80/L$53))+1)+(($A80/L$53)-INT(($A80/L$53)))*(INDEX(Data_EPA_Survival!$C$5:$C$36,INT(($A80/L$53))+2)-INDEX(Data_EPA_Survival!$C$5:$C$36,INT(($A80/L$53))+1)))</f>
        <v/>
      </c>
      <c r="M80" s="26">
        <f>IF(($A80/M$53)&gt;=31,0,INDEX(Data_EPA_Survival!$C$5:$C$36,INT(($A80/M$53))+1)+(($A80/M$53)-INT(($A80/M$53)))*(INDEX(Data_EPA_Survival!$C$5:$C$36,INT(($A80/M$53))+2)-INDEX(Data_EPA_Survival!$C$5:$C$36,INT(($A80/M$53))+1)))</f>
        <v/>
      </c>
      <c r="N80" s="26">
        <f>IF(($A80/N$53)&gt;=31,0,INDEX(Data_EPA_Survival!$C$5:$C$36,INT(($A80/N$53))+1)+(($A80/N$53)-INT(($A80/N$53)))*(INDEX(Data_EPA_Survival!$C$5:$C$36,INT(($A80/N$53))+2)-INDEX(Data_EPA_Survival!$C$5:$C$36,INT(($A80/N$53))+1)))</f>
        <v/>
      </c>
      <c r="O80" s="26">
        <f>IF(($A80/O$53)&gt;=31,0,INDEX(Data_EPA_Survival!$C$5:$C$36,INT(($A80/O$53))+1)+(($A80/O$53)-INT(($A80/O$53)))*(INDEX(Data_EPA_Survival!$C$5:$C$36,INT(($A80/O$53))+2)-INDEX(Data_EPA_Survival!$C$5:$C$36,INT(($A80/O$53))+1)))</f>
        <v/>
      </c>
      <c r="P80" s="26">
        <f>IF(($A80/P$53)&gt;=31,0,INDEX(Data_EPA_Survival!$C$5:$C$36,INT(($A80/P$53))+1)+(($A80/P$53)-INT(($A80/P$53)))*(INDEX(Data_EPA_Survival!$C$5:$C$36,INT(($A80/P$53))+2)-INDEX(Data_EPA_Survival!$C$5:$C$36,INT(($A80/P$53))+1)))</f>
        <v/>
      </c>
      <c r="Q80" s="26">
        <f>IF(($A80/Q$53)&gt;=31,0,INDEX(Data_EPA_Survival!$C$5:$C$36,INT(($A80/Q$53))+1)+(($A80/Q$53)-INT(($A80/Q$53)))*(INDEX(Data_EPA_Survival!$C$5:$C$36,INT(($A80/Q$53))+2)-INDEX(Data_EPA_Survival!$C$5:$C$36,INT(($A80/Q$53))+1)))</f>
        <v/>
      </c>
      <c r="R80" s="26">
        <f>IF(($A80/R$53)&gt;=31,0,INDEX(Data_EPA_Survival!$C$5:$C$36,INT(($A80/R$53))+1)+(($A80/R$53)-INT(($A80/R$53)))*(INDEX(Data_EPA_Survival!$C$5:$C$36,INT(($A80/R$53))+2)-INDEX(Data_EPA_Survival!$C$5:$C$36,INT(($A80/R$53))+1)))</f>
        <v/>
      </c>
      <c r="S80" s="26">
        <f>IF(($A80/S$53)&gt;=31,0,INDEX(Data_EPA_Survival!$C$5:$C$36,INT(($A80/S$53))+1)+(($A80/S$53)-INT(($A80/S$53)))*(INDEX(Data_EPA_Survival!$C$5:$C$36,INT(($A80/S$53))+2)-INDEX(Data_EPA_Survival!$C$5:$C$36,INT(($A80/S$53))+1)))</f>
        <v/>
      </c>
      <c r="T80" s="26">
        <f>IF(($A80/T$53)&gt;=31,0,INDEX(Data_EPA_Survival!$C$5:$C$36,INT(($A80/T$53))+1)+(($A80/T$53)-INT(($A80/T$53)))*(INDEX(Data_EPA_Survival!$C$5:$C$36,INT(($A80/T$53))+2)-INDEX(Data_EPA_Survival!$C$5:$C$36,INT(($A80/T$53))+1)))</f>
        <v/>
      </c>
    </row>
    <row r="81">
      <c r="A81" s="9" t="n">
        <v>26</v>
      </c>
      <c r="C81" s="26">
        <f>IF(($A81/C$53)&gt;=31,0,INDEX(Data_EPA_Survival!$C$5:$C$36,INT(($A81/C$53))+1)+(($A81/C$53)-INT(($A81/C$53)))*(INDEX(Data_EPA_Survival!$C$5:$C$36,INT(($A81/C$53))+2)-INDEX(Data_EPA_Survival!$C$5:$C$36,INT(($A81/C$53))+1)))</f>
        <v/>
      </c>
      <c r="D81" s="26">
        <f>IF(($A81/D$53)&gt;=31,0,INDEX(Data_EPA_Survival!$C$5:$C$36,INT(($A81/D$53))+1)+(($A81/D$53)-INT(($A81/D$53)))*(INDEX(Data_EPA_Survival!$C$5:$C$36,INT(($A81/D$53))+2)-INDEX(Data_EPA_Survival!$C$5:$C$36,INT(($A81/D$53))+1)))</f>
        <v/>
      </c>
      <c r="E81" s="26">
        <f>IF(($A81/E$53)&gt;=31,0,INDEX(Data_EPA_Survival!$C$5:$C$36,INT(($A81/E$53))+1)+(($A81/E$53)-INT(($A81/E$53)))*(INDEX(Data_EPA_Survival!$C$5:$C$36,INT(($A81/E$53))+2)-INDEX(Data_EPA_Survival!$C$5:$C$36,INT(($A81/E$53))+1)))</f>
        <v/>
      </c>
      <c r="F81" s="26">
        <f>IF(($A81/F$53)&gt;=31,0,INDEX(Data_EPA_Survival!$C$5:$C$36,INT(($A81/F$53))+1)+(($A81/F$53)-INT(($A81/F$53)))*(INDEX(Data_EPA_Survival!$C$5:$C$36,INT(($A81/F$53))+2)-INDEX(Data_EPA_Survival!$C$5:$C$36,INT(($A81/F$53))+1)))</f>
        <v/>
      </c>
      <c r="G81" s="26">
        <f>IF(($A81/G$53)&gt;=31,0,INDEX(Data_EPA_Survival!$C$5:$C$36,INT(($A81/G$53))+1)+(($A81/G$53)-INT(($A81/G$53)))*(INDEX(Data_EPA_Survival!$C$5:$C$36,INT(($A81/G$53))+2)-INDEX(Data_EPA_Survival!$C$5:$C$36,INT(($A81/G$53))+1)))</f>
        <v/>
      </c>
      <c r="H81" s="26">
        <f>IF(($A81/H$53)&gt;=31,0,INDEX(Data_EPA_Survival!$C$5:$C$36,INT(($A81/H$53))+1)+(($A81/H$53)-INT(($A81/H$53)))*(INDEX(Data_EPA_Survival!$C$5:$C$36,INT(($A81/H$53))+2)-INDEX(Data_EPA_Survival!$C$5:$C$36,INT(($A81/H$53))+1)))</f>
        <v/>
      </c>
      <c r="I81" s="26">
        <f>IF(($A81/I$53)&gt;=31,0,INDEX(Data_EPA_Survival!$C$5:$C$36,INT(($A81/I$53))+1)+(($A81/I$53)-INT(($A81/I$53)))*(INDEX(Data_EPA_Survival!$C$5:$C$36,INT(($A81/I$53))+2)-INDEX(Data_EPA_Survival!$C$5:$C$36,INT(($A81/I$53))+1)))</f>
        <v/>
      </c>
      <c r="J81" s="26">
        <f>IF(($A81/J$53)&gt;=31,0,INDEX(Data_EPA_Survival!$C$5:$C$36,INT(($A81/J$53))+1)+(($A81/J$53)-INT(($A81/J$53)))*(INDEX(Data_EPA_Survival!$C$5:$C$36,INT(($A81/J$53))+2)-INDEX(Data_EPA_Survival!$C$5:$C$36,INT(($A81/J$53))+1)))</f>
        <v/>
      </c>
      <c r="K81" s="26">
        <f>IF(($A81/K$53)&gt;=31,0,INDEX(Data_EPA_Survival!$C$5:$C$36,INT(($A81/K$53))+1)+(($A81/K$53)-INT(($A81/K$53)))*(INDEX(Data_EPA_Survival!$C$5:$C$36,INT(($A81/K$53))+2)-INDEX(Data_EPA_Survival!$C$5:$C$36,INT(($A81/K$53))+1)))</f>
        <v/>
      </c>
      <c r="L81" s="26">
        <f>IF(($A81/L$53)&gt;=31,0,INDEX(Data_EPA_Survival!$C$5:$C$36,INT(($A81/L$53))+1)+(($A81/L$53)-INT(($A81/L$53)))*(INDEX(Data_EPA_Survival!$C$5:$C$36,INT(($A81/L$53))+2)-INDEX(Data_EPA_Survival!$C$5:$C$36,INT(($A81/L$53))+1)))</f>
        <v/>
      </c>
      <c r="M81" s="26">
        <f>IF(($A81/M$53)&gt;=31,0,INDEX(Data_EPA_Survival!$C$5:$C$36,INT(($A81/M$53))+1)+(($A81/M$53)-INT(($A81/M$53)))*(INDEX(Data_EPA_Survival!$C$5:$C$36,INT(($A81/M$53))+2)-INDEX(Data_EPA_Survival!$C$5:$C$36,INT(($A81/M$53))+1)))</f>
        <v/>
      </c>
      <c r="N81" s="26">
        <f>IF(($A81/N$53)&gt;=31,0,INDEX(Data_EPA_Survival!$C$5:$C$36,INT(($A81/N$53))+1)+(($A81/N$53)-INT(($A81/N$53)))*(INDEX(Data_EPA_Survival!$C$5:$C$36,INT(($A81/N$53))+2)-INDEX(Data_EPA_Survival!$C$5:$C$36,INT(($A81/N$53))+1)))</f>
        <v/>
      </c>
      <c r="O81" s="26">
        <f>IF(($A81/O$53)&gt;=31,0,INDEX(Data_EPA_Survival!$C$5:$C$36,INT(($A81/O$53))+1)+(($A81/O$53)-INT(($A81/O$53)))*(INDEX(Data_EPA_Survival!$C$5:$C$36,INT(($A81/O$53))+2)-INDEX(Data_EPA_Survival!$C$5:$C$36,INT(($A81/O$53))+1)))</f>
        <v/>
      </c>
      <c r="P81" s="26">
        <f>IF(($A81/P$53)&gt;=31,0,INDEX(Data_EPA_Survival!$C$5:$C$36,INT(($A81/P$53))+1)+(($A81/P$53)-INT(($A81/P$53)))*(INDEX(Data_EPA_Survival!$C$5:$C$36,INT(($A81/P$53))+2)-INDEX(Data_EPA_Survival!$C$5:$C$36,INT(($A81/P$53))+1)))</f>
        <v/>
      </c>
      <c r="Q81" s="26">
        <f>IF(($A81/Q$53)&gt;=31,0,INDEX(Data_EPA_Survival!$C$5:$C$36,INT(($A81/Q$53))+1)+(($A81/Q$53)-INT(($A81/Q$53)))*(INDEX(Data_EPA_Survival!$C$5:$C$36,INT(($A81/Q$53))+2)-INDEX(Data_EPA_Survival!$C$5:$C$36,INT(($A81/Q$53))+1)))</f>
        <v/>
      </c>
      <c r="R81" s="26">
        <f>IF(($A81/R$53)&gt;=31,0,INDEX(Data_EPA_Survival!$C$5:$C$36,INT(($A81/R$53))+1)+(($A81/R$53)-INT(($A81/R$53)))*(INDEX(Data_EPA_Survival!$C$5:$C$36,INT(($A81/R$53))+2)-INDEX(Data_EPA_Survival!$C$5:$C$36,INT(($A81/R$53))+1)))</f>
        <v/>
      </c>
      <c r="S81" s="26">
        <f>IF(($A81/S$53)&gt;=31,0,INDEX(Data_EPA_Survival!$C$5:$C$36,INT(($A81/S$53))+1)+(($A81/S$53)-INT(($A81/S$53)))*(INDEX(Data_EPA_Survival!$C$5:$C$36,INT(($A81/S$53))+2)-INDEX(Data_EPA_Survival!$C$5:$C$36,INT(($A81/S$53))+1)))</f>
        <v/>
      </c>
      <c r="T81" s="26">
        <f>IF(($A81/T$53)&gt;=31,0,INDEX(Data_EPA_Survival!$C$5:$C$36,INT(($A81/T$53))+1)+(($A81/T$53)-INT(($A81/T$53)))*(INDEX(Data_EPA_Survival!$C$5:$C$36,INT(($A81/T$53))+2)-INDEX(Data_EPA_Survival!$C$5:$C$36,INT(($A81/T$53))+1)))</f>
        <v/>
      </c>
    </row>
    <row r="82">
      <c r="A82" s="9" t="n">
        <v>27</v>
      </c>
      <c r="C82" s="26">
        <f>IF(($A82/C$53)&gt;=31,0,INDEX(Data_EPA_Survival!$C$5:$C$36,INT(($A82/C$53))+1)+(($A82/C$53)-INT(($A82/C$53)))*(INDEX(Data_EPA_Survival!$C$5:$C$36,INT(($A82/C$53))+2)-INDEX(Data_EPA_Survival!$C$5:$C$36,INT(($A82/C$53))+1)))</f>
        <v/>
      </c>
      <c r="D82" s="26">
        <f>IF(($A82/D$53)&gt;=31,0,INDEX(Data_EPA_Survival!$C$5:$C$36,INT(($A82/D$53))+1)+(($A82/D$53)-INT(($A82/D$53)))*(INDEX(Data_EPA_Survival!$C$5:$C$36,INT(($A82/D$53))+2)-INDEX(Data_EPA_Survival!$C$5:$C$36,INT(($A82/D$53))+1)))</f>
        <v/>
      </c>
      <c r="E82" s="26">
        <f>IF(($A82/E$53)&gt;=31,0,INDEX(Data_EPA_Survival!$C$5:$C$36,INT(($A82/E$53))+1)+(($A82/E$53)-INT(($A82/E$53)))*(INDEX(Data_EPA_Survival!$C$5:$C$36,INT(($A82/E$53))+2)-INDEX(Data_EPA_Survival!$C$5:$C$36,INT(($A82/E$53))+1)))</f>
        <v/>
      </c>
      <c r="F82" s="26">
        <f>IF(($A82/F$53)&gt;=31,0,INDEX(Data_EPA_Survival!$C$5:$C$36,INT(($A82/F$53))+1)+(($A82/F$53)-INT(($A82/F$53)))*(INDEX(Data_EPA_Survival!$C$5:$C$36,INT(($A82/F$53))+2)-INDEX(Data_EPA_Survival!$C$5:$C$36,INT(($A82/F$53))+1)))</f>
        <v/>
      </c>
      <c r="G82" s="26">
        <f>IF(($A82/G$53)&gt;=31,0,INDEX(Data_EPA_Survival!$C$5:$C$36,INT(($A82/G$53))+1)+(($A82/G$53)-INT(($A82/G$53)))*(INDEX(Data_EPA_Survival!$C$5:$C$36,INT(($A82/G$53))+2)-INDEX(Data_EPA_Survival!$C$5:$C$36,INT(($A82/G$53))+1)))</f>
        <v/>
      </c>
      <c r="H82" s="26">
        <f>IF(($A82/H$53)&gt;=31,0,INDEX(Data_EPA_Survival!$C$5:$C$36,INT(($A82/H$53))+1)+(($A82/H$53)-INT(($A82/H$53)))*(INDEX(Data_EPA_Survival!$C$5:$C$36,INT(($A82/H$53))+2)-INDEX(Data_EPA_Survival!$C$5:$C$36,INT(($A82/H$53))+1)))</f>
        <v/>
      </c>
      <c r="I82" s="26">
        <f>IF(($A82/I$53)&gt;=31,0,INDEX(Data_EPA_Survival!$C$5:$C$36,INT(($A82/I$53))+1)+(($A82/I$53)-INT(($A82/I$53)))*(INDEX(Data_EPA_Survival!$C$5:$C$36,INT(($A82/I$53))+2)-INDEX(Data_EPA_Survival!$C$5:$C$36,INT(($A82/I$53))+1)))</f>
        <v/>
      </c>
      <c r="J82" s="26">
        <f>IF(($A82/J$53)&gt;=31,0,INDEX(Data_EPA_Survival!$C$5:$C$36,INT(($A82/J$53))+1)+(($A82/J$53)-INT(($A82/J$53)))*(INDEX(Data_EPA_Survival!$C$5:$C$36,INT(($A82/J$53))+2)-INDEX(Data_EPA_Survival!$C$5:$C$36,INT(($A82/J$53))+1)))</f>
        <v/>
      </c>
      <c r="K82" s="26">
        <f>IF(($A82/K$53)&gt;=31,0,INDEX(Data_EPA_Survival!$C$5:$C$36,INT(($A82/K$53))+1)+(($A82/K$53)-INT(($A82/K$53)))*(INDEX(Data_EPA_Survival!$C$5:$C$36,INT(($A82/K$53))+2)-INDEX(Data_EPA_Survival!$C$5:$C$36,INT(($A82/K$53))+1)))</f>
        <v/>
      </c>
      <c r="L82" s="26">
        <f>IF(($A82/L$53)&gt;=31,0,INDEX(Data_EPA_Survival!$C$5:$C$36,INT(($A82/L$53))+1)+(($A82/L$53)-INT(($A82/L$53)))*(INDEX(Data_EPA_Survival!$C$5:$C$36,INT(($A82/L$53))+2)-INDEX(Data_EPA_Survival!$C$5:$C$36,INT(($A82/L$53))+1)))</f>
        <v/>
      </c>
      <c r="M82" s="26">
        <f>IF(($A82/M$53)&gt;=31,0,INDEX(Data_EPA_Survival!$C$5:$C$36,INT(($A82/M$53))+1)+(($A82/M$53)-INT(($A82/M$53)))*(INDEX(Data_EPA_Survival!$C$5:$C$36,INT(($A82/M$53))+2)-INDEX(Data_EPA_Survival!$C$5:$C$36,INT(($A82/M$53))+1)))</f>
        <v/>
      </c>
      <c r="N82" s="26">
        <f>IF(($A82/N$53)&gt;=31,0,INDEX(Data_EPA_Survival!$C$5:$C$36,INT(($A82/N$53))+1)+(($A82/N$53)-INT(($A82/N$53)))*(INDEX(Data_EPA_Survival!$C$5:$C$36,INT(($A82/N$53))+2)-INDEX(Data_EPA_Survival!$C$5:$C$36,INT(($A82/N$53))+1)))</f>
        <v/>
      </c>
      <c r="O82" s="26">
        <f>IF(($A82/O$53)&gt;=31,0,INDEX(Data_EPA_Survival!$C$5:$C$36,INT(($A82/O$53))+1)+(($A82/O$53)-INT(($A82/O$53)))*(INDEX(Data_EPA_Survival!$C$5:$C$36,INT(($A82/O$53))+2)-INDEX(Data_EPA_Survival!$C$5:$C$36,INT(($A82/O$53))+1)))</f>
        <v/>
      </c>
      <c r="P82" s="26">
        <f>IF(($A82/P$53)&gt;=31,0,INDEX(Data_EPA_Survival!$C$5:$C$36,INT(($A82/P$53))+1)+(($A82/P$53)-INT(($A82/P$53)))*(INDEX(Data_EPA_Survival!$C$5:$C$36,INT(($A82/P$53))+2)-INDEX(Data_EPA_Survival!$C$5:$C$36,INT(($A82/P$53))+1)))</f>
        <v/>
      </c>
      <c r="Q82" s="26">
        <f>IF(($A82/Q$53)&gt;=31,0,INDEX(Data_EPA_Survival!$C$5:$C$36,INT(($A82/Q$53))+1)+(($A82/Q$53)-INT(($A82/Q$53)))*(INDEX(Data_EPA_Survival!$C$5:$C$36,INT(($A82/Q$53))+2)-INDEX(Data_EPA_Survival!$C$5:$C$36,INT(($A82/Q$53))+1)))</f>
        <v/>
      </c>
      <c r="R82" s="26">
        <f>IF(($A82/R$53)&gt;=31,0,INDEX(Data_EPA_Survival!$C$5:$C$36,INT(($A82/R$53))+1)+(($A82/R$53)-INT(($A82/R$53)))*(INDEX(Data_EPA_Survival!$C$5:$C$36,INT(($A82/R$53))+2)-INDEX(Data_EPA_Survival!$C$5:$C$36,INT(($A82/R$53))+1)))</f>
        <v/>
      </c>
      <c r="S82" s="26">
        <f>IF(($A82/S$53)&gt;=31,0,INDEX(Data_EPA_Survival!$C$5:$C$36,INT(($A82/S$53))+1)+(($A82/S$53)-INT(($A82/S$53)))*(INDEX(Data_EPA_Survival!$C$5:$C$36,INT(($A82/S$53))+2)-INDEX(Data_EPA_Survival!$C$5:$C$36,INT(($A82/S$53))+1)))</f>
        <v/>
      </c>
      <c r="T82" s="26">
        <f>IF(($A82/T$53)&gt;=31,0,INDEX(Data_EPA_Survival!$C$5:$C$36,INT(($A82/T$53))+1)+(($A82/T$53)-INT(($A82/T$53)))*(INDEX(Data_EPA_Survival!$C$5:$C$36,INT(($A82/T$53))+2)-INDEX(Data_EPA_Survival!$C$5:$C$36,INT(($A82/T$53))+1)))</f>
        <v/>
      </c>
    </row>
    <row r="83">
      <c r="A83" s="9" t="n">
        <v>28</v>
      </c>
      <c r="C83" s="26">
        <f>IF(($A83/C$53)&gt;=31,0,INDEX(Data_EPA_Survival!$C$5:$C$36,INT(($A83/C$53))+1)+(($A83/C$53)-INT(($A83/C$53)))*(INDEX(Data_EPA_Survival!$C$5:$C$36,INT(($A83/C$53))+2)-INDEX(Data_EPA_Survival!$C$5:$C$36,INT(($A83/C$53))+1)))</f>
        <v/>
      </c>
      <c r="D83" s="26">
        <f>IF(($A83/D$53)&gt;=31,0,INDEX(Data_EPA_Survival!$C$5:$C$36,INT(($A83/D$53))+1)+(($A83/D$53)-INT(($A83/D$53)))*(INDEX(Data_EPA_Survival!$C$5:$C$36,INT(($A83/D$53))+2)-INDEX(Data_EPA_Survival!$C$5:$C$36,INT(($A83/D$53))+1)))</f>
        <v/>
      </c>
      <c r="E83" s="26">
        <f>IF(($A83/E$53)&gt;=31,0,INDEX(Data_EPA_Survival!$C$5:$C$36,INT(($A83/E$53))+1)+(($A83/E$53)-INT(($A83/E$53)))*(INDEX(Data_EPA_Survival!$C$5:$C$36,INT(($A83/E$53))+2)-INDEX(Data_EPA_Survival!$C$5:$C$36,INT(($A83/E$53))+1)))</f>
        <v/>
      </c>
      <c r="F83" s="26">
        <f>IF(($A83/F$53)&gt;=31,0,INDEX(Data_EPA_Survival!$C$5:$C$36,INT(($A83/F$53))+1)+(($A83/F$53)-INT(($A83/F$53)))*(INDEX(Data_EPA_Survival!$C$5:$C$36,INT(($A83/F$53))+2)-INDEX(Data_EPA_Survival!$C$5:$C$36,INT(($A83/F$53))+1)))</f>
        <v/>
      </c>
      <c r="G83" s="26">
        <f>IF(($A83/G$53)&gt;=31,0,INDEX(Data_EPA_Survival!$C$5:$C$36,INT(($A83/G$53))+1)+(($A83/G$53)-INT(($A83/G$53)))*(INDEX(Data_EPA_Survival!$C$5:$C$36,INT(($A83/G$53))+2)-INDEX(Data_EPA_Survival!$C$5:$C$36,INT(($A83/G$53))+1)))</f>
        <v/>
      </c>
      <c r="H83" s="26">
        <f>IF(($A83/H$53)&gt;=31,0,INDEX(Data_EPA_Survival!$C$5:$C$36,INT(($A83/H$53))+1)+(($A83/H$53)-INT(($A83/H$53)))*(INDEX(Data_EPA_Survival!$C$5:$C$36,INT(($A83/H$53))+2)-INDEX(Data_EPA_Survival!$C$5:$C$36,INT(($A83/H$53))+1)))</f>
        <v/>
      </c>
      <c r="I83" s="26">
        <f>IF(($A83/I$53)&gt;=31,0,INDEX(Data_EPA_Survival!$C$5:$C$36,INT(($A83/I$53))+1)+(($A83/I$53)-INT(($A83/I$53)))*(INDEX(Data_EPA_Survival!$C$5:$C$36,INT(($A83/I$53))+2)-INDEX(Data_EPA_Survival!$C$5:$C$36,INT(($A83/I$53))+1)))</f>
        <v/>
      </c>
      <c r="J83" s="26">
        <f>IF(($A83/J$53)&gt;=31,0,INDEX(Data_EPA_Survival!$C$5:$C$36,INT(($A83/J$53))+1)+(($A83/J$53)-INT(($A83/J$53)))*(INDEX(Data_EPA_Survival!$C$5:$C$36,INT(($A83/J$53))+2)-INDEX(Data_EPA_Survival!$C$5:$C$36,INT(($A83/J$53))+1)))</f>
        <v/>
      </c>
      <c r="K83" s="26">
        <f>IF(($A83/K$53)&gt;=31,0,INDEX(Data_EPA_Survival!$C$5:$C$36,INT(($A83/K$53))+1)+(($A83/K$53)-INT(($A83/K$53)))*(INDEX(Data_EPA_Survival!$C$5:$C$36,INT(($A83/K$53))+2)-INDEX(Data_EPA_Survival!$C$5:$C$36,INT(($A83/K$53))+1)))</f>
        <v/>
      </c>
      <c r="L83" s="26">
        <f>IF(($A83/L$53)&gt;=31,0,INDEX(Data_EPA_Survival!$C$5:$C$36,INT(($A83/L$53))+1)+(($A83/L$53)-INT(($A83/L$53)))*(INDEX(Data_EPA_Survival!$C$5:$C$36,INT(($A83/L$53))+2)-INDEX(Data_EPA_Survival!$C$5:$C$36,INT(($A83/L$53))+1)))</f>
        <v/>
      </c>
      <c r="M83" s="26">
        <f>IF(($A83/M$53)&gt;=31,0,INDEX(Data_EPA_Survival!$C$5:$C$36,INT(($A83/M$53))+1)+(($A83/M$53)-INT(($A83/M$53)))*(INDEX(Data_EPA_Survival!$C$5:$C$36,INT(($A83/M$53))+2)-INDEX(Data_EPA_Survival!$C$5:$C$36,INT(($A83/M$53))+1)))</f>
        <v/>
      </c>
      <c r="N83" s="26">
        <f>IF(($A83/N$53)&gt;=31,0,INDEX(Data_EPA_Survival!$C$5:$C$36,INT(($A83/N$53))+1)+(($A83/N$53)-INT(($A83/N$53)))*(INDEX(Data_EPA_Survival!$C$5:$C$36,INT(($A83/N$53))+2)-INDEX(Data_EPA_Survival!$C$5:$C$36,INT(($A83/N$53))+1)))</f>
        <v/>
      </c>
      <c r="O83" s="26">
        <f>IF(($A83/O$53)&gt;=31,0,INDEX(Data_EPA_Survival!$C$5:$C$36,INT(($A83/O$53))+1)+(($A83/O$53)-INT(($A83/O$53)))*(INDEX(Data_EPA_Survival!$C$5:$C$36,INT(($A83/O$53))+2)-INDEX(Data_EPA_Survival!$C$5:$C$36,INT(($A83/O$53))+1)))</f>
        <v/>
      </c>
      <c r="P83" s="26">
        <f>IF(($A83/P$53)&gt;=31,0,INDEX(Data_EPA_Survival!$C$5:$C$36,INT(($A83/P$53))+1)+(($A83/P$53)-INT(($A83/P$53)))*(INDEX(Data_EPA_Survival!$C$5:$C$36,INT(($A83/P$53))+2)-INDEX(Data_EPA_Survival!$C$5:$C$36,INT(($A83/P$53))+1)))</f>
        <v/>
      </c>
      <c r="Q83" s="26">
        <f>IF(($A83/Q$53)&gt;=31,0,INDEX(Data_EPA_Survival!$C$5:$C$36,INT(($A83/Q$53))+1)+(($A83/Q$53)-INT(($A83/Q$53)))*(INDEX(Data_EPA_Survival!$C$5:$C$36,INT(($A83/Q$53))+2)-INDEX(Data_EPA_Survival!$C$5:$C$36,INT(($A83/Q$53))+1)))</f>
        <v/>
      </c>
      <c r="R83" s="26">
        <f>IF(($A83/R$53)&gt;=31,0,INDEX(Data_EPA_Survival!$C$5:$C$36,INT(($A83/R$53))+1)+(($A83/R$53)-INT(($A83/R$53)))*(INDEX(Data_EPA_Survival!$C$5:$C$36,INT(($A83/R$53))+2)-INDEX(Data_EPA_Survival!$C$5:$C$36,INT(($A83/R$53))+1)))</f>
        <v/>
      </c>
      <c r="S83" s="26">
        <f>IF(($A83/S$53)&gt;=31,0,INDEX(Data_EPA_Survival!$C$5:$C$36,INT(($A83/S$53))+1)+(($A83/S$53)-INT(($A83/S$53)))*(INDEX(Data_EPA_Survival!$C$5:$C$36,INT(($A83/S$53))+2)-INDEX(Data_EPA_Survival!$C$5:$C$36,INT(($A83/S$53))+1)))</f>
        <v/>
      </c>
      <c r="T83" s="26">
        <f>IF(($A83/T$53)&gt;=31,0,INDEX(Data_EPA_Survival!$C$5:$C$36,INT(($A83/T$53))+1)+(($A83/T$53)-INT(($A83/T$53)))*(INDEX(Data_EPA_Survival!$C$5:$C$36,INT(($A83/T$53))+2)-INDEX(Data_EPA_Survival!$C$5:$C$36,INT(($A83/T$53))+1)))</f>
        <v/>
      </c>
    </row>
    <row r="84">
      <c r="A84" s="9" t="n">
        <v>29</v>
      </c>
      <c r="C84" s="26">
        <f>IF(($A84/C$53)&gt;=31,0,INDEX(Data_EPA_Survival!$C$5:$C$36,INT(($A84/C$53))+1)+(($A84/C$53)-INT(($A84/C$53)))*(INDEX(Data_EPA_Survival!$C$5:$C$36,INT(($A84/C$53))+2)-INDEX(Data_EPA_Survival!$C$5:$C$36,INT(($A84/C$53))+1)))</f>
        <v/>
      </c>
      <c r="D84" s="26">
        <f>IF(($A84/D$53)&gt;=31,0,INDEX(Data_EPA_Survival!$C$5:$C$36,INT(($A84/D$53))+1)+(($A84/D$53)-INT(($A84/D$53)))*(INDEX(Data_EPA_Survival!$C$5:$C$36,INT(($A84/D$53))+2)-INDEX(Data_EPA_Survival!$C$5:$C$36,INT(($A84/D$53))+1)))</f>
        <v/>
      </c>
      <c r="E84" s="26">
        <f>IF(($A84/E$53)&gt;=31,0,INDEX(Data_EPA_Survival!$C$5:$C$36,INT(($A84/E$53))+1)+(($A84/E$53)-INT(($A84/E$53)))*(INDEX(Data_EPA_Survival!$C$5:$C$36,INT(($A84/E$53))+2)-INDEX(Data_EPA_Survival!$C$5:$C$36,INT(($A84/E$53))+1)))</f>
        <v/>
      </c>
      <c r="F84" s="26">
        <f>IF(($A84/F$53)&gt;=31,0,INDEX(Data_EPA_Survival!$C$5:$C$36,INT(($A84/F$53))+1)+(($A84/F$53)-INT(($A84/F$53)))*(INDEX(Data_EPA_Survival!$C$5:$C$36,INT(($A84/F$53))+2)-INDEX(Data_EPA_Survival!$C$5:$C$36,INT(($A84/F$53))+1)))</f>
        <v/>
      </c>
      <c r="G84" s="26">
        <f>IF(($A84/G$53)&gt;=31,0,INDEX(Data_EPA_Survival!$C$5:$C$36,INT(($A84/G$53))+1)+(($A84/G$53)-INT(($A84/G$53)))*(INDEX(Data_EPA_Survival!$C$5:$C$36,INT(($A84/G$53))+2)-INDEX(Data_EPA_Survival!$C$5:$C$36,INT(($A84/G$53))+1)))</f>
        <v/>
      </c>
      <c r="H84" s="26">
        <f>IF(($A84/H$53)&gt;=31,0,INDEX(Data_EPA_Survival!$C$5:$C$36,INT(($A84/H$53))+1)+(($A84/H$53)-INT(($A84/H$53)))*(INDEX(Data_EPA_Survival!$C$5:$C$36,INT(($A84/H$53))+2)-INDEX(Data_EPA_Survival!$C$5:$C$36,INT(($A84/H$53))+1)))</f>
        <v/>
      </c>
      <c r="I84" s="26">
        <f>IF(($A84/I$53)&gt;=31,0,INDEX(Data_EPA_Survival!$C$5:$C$36,INT(($A84/I$53))+1)+(($A84/I$53)-INT(($A84/I$53)))*(INDEX(Data_EPA_Survival!$C$5:$C$36,INT(($A84/I$53))+2)-INDEX(Data_EPA_Survival!$C$5:$C$36,INT(($A84/I$53))+1)))</f>
        <v/>
      </c>
      <c r="J84" s="26">
        <f>IF(($A84/J$53)&gt;=31,0,INDEX(Data_EPA_Survival!$C$5:$C$36,INT(($A84/J$53))+1)+(($A84/J$53)-INT(($A84/J$53)))*(INDEX(Data_EPA_Survival!$C$5:$C$36,INT(($A84/J$53))+2)-INDEX(Data_EPA_Survival!$C$5:$C$36,INT(($A84/J$53))+1)))</f>
        <v/>
      </c>
      <c r="K84" s="26">
        <f>IF(($A84/K$53)&gt;=31,0,INDEX(Data_EPA_Survival!$C$5:$C$36,INT(($A84/K$53))+1)+(($A84/K$53)-INT(($A84/K$53)))*(INDEX(Data_EPA_Survival!$C$5:$C$36,INT(($A84/K$53))+2)-INDEX(Data_EPA_Survival!$C$5:$C$36,INT(($A84/K$53))+1)))</f>
        <v/>
      </c>
      <c r="L84" s="26">
        <f>IF(($A84/L$53)&gt;=31,0,INDEX(Data_EPA_Survival!$C$5:$C$36,INT(($A84/L$53))+1)+(($A84/L$53)-INT(($A84/L$53)))*(INDEX(Data_EPA_Survival!$C$5:$C$36,INT(($A84/L$53))+2)-INDEX(Data_EPA_Survival!$C$5:$C$36,INT(($A84/L$53))+1)))</f>
        <v/>
      </c>
      <c r="M84" s="26">
        <f>IF(($A84/M$53)&gt;=31,0,INDEX(Data_EPA_Survival!$C$5:$C$36,INT(($A84/M$53))+1)+(($A84/M$53)-INT(($A84/M$53)))*(INDEX(Data_EPA_Survival!$C$5:$C$36,INT(($A84/M$53))+2)-INDEX(Data_EPA_Survival!$C$5:$C$36,INT(($A84/M$53))+1)))</f>
        <v/>
      </c>
      <c r="N84" s="26">
        <f>IF(($A84/N$53)&gt;=31,0,INDEX(Data_EPA_Survival!$C$5:$C$36,INT(($A84/N$53))+1)+(($A84/N$53)-INT(($A84/N$53)))*(INDEX(Data_EPA_Survival!$C$5:$C$36,INT(($A84/N$53))+2)-INDEX(Data_EPA_Survival!$C$5:$C$36,INT(($A84/N$53))+1)))</f>
        <v/>
      </c>
      <c r="O84" s="26">
        <f>IF(($A84/O$53)&gt;=31,0,INDEX(Data_EPA_Survival!$C$5:$C$36,INT(($A84/O$53))+1)+(($A84/O$53)-INT(($A84/O$53)))*(INDEX(Data_EPA_Survival!$C$5:$C$36,INT(($A84/O$53))+2)-INDEX(Data_EPA_Survival!$C$5:$C$36,INT(($A84/O$53))+1)))</f>
        <v/>
      </c>
      <c r="P84" s="26">
        <f>IF(($A84/P$53)&gt;=31,0,INDEX(Data_EPA_Survival!$C$5:$C$36,INT(($A84/P$53))+1)+(($A84/P$53)-INT(($A84/P$53)))*(INDEX(Data_EPA_Survival!$C$5:$C$36,INT(($A84/P$53))+2)-INDEX(Data_EPA_Survival!$C$5:$C$36,INT(($A84/P$53))+1)))</f>
        <v/>
      </c>
      <c r="Q84" s="26">
        <f>IF(($A84/Q$53)&gt;=31,0,INDEX(Data_EPA_Survival!$C$5:$C$36,INT(($A84/Q$53))+1)+(($A84/Q$53)-INT(($A84/Q$53)))*(INDEX(Data_EPA_Survival!$C$5:$C$36,INT(($A84/Q$53))+2)-INDEX(Data_EPA_Survival!$C$5:$C$36,INT(($A84/Q$53))+1)))</f>
        <v/>
      </c>
      <c r="R84" s="26">
        <f>IF(($A84/R$53)&gt;=31,0,INDEX(Data_EPA_Survival!$C$5:$C$36,INT(($A84/R$53))+1)+(($A84/R$53)-INT(($A84/R$53)))*(INDEX(Data_EPA_Survival!$C$5:$C$36,INT(($A84/R$53))+2)-INDEX(Data_EPA_Survival!$C$5:$C$36,INT(($A84/R$53))+1)))</f>
        <v/>
      </c>
      <c r="S84" s="26">
        <f>IF(($A84/S$53)&gt;=31,0,INDEX(Data_EPA_Survival!$C$5:$C$36,INT(($A84/S$53))+1)+(($A84/S$53)-INT(($A84/S$53)))*(INDEX(Data_EPA_Survival!$C$5:$C$36,INT(($A84/S$53))+2)-INDEX(Data_EPA_Survival!$C$5:$C$36,INT(($A84/S$53))+1)))</f>
        <v/>
      </c>
      <c r="T84" s="26">
        <f>IF(($A84/T$53)&gt;=31,0,INDEX(Data_EPA_Survival!$C$5:$C$36,INT(($A84/T$53))+1)+(($A84/T$53)-INT(($A84/T$53)))*(INDEX(Data_EPA_Survival!$C$5:$C$36,INT(($A84/T$53))+2)-INDEX(Data_EPA_Survival!$C$5:$C$36,INT(($A84/T$53))+1)))</f>
        <v/>
      </c>
    </row>
    <row r="85">
      <c r="A85" s="9" t="n">
        <v>30</v>
      </c>
      <c r="C85" s="26">
        <f>IF(($A85/C$53)&gt;=31,0,INDEX(Data_EPA_Survival!$C$5:$C$36,INT(($A85/C$53))+1)+(($A85/C$53)-INT(($A85/C$53)))*(INDEX(Data_EPA_Survival!$C$5:$C$36,INT(($A85/C$53))+2)-INDEX(Data_EPA_Survival!$C$5:$C$36,INT(($A85/C$53))+1)))</f>
        <v/>
      </c>
      <c r="D85" s="26">
        <f>IF(($A85/D$53)&gt;=31,0,INDEX(Data_EPA_Survival!$C$5:$C$36,INT(($A85/D$53))+1)+(($A85/D$53)-INT(($A85/D$53)))*(INDEX(Data_EPA_Survival!$C$5:$C$36,INT(($A85/D$53))+2)-INDEX(Data_EPA_Survival!$C$5:$C$36,INT(($A85/D$53))+1)))</f>
        <v/>
      </c>
      <c r="E85" s="26">
        <f>IF(($A85/E$53)&gt;=31,0,INDEX(Data_EPA_Survival!$C$5:$C$36,INT(($A85/E$53))+1)+(($A85/E$53)-INT(($A85/E$53)))*(INDEX(Data_EPA_Survival!$C$5:$C$36,INT(($A85/E$53))+2)-INDEX(Data_EPA_Survival!$C$5:$C$36,INT(($A85/E$53))+1)))</f>
        <v/>
      </c>
      <c r="F85" s="26">
        <f>IF(($A85/F$53)&gt;=31,0,INDEX(Data_EPA_Survival!$C$5:$C$36,INT(($A85/F$53))+1)+(($A85/F$53)-INT(($A85/F$53)))*(INDEX(Data_EPA_Survival!$C$5:$C$36,INT(($A85/F$53))+2)-INDEX(Data_EPA_Survival!$C$5:$C$36,INT(($A85/F$53))+1)))</f>
        <v/>
      </c>
      <c r="G85" s="26">
        <f>IF(($A85/G$53)&gt;=31,0,INDEX(Data_EPA_Survival!$C$5:$C$36,INT(($A85/G$53))+1)+(($A85/G$53)-INT(($A85/G$53)))*(INDEX(Data_EPA_Survival!$C$5:$C$36,INT(($A85/G$53))+2)-INDEX(Data_EPA_Survival!$C$5:$C$36,INT(($A85/G$53))+1)))</f>
        <v/>
      </c>
      <c r="H85" s="26">
        <f>IF(($A85/H$53)&gt;=31,0,INDEX(Data_EPA_Survival!$C$5:$C$36,INT(($A85/H$53))+1)+(($A85/H$53)-INT(($A85/H$53)))*(INDEX(Data_EPA_Survival!$C$5:$C$36,INT(($A85/H$53))+2)-INDEX(Data_EPA_Survival!$C$5:$C$36,INT(($A85/H$53))+1)))</f>
        <v/>
      </c>
      <c r="I85" s="26">
        <f>IF(($A85/I$53)&gt;=31,0,INDEX(Data_EPA_Survival!$C$5:$C$36,INT(($A85/I$53))+1)+(($A85/I$53)-INT(($A85/I$53)))*(INDEX(Data_EPA_Survival!$C$5:$C$36,INT(($A85/I$53))+2)-INDEX(Data_EPA_Survival!$C$5:$C$36,INT(($A85/I$53))+1)))</f>
        <v/>
      </c>
      <c r="J85" s="26">
        <f>IF(($A85/J$53)&gt;=31,0,INDEX(Data_EPA_Survival!$C$5:$C$36,INT(($A85/J$53))+1)+(($A85/J$53)-INT(($A85/J$53)))*(INDEX(Data_EPA_Survival!$C$5:$C$36,INT(($A85/J$53))+2)-INDEX(Data_EPA_Survival!$C$5:$C$36,INT(($A85/J$53))+1)))</f>
        <v/>
      </c>
      <c r="K85" s="26">
        <f>IF(($A85/K$53)&gt;=31,0,INDEX(Data_EPA_Survival!$C$5:$C$36,INT(($A85/K$53))+1)+(($A85/K$53)-INT(($A85/K$53)))*(INDEX(Data_EPA_Survival!$C$5:$C$36,INT(($A85/K$53))+2)-INDEX(Data_EPA_Survival!$C$5:$C$36,INT(($A85/K$53))+1)))</f>
        <v/>
      </c>
      <c r="L85" s="26">
        <f>IF(($A85/L$53)&gt;=31,0,INDEX(Data_EPA_Survival!$C$5:$C$36,INT(($A85/L$53))+1)+(($A85/L$53)-INT(($A85/L$53)))*(INDEX(Data_EPA_Survival!$C$5:$C$36,INT(($A85/L$53))+2)-INDEX(Data_EPA_Survival!$C$5:$C$36,INT(($A85/L$53))+1)))</f>
        <v/>
      </c>
      <c r="M85" s="26">
        <f>IF(($A85/M$53)&gt;=31,0,INDEX(Data_EPA_Survival!$C$5:$C$36,INT(($A85/M$53))+1)+(($A85/M$53)-INT(($A85/M$53)))*(INDEX(Data_EPA_Survival!$C$5:$C$36,INT(($A85/M$53))+2)-INDEX(Data_EPA_Survival!$C$5:$C$36,INT(($A85/M$53))+1)))</f>
        <v/>
      </c>
      <c r="N85" s="26">
        <f>IF(($A85/N$53)&gt;=31,0,INDEX(Data_EPA_Survival!$C$5:$C$36,INT(($A85/N$53))+1)+(($A85/N$53)-INT(($A85/N$53)))*(INDEX(Data_EPA_Survival!$C$5:$C$36,INT(($A85/N$53))+2)-INDEX(Data_EPA_Survival!$C$5:$C$36,INT(($A85/N$53))+1)))</f>
        <v/>
      </c>
      <c r="O85" s="26">
        <f>IF(($A85/O$53)&gt;=31,0,INDEX(Data_EPA_Survival!$C$5:$C$36,INT(($A85/O$53))+1)+(($A85/O$53)-INT(($A85/O$53)))*(INDEX(Data_EPA_Survival!$C$5:$C$36,INT(($A85/O$53))+2)-INDEX(Data_EPA_Survival!$C$5:$C$36,INT(($A85/O$53))+1)))</f>
        <v/>
      </c>
      <c r="P85" s="26">
        <f>IF(($A85/P$53)&gt;=31,0,INDEX(Data_EPA_Survival!$C$5:$C$36,INT(($A85/P$53))+1)+(($A85/P$53)-INT(($A85/P$53)))*(INDEX(Data_EPA_Survival!$C$5:$C$36,INT(($A85/P$53))+2)-INDEX(Data_EPA_Survival!$C$5:$C$36,INT(($A85/P$53))+1)))</f>
        <v/>
      </c>
      <c r="Q85" s="26">
        <f>IF(($A85/Q$53)&gt;=31,0,INDEX(Data_EPA_Survival!$C$5:$C$36,INT(($A85/Q$53))+1)+(($A85/Q$53)-INT(($A85/Q$53)))*(INDEX(Data_EPA_Survival!$C$5:$C$36,INT(($A85/Q$53))+2)-INDEX(Data_EPA_Survival!$C$5:$C$36,INT(($A85/Q$53))+1)))</f>
        <v/>
      </c>
      <c r="R85" s="26">
        <f>IF(($A85/R$53)&gt;=31,0,INDEX(Data_EPA_Survival!$C$5:$C$36,INT(($A85/R$53))+1)+(($A85/R$53)-INT(($A85/R$53)))*(INDEX(Data_EPA_Survival!$C$5:$C$36,INT(($A85/R$53))+2)-INDEX(Data_EPA_Survival!$C$5:$C$36,INT(($A85/R$53))+1)))</f>
        <v/>
      </c>
      <c r="S85" s="26">
        <f>IF(($A85/S$53)&gt;=31,0,INDEX(Data_EPA_Survival!$C$5:$C$36,INT(($A85/S$53))+1)+(($A85/S$53)-INT(($A85/S$53)))*(INDEX(Data_EPA_Survival!$C$5:$C$36,INT(($A85/S$53))+2)-INDEX(Data_EPA_Survival!$C$5:$C$36,INT(($A85/S$53))+1)))</f>
        <v/>
      </c>
      <c r="T85" s="26">
        <f>IF(($A85/T$53)&gt;=31,0,INDEX(Data_EPA_Survival!$C$5:$C$36,INT(($A85/T$53))+1)+(($A85/T$53)-INT(($A85/T$53)))*(INDEX(Data_EPA_Survival!$C$5:$C$36,INT(($A85/T$53))+2)-INDEX(Data_EPA_Survival!$C$5:$C$36,INT(($A85/T$53))+1)))</f>
        <v/>
      </c>
    </row>
    <row r="86">
      <c r="A86" s="9" t="n">
        <v>31</v>
      </c>
      <c r="C86" s="26">
        <f>IF(($A86/C$53)&gt;=31,0,INDEX(Data_EPA_Survival!$C$5:$C$36,INT(($A86/C$53))+1)+(($A86/C$53)-INT(($A86/C$53)))*(INDEX(Data_EPA_Survival!$C$5:$C$36,INT(($A86/C$53))+2)-INDEX(Data_EPA_Survival!$C$5:$C$36,INT(($A86/C$53))+1)))</f>
        <v/>
      </c>
      <c r="D86" s="26">
        <f>IF(($A86/D$53)&gt;=31,0,INDEX(Data_EPA_Survival!$C$5:$C$36,INT(($A86/D$53))+1)+(($A86/D$53)-INT(($A86/D$53)))*(INDEX(Data_EPA_Survival!$C$5:$C$36,INT(($A86/D$53))+2)-INDEX(Data_EPA_Survival!$C$5:$C$36,INT(($A86/D$53))+1)))</f>
        <v/>
      </c>
      <c r="E86" s="26">
        <f>IF(($A86/E$53)&gt;=31,0,INDEX(Data_EPA_Survival!$C$5:$C$36,INT(($A86/E$53))+1)+(($A86/E$53)-INT(($A86/E$53)))*(INDEX(Data_EPA_Survival!$C$5:$C$36,INT(($A86/E$53))+2)-INDEX(Data_EPA_Survival!$C$5:$C$36,INT(($A86/E$53))+1)))</f>
        <v/>
      </c>
      <c r="F86" s="26">
        <f>IF(($A86/F$53)&gt;=31,0,INDEX(Data_EPA_Survival!$C$5:$C$36,INT(($A86/F$53))+1)+(($A86/F$53)-INT(($A86/F$53)))*(INDEX(Data_EPA_Survival!$C$5:$C$36,INT(($A86/F$53))+2)-INDEX(Data_EPA_Survival!$C$5:$C$36,INT(($A86/F$53))+1)))</f>
        <v/>
      </c>
      <c r="G86" s="26">
        <f>IF(($A86/G$53)&gt;=31,0,INDEX(Data_EPA_Survival!$C$5:$C$36,INT(($A86/G$53))+1)+(($A86/G$53)-INT(($A86/G$53)))*(INDEX(Data_EPA_Survival!$C$5:$C$36,INT(($A86/G$53))+2)-INDEX(Data_EPA_Survival!$C$5:$C$36,INT(($A86/G$53))+1)))</f>
        <v/>
      </c>
      <c r="H86" s="26">
        <f>IF(($A86/H$53)&gt;=31,0,INDEX(Data_EPA_Survival!$C$5:$C$36,INT(($A86/H$53))+1)+(($A86/H$53)-INT(($A86/H$53)))*(INDEX(Data_EPA_Survival!$C$5:$C$36,INT(($A86/H$53))+2)-INDEX(Data_EPA_Survival!$C$5:$C$36,INT(($A86/H$53))+1)))</f>
        <v/>
      </c>
      <c r="I86" s="26">
        <f>IF(($A86/I$53)&gt;=31,0,INDEX(Data_EPA_Survival!$C$5:$C$36,INT(($A86/I$53))+1)+(($A86/I$53)-INT(($A86/I$53)))*(INDEX(Data_EPA_Survival!$C$5:$C$36,INT(($A86/I$53))+2)-INDEX(Data_EPA_Survival!$C$5:$C$36,INT(($A86/I$53))+1)))</f>
        <v/>
      </c>
      <c r="J86" s="26">
        <f>IF(($A86/J$53)&gt;=31,0,INDEX(Data_EPA_Survival!$C$5:$C$36,INT(($A86/J$53))+1)+(($A86/J$53)-INT(($A86/J$53)))*(INDEX(Data_EPA_Survival!$C$5:$C$36,INT(($A86/J$53))+2)-INDEX(Data_EPA_Survival!$C$5:$C$36,INT(($A86/J$53))+1)))</f>
        <v/>
      </c>
      <c r="K86" s="26">
        <f>IF(($A86/K$53)&gt;=31,0,INDEX(Data_EPA_Survival!$C$5:$C$36,INT(($A86/K$53))+1)+(($A86/K$53)-INT(($A86/K$53)))*(INDEX(Data_EPA_Survival!$C$5:$C$36,INT(($A86/K$53))+2)-INDEX(Data_EPA_Survival!$C$5:$C$36,INT(($A86/K$53))+1)))</f>
        <v/>
      </c>
      <c r="L86" s="26">
        <f>IF(($A86/L$53)&gt;=31,0,INDEX(Data_EPA_Survival!$C$5:$C$36,INT(($A86/L$53))+1)+(($A86/L$53)-INT(($A86/L$53)))*(INDEX(Data_EPA_Survival!$C$5:$C$36,INT(($A86/L$53))+2)-INDEX(Data_EPA_Survival!$C$5:$C$36,INT(($A86/L$53))+1)))</f>
        <v/>
      </c>
      <c r="M86" s="26">
        <f>IF(($A86/M$53)&gt;=31,0,INDEX(Data_EPA_Survival!$C$5:$C$36,INT(($A86/M$53))+1)+(($A86/M$53)-INT(($A86/M$53)))*(INDEX(Data_EPA_Survival!$C$5:$C$36,INT(($A86/M$53))+2)-INDEX(Data_EPA_Survival!$C$5:$C$36,INT(($A86/M$53))+1)))</f>
        <v/>
      </c>
      <c r="N86" s="26">
        <f>IF(($A86/N$53)&gt;=31,0,INDEX(Data_EPA_Survival!$C$5:$C$36,INT(($A86/N$53))+1)+(($A86/N$53)-INT(($A86/N$53)))*(INDEX(Data_EPA_Survival!$C$5:$C$36,INT(($A86/N$53))+2)-INDEX(Data_EPA_Survival!$C$5:$C$36,INT(($A86/N$53))+1)))</f>
        <v/>
      </c>
      <c r="O86" s="26">
        <f>IF(($A86/O$53)&gt;=31,0,INDEX(Data_EPA_Survival!$C$5:$C$36,INT(($A86/O$53))+1)+(($A86/O$53)-INT(($A86/O$53)))*(INDEX(Data_EPA_Survival!$C$5:$C$36,INT(($A86/O$53))+2)-INDEX(Data_EPA_Survival!$C$5:$C$36,INT(($A86/O$53))+1)))</f>
        <v/>
      </c>
      <c r="P86" s="26">
        <f>IF(($A86/P$53)&gt;=31,0,INDEX(Data_EPA_Survival!$C$5:$C$36,INT(($A86/P$53))+1)+(($A86/P$53)-INT(($A86/P$53)))*(INDEX(Data_EPA_Survival!$C$5:$C$36,INT(($A86/P$53))+2)-INDEX(Data_EPA_Survival!$C$5:$C$36,INT(($A86/P$53))+1)))</f>
        <v/>
      </c>
      <c r="Q86" s="26">
        <f>IF(($A86/Q$53)&gt;=31,0,INDEX(Data_EPA_Survival!$C$5:$C$36,INT(($A86/Q$53))+1)+(($A86/Q$53)-INT(($A86/Q$53)))*(INDEX(Data_EPA_Survival!$C$5:$C$36,INT(($A86/Q$53))+2)-INDEX(Data_EPA_Survival!$C$5:$C$36,INT(($A86/Q$53))+1)))</f>
        <v/>
      </c>
      <c r="R86" s="26">
        <f>IF(($A86/R$53)&gt;=31,0,INDEX(Data_EPA_Survival!$C$5:$C$36,INT(($A86/R$53))+1)+(($A86/R$53)-INT(($A86/R$53)))*(INDEX(Data_EPA_Survival!$C$5:$C$36,INT(($A86/R$53))+2)-INDEX(Data_EPA_Survival!$C$5:$C$36,INT(($A86/R$53))+1)))</f>
        <v/>
      </c>
      <c r="S86" s="26">
        <f>IF(($A86/S$53)&gt;=31,0,INDEX(Data_EPA_Survival!$C$5:$C$36,INT(($A86/S$53))+1)+(($A86/S$53)-INT(($A86/S$53)))*(INDEX(Data_EPA_Survival!$C$5:$C$36,INT(($A86/S$53))+2)-INDEX(Data_EPA_Survival!$C$5:$C$36,INT(($A86/S$53))+1)))</f>
        <v/>
      </c>
      <c r="T86" s="26">
        <f>IF(($A86/T$53)&gt;=31,0,INDEX(Data_EPA_Survival!$C$5:$C$36,INT(($A86/T$53))+1)+(($A86/T$53)-INT(($A86/T$53)))*(INDEX(Data_EPA_Survival!$C$5:$C$36,INT(($A86/T$53))+2)-INDEX(Data_EPA_Survival!$C$5:$C$36,INT(($A86/T$53))+1)))</f>
        <v/>
      </c>
    </row>
    <row r="87">
      <c r="A87" s="9" t="n">
        <v>32</v>
      </c>
      <c r="C87" s="26">
        <f>IF(($A87/C$53)&gt;=31,0,INDEX(Data_EPA_Survival!$C$5:$C$36,INT(($A87/C$53))+1)+(($A87/C$53)-INT(($A87/C$53)))*(INDEX(Data_EPA_Survival!$C$5:$C$36,INT(($A87/C$53))+2)-INDEX(Data_EPA_Survival!$C$5:$C$36,INT(($A87/C$53))+1)))</f>
        <v/>
      </c>
      <c r="D87" s="26">
        <f>IF(($A87/D$53)&gt;=31,0,INDEX(Data_EPA_Survival!$C$5:$C$36,INT(($A87/D$53))+1)+(($A87/D$53)-INT(($A87/D$53)))*(INDEX(Data_EPA_Survival!$C$5:$C$36,INT(($A87/D$53))+2)-INDEX(Data_EPA_Survival!$C$5:$C$36,INT(($A87/D$53))+1)))</f>
        <v/>
      </c>
      <c r="E87" s="26">
        <f>IF(($A87/E$53)&gt;=31,0,INDEX(Data_EPA_Survival!$C$5:$C$36,INT(($A87/E$53))+1)+(($A87/E$53)-INT(($A87/E$53)))*(INDEX(Data_EPA_Survival!$C$5:$C$36,INT(($A87/E$53))+2)-INDEX(Data_EPA_Survival!$C$5:$C$36,INT(($A87/E$53))+1)))</f>
        <v/>
      </c>
      <c r="F87" s="26">
        <f>IF(($A87/F$53)&gt;=31,0,INDEX(Data_EPA_Survival!$C$5:$C$36,INT(($A87/F$53))+1)+(($A87/F$53)-INT(($A87/F$53)))*(INDEX(Data_EPA_Survival!$C$5:$C$36,INT(($A87/F$53))+2)-INDEX(Data_EPA_Survival!$C$5:$C$36,INT(($A87/F$53))+1)))</f>
        <v/>
      </c>
      <c r="G87" s="26">
        <f>IF(($A87/G$53)&gt;=31,0,INDEX(Data_EPA_Survival!$C$5:$C$36,INT(($A87/G$53))+1)+(($A87/G$53)-INT(($A87/G$53)))*(INDEX(Data_EPA_Survival!$C$5:$C$36,INT(($A87/G$53))+2)-INDEX(Data_EPA_Survival!$C$5:$C$36,INT(($A87/G$53))+1)))</f>
        <v/>
      </c>
      <c r="H87" s="26">
        <f>IF(($A87/H$53)&gt;=31,0,INDEX(Data_EPA_Survival!$C$5:$C$36,INT(($A87/H$53))+1)+(($A87/H$53)-INT(($A87/H$53)))*(INDEX(Data_EPA_Survival!$C$5:$C$36,INT(($A87/H$53))+2)-INDEX(Data_EPA_Survival!$C$5:$C$36,INT(($A87/H$53))+1)))</f>
        <v/>
      </c>
      <c r="I87" s="26">
        <f>IF(($A87/I$53)&gt;=31,0,INDEX(Data_EPA_Survival!$C$5:$C$36,INT(($A87/I$53))+1)+(($A87/I$53)-INT(($A87/I$53)))*(INDEX(Data_EPA_Survival!$C$5:$C$36,INT(($A87/I$53))+2)-INDEX(Data_EPA_Survival!$C$5:$C$36,INT(($A87/I$53))+1)))</f>
        <v/>
      </c>
      <c r="J87" s="26">
        <f>IF(($A87/J$53)&gt;=31,0,INDEX(Data_EPA_Survival!$C$5:$C$36,INT(($A87/J$53))+1)+(($A87/J$53)-INT(($A87/J$53)))*(INDEX(Data_EPA_Survival!$C$5:$C$36,INT(($A87/J$53))+2)-INDEX(Data_EPA_Survival!$C$5:$C$36,INT(($A87/J$53))+1)))</f>
        <v/>
      </c>
      <c r="K87" s="26">
        <f>IF(($A87/K$53)&gt;=31,0,INDEX(Data_EPA_Survival!$C$5:$C$36,INT(($A87/K$53))+1)+(($A87/K$53)-INT(($A87/K$53)))*(INDEX(Data_EPA_Survival!$C$5:$C$36,INT(($A87/K$53))+2)-INDEX(Data_EPA_Survival!$C$5:$C$36,INT(($A87/K$53))+1)))</f>
        <v/>
      </c>
      <c r="L87" s="26">
        <f>IF(($A87/L$53)&gt;=31,0,INDEX(Data_EPA_Survival!$C$5:$C$36,INT(($A87/L$53))+1)+(($A87/L$53)-INT(($A87/L$53)))*(INDEX(Data_EPA_Survival!$C$5:$C$36,INT(($A87/L$53))+2)-INDEX(Data_EPA_Survival!$C$5:$C$36,INT(($A87/L$53))+1)))</f>
        <v/>
      </c>
      <c r="M87" s="26">
        <f>IF(($A87/M$53)&gt;=31,0,INDEX(Data_EPA_Survival!$C$5:$C$36,INT(($A87/M$53))+1)+(($A87/M$53)-INT(($A87/M$53)))*(INDEX(Data_EPA_Survival!$C$5:$C$36,INT(($A87/M$53))+2)-INDEX(Data_EPA_Survival!$C$5:$C$36,INT(($A87/M$53))+1)))</f>
        <v/>
      </c>
      <c r="N87" s="26">
        <f>IF(($A87/N$53)&gt;=31,0,INDEX(Data_EPA_Survival!$C$5:$C$36,INT(($A87/N$53))+1)+(($A87/N$53)-INT(($A87/N$53)))*(INDEX(Data_EPA_Survival!$C$5:$C$36,INT(($A87/N$53))+2)-INDEX(Data_EPA_Survival!$C$5:$C$36,INT(($A87/N$53))+1)))</f>
        <v/>
      </c>
      <c r="O87" s="26">
        <f>IF(($A87/O$53)&gt;=31,0,INDEX(Data_EPA_Survival!$C$5:$C$36,INT(($A87/O$53))+1)+(($A87/O$53)-INT(($A87/O$53)))*(INDEX(Data_EPA_Survival!$C$5:$C$36,INT(($A87/O$53))+2)-INDEX(Data_EPA_Survival!$C$5:$C$36,INT(($A87/O$53))+1)))</f>
        <v/>
      </c>
      <c r="P87" s="26">
        <f>IF(($A87/P$53)&gt;=31,0,INDEX(Data_EPA_Survival!$C$5:$C$36,INT(($A87/P$53))+1)+(($A87/P$53)-INT(($A87/P$53)))*(INDEX(Data_EPA_Survival!$C$5:$C$36,INT(($A87/P$53))+2)-INDEX(Data_EPA_Survival!$C$5:$C$36,INT(($A87/P$53))+1)))</f>
        <v/>
      </c>
      <c r="Q87" s="26">
        <f>IF(($A87/Q$53)&gt;=31,0,INDEX(Data_EPA_Survival!$C$5:$C$36,INT(($A87/Q$53))+1)+(($A87/Q$53)-INT(($A87/Q$53)))*(INDEX(Data_EPA_Survival!$C$5:$C$36,INT(($A87/Q$53))+2)-INDEX(Data_EPA_Survival!$C$5:$C$36,INT(($A87/Q$53))+1)))</f>
        <v/>
      </c>
      <c r="R87" s="26">
        <f>IF(($A87/R$53)&gt;=31,0,INDEX(Data_EPA_Survival!$C$5:$C$36,INT(($A87/R$53))+1)+(($A87/R$53)-INT(($A87/R$53)))*(INDEX(Data_EPA_Survival!$C$5:$C$36,INT(($A87/R$53))+2)-INDEX(Data_EPA_Survival!$C$5:$C$36,INT(($A87/R$53))+1)))</f>
        <v/>
      </c>
      <c r="S87" s="26">
        <f>IF(($A87/S$53)&gt;=31,0,INDEX(Data_EPA_Survival!$C$5:$C$36,INT(($A87/S$53))+1)+(($A87/S$53)-INT(($A87/S$53)))*(INDEX(Data_EPA_Survival!$C$5:$C$36,INT(($A87/S$53))+2)-INDEX(Data_EPA_Survival!$C$5:$C$36,INT(($A87/S$53))+1)))</f>
        <v/>
      </c>
      <c r="T87" s="26">
        <f>IF(($A87/T$53)&gt;=31,0,INDEX(Data_EPA_Survival!$C$5:$C$36,INT(($A87/T$53))+1)+(($A87/T$53)-INT(($A87/T$53)))*(INDEX(Data_EPA_Survival!$C$5:$C$36,INT(($A87/T$53))+2)-INDEX(Data_EPA_Survival!$C$5:$C$36,INT(($A87/T$53))+1)))</f>
        <v/>
      </c>
    </row>
    <row r="88">
      <c r="A88" s="9" t="n">
        <v>33</v>
      </c>
      <c r="C88" s="26">
        <f>IF(($A88/C$53)&gt;=31,0,INDEX(Data_EPA_Survival!$C$5:$C$36,INT(($A88/C$53))+1)+(($A88/C$53)-INT(($A88/C$53)))*(INDEX(Data_EPA_Survival!$C$5:$C$36,INT(($A88/C$53))+2)-INDEX(Data_EPA_Survival!$C$5:$C$36,INT(($A88/C$53))+1)))</f>
        <v/>
      </c>
      <c r="D88" s="26">
        <f>IF(($A88/D$53)&gt;=31,0,INDEX(Data_EPA_Survival!$C$5:$C$36,INT(($A88/D$53))+1)+(($A88/D$53)-INT(($A88/D$53)))*(INDEX(Data_EPA_Survival!$C$5:$C$36,INT(($A88/D$53))+2)-INDEX(Data_EPA_Survival!$C$5:$C$36,INT(($A88/D$53))+1)))</f>
        <v/>
      </c>
      <c r="E88" s="26">
        <f>IF(($A88/E$53)&gt;=31,0,INDEX(Data_EPA_Survival!$C$5:$C$36,INT(($A88/E$53))+1)+(($A88/E$53)-INT(($A88/E$53)))*(INDEX(Data_EPA_Survival!$C$5:$C$36,INT(($A88/E$53))+2)-INDEX(Data_EPA_Survival!$C$5:$C$36,INT(($A88/E$53))+1)))</f>
        <v/>
      </c>
      <c r="F88" s="26">
        <f>IF(($A88/F$53)&gt;=31,0,INDEX(Data_EPA_Survival!$C$5:$C$36,INT(($A88/F$53))+1)+(($A88/F$53)-INT(($A88/F$53)))*(INDEX(Data_EPA_Survival!$C$5:$C$36,INT(($A88/F$53))+2)-INDEX(Data_EPA_Survival!$C$5:$C$36,INT(($A88/F$53))+1)))</f>
        <v/>
      </c>
      <c r="G88" s="26">
        <f>IF(($A88/G$53)&gt;=31,0,INDEX(Data_EPA_Survival!$C$5:$C$36,INT(($A88/G$53))+1)+(($A88/G$53)-INT(($A88/G$53)))*(INDEX(Data_EPA_Survival!$C$5:$C$36,INT(($A88/G$53))+2)-INDEX(Data_EPA_Survival!$C$5:$C$36,INT(($A88/G$53))+1)))</f>
        <v/>
      </c>
      <c r="H88" s="26">
        <f>IF(($A88/H$53)&gt;=31,0,INDEX(Data_EPA_Survival!$C$5:$C$36,INT(($A88/H$53))+1)+(($A88/H$53)-INT(($A88/H$53)))*(INDEX(Data_EPA_Survival!$C$5:$C$36,INT(($A88/H$53))+2)-INDEX(Data_EPA_Survival!$C$5:$C$36,INT(($A88/H$53))+1)))</f>
        <v/>
      </c>
      <c r="I88" s="26">
        <f>IF(($A88/I$53)&gt;=31,0,INDEX(Data_EPA_Survival!$C$5:$C$36,INT(($A88/I$53))+1)+(($A88/I$53)-INT(($A88/I$53)))*(INDEX(Data_EPA_Survival!$C$5:$C$36,INT(($A88/I$53))+2)-INDEX(Data_EPA_Survival!$C$5:$C$36,INT(($A88/I$53))+1)))</f>
        <v/>
      </c>
      <c r="J88" s="26">
        <f>IF(($A88/J$53)&gt;=31,0,INDEX(Data_EPA_Survival!$C$5:$C$36,INT(($A88/J$53))+1)+(($A88/J$53)-INT(($A88/J$53)))*(INDEX(Data_EPA_Survival!$C$5:$C$36,INT(($A88/J$53))+2)-INDEX(Data_EPA_Survival!$C$5:$C$36,INT(($A88/J$53))+1)))</f>
        <v/>
      </c>
      <c r="K88" s="26">
        <f>IF(($A88/K$53)&gt;=31,0,INDEX(Data_EPA_Survival!$C$5:$C$36,INT(($A88/K$53))+1)+(($A88/K$53)-INT(($A88/K$53)))*(INDEX(Data_EPA_Survival!$C$5:$C$36,INT(($A88/K$53))+2)-INDEX(Data_EPA_Survival!$C$5:$C$36,INT(($A88/K$53))+1)))</f>
        <v/>
      </c>
      <c r="L88" s="26">
        <f>IF(($A88/L$53)&gt;=31,0,INDEX(Data_EPA_Survival!$C$5:$C$36,INT(($A88/L$53))+1)+(($A88/L$53)-INT(($A88/L$53)))*(INDEX(Data_EPA_Survival!$C$5:$C$36,INT(($A88/L$53))+2)-INDEX(Data_EPA_Survival!$C$5:$C$36,INT(($A88/L$53))+1)))</f>
        <v/>
      </c>
      <c r="M88" s="26">
        <f>IF(($A88/M$53)&gt;=31,0,INDEX(Data_EPA_Survival!$C$5:$C$36,INT(($A88/M$53))+1)+(($A88/M$53)-INT(($A88/M$53)))*(INDEX(Data_EPA_Survival!$C$5:$C$36,INT(($A88/M$53))+2)-INDEX(Data_EPA_Survival!$C$5:$C$36,INT(($A88/M$53))+1)))</f>
        <v/>
      </c>
      <c r="N88" s="26">
        <f>IF(($A88/N$53)&gt;=31,0,INDEX(Data_EPA_Survival!$C$5:$C$36,INT(($A88/N$53))+1)+(($A88/N$53)-INT(($A88/N$53)))*(INDEX(Data_EPA_Survival!$C$5:$C$36,INT(($A88/N$53))+2)-INDEX(Data_EPA_Survival!$C$5:$C$36,INT(($A88/N$53))+1)))</f>
        <v/>
      </c>
      <c r="O88" s="26">
        <f>IF(($A88/O$53)&gt;=31,0,INDEX(Data_EPA_Survival!$C$5:$C$36,INT(($A88/O$53))+1)+(($A88/O$53)-INT(($A88/O$53)))*(INDEX(Data_EPA_Survival!$C$5:$C$36,INT(($A88/O$53))+2)-INDEX(Data_EPA_Survival!$C$5:$C$36,INT(($A88/O$53))+1)))</f>
        <v/>
      </c>
      <c r="P88" s="26">
        <f>IF(($A88/P$53)&gt;=31,0,INDEX(Data_EPA_Survival!$C$5:$C$36,INT(($A88/P$53))+1)+(($A88/P$53)-INT(($A88/P$53)))*(INDEX(Data_EPA_Survival!$C$5:$C$36,INT(($A88/P$53))+2)-INDEX(Data_EPA_Survival!$C$5:$C$36,INT(($A88/P$53))+1)))</f>
        <v/>
      </c>
      <c r="Q88" s="26">
        <f>IF(($A88/Q$53)&gt;=31,0,INDEX(Data_EPA_Survival!$C$5:$C$36,INT(($A88/Q$53))+1)+(($A88/Q$53)-INT(($A88/Q$53)))*(INDEX(Data_EPA_Survival!$C$5:$C$36,INT(($A88/Q$53))+2)-INDEX(Data_EPA_Survival!$C$5:$C$36,INT(($A88/Q$53))+1)))</f>
        <v/>
      </c>
      <c r="R88" s="26">
        <f>IF(($A88/R$53)&gt;=31,0,INDEX(Data_EPA_Survival!$C$5:$C$36,INT(($A88/R$53))+1)+(($A88/R$53)-INT(($A88/R$53)))*(INDEX(Data_EPA_Survival!$C$5:$C$36,INT(($A88/R$53))+2)-INDEX(Data_EPA_Survival!$C$5:$C$36,INT(($A88/R$53))+1)))</f>
        <v/>
      </c>
      <c r="S88" s="26">
        <f>IF(($A88/S$53)&gt;=31,0,INDEX(Data_EPA_Survival!$C$5:$C$36,INT(($A88/S$53))+1)+(($A88/S$53)-INT(($A88/S$53)))*(INDEX(Data_EPA_Survival!$C$5:$C$36,INT(($A88/S$53))+2)-INDEX(Data_EPA_Survival!$C$5:$C$36,INT(($A88/S$53))+1)))</f>
        <v/>
      </c>
      <c r="T88" s="26">
        <f>IF(($A88/T$53)&gt;=31,0,INDEX(Data_EPA_Survival!$C$5:$C$36,INT(($A88/T$53))+1)+(($A88/T$53)-INT(($A88/T$53)))*(INDEX(Data_EPA_Survival!$C$5:$C$36,INT(($A88/T$53))+2)-INDEX(Data_EPA_Survival!$C$5:$C$36,INT(($A88/T$53))+1)))</f>
        <v/>
      </c>
    </row>
    <row r="89">
      <c r="A89" s="9" t="n">
        <v>34</v>
      </c>
      <c r="C89" s="26">
        <f>IF(($A89/C$53)&gt;=31,0,INDEX(Data_EPA_Survival!$C$5:$C$36,INT(($A89/C$53))+1)+(($A89/C$53)-INT(($A89/C$53)))*(INDEX(Data_EPA_Survival!$C$5:$C$36,INT(($A89/C$53))+2)-INDEX(Data_EPA_Survival!$C$5:$C$36,INT(($A89/C$53))+1)))</f>
        <v/>
      </c>
      <c r="D89" s="26">
        <f>IF(($A89/D$53)&gt;=31,0,INDEX(Data_EPA_Survival!$C$5:$C$36,INT(($A89/D$53))+1)+(($A89/D$53)-INT(($A89/D$53)))*(INDEX(Data_EPA_Survival!$C$5:$C$36,INT(($A89/D$53))+2)-INDEX(Data_EPA_Survival!$C$5:$C$36,INT(($A89/D$53))+1)))</f>
        <v/>
      </c>
      <c r="E89" s="26">
        <f>IF(($A89/E$53)&gt;=31,0,INDEX(Data_EPA_Survival!$C$5:$C$36,INT(($A89/E$53))+1)+(($A89/E$53)-INT(($A89/E$53)))*(INDEX(Data_EPA_Survival!$C$5:$C$36,INT(($A89/E$53))+2)-INDEX(Data_EPA_Survival!$C$5:$C$36,INT(($A89/E$53))+1)))</f>
        <v/>
      </c>
      <c r="F89" s="26">
        <f>IF(($A89/F$53)&gt;=31,0,INDEX(Data_EPA_Survival!$C$5:$C$36,INT(($A89/F$53))+1)+(($A89/F$53)-INT(($A89/F$53)))*(INDEX(Data_EPA_Survival!$C$5:$C$36,INT(($A89/F$53))+2)-INDEX(Data_EPA_Survival!$C$5:$C$36,INT(($A89/F$53))+1)))</f>
        <v/>
      </c>
      <c r="G89" s="26">
        <f>IF(($A89/G$53)&gt;=31,0,INDEX(Data_EPA_Survival!$C$5:$C$36,INT(($A89/G$53))+1)+(($A89/G$53)-INT(($A89/G$53)))*(INDEX(Data_EPA_Survival!$C$5:$C$36,INT(($A89/G$53))+2)-INDEX(Data_EPA_Survival!$C$5:$C$36,INT(($A89/G$53))+1)))</f>
        <v/>
      </c>
      <c r="H89" s="26">
        <f>IF(($A89/H$53)&gt;=31,0,INDEX(Data_EPA_Survival!$C$5:$C$36,INT(($A89/H$53))+1)+(($A89/H$53)-INT(($A89/H$53)))*(INDEX(Data_EPA_Survival!$C$5:$C$36,INT(($A89/H$53))+2)-INDEX(Data_EPA_Survival!$C$5:$C$36,INT(($A89/H$53))+1)))</f>
        <v/>
      </c>
      <c r="I89" s="26">
        <f>IF(($A89/I$53)&gt;=31,0,INDEX(Data_EPA_Survival!$C$5:$C$36,INT(($A89/I$53))+1)+(($A89/I$53)-INT(($A89/I$53)))*(INDEX(Data_EPA_Survival!$C$5:$C$36,INT(($A89/I$53))+2)-INDEX(Data_EPA_Survival!$C$5:$C$36,INT(($A89/I$53))+1)))</f>
        <v/>
      </c>
      <c r="J89" s="26">
        <f>IF(($A89/J$53)&gt;=31,0,INDEX(Data_EPA_Survival!$C$5:$C$36,INT(($A89/J$53))+1)+(($A89/J$53)-INT(($A89/J$53)))*(INDEX(Data_EPA_Survival!$C$5:$C$36,INT(($A89/J$53))+2)-INDEX(Data_EPA_Survival!$C$5:$C$36,INT(($A89/J$53))+1)))</f>
        <v/>
      </c>
      <c r="K89" s="26">
        <f>IF(($A89/K$53)&gt;=31,0,INDEX(Data_EPA_Survival!$C$5:$C$36,INT(($A89/K$53))+1)+(($A89/K$53)-INT(($A89/K$53)))*(INDEX(Data_EPA_Survival!$C$5:$C$36,INT(($A89/K$53))+2)-INDEX(Data_EPA_Survival!$C$5:$C$36,INT(($A89/K$53))+1)))</f>
        <v/>
      </c>
      <c r="L89" s="26">
        <f>IF(($A89/L$53)&gt;=31,0,INDEX(Data_EPA_Survival!$C$5:$C$36,INT(($A89/L$53))+1)+(($A89/L$53)-INT(($A89/L$53)))*(INDEX(Data_EPA_Survival!$C$5:$C$36,INT(($A89/L$53))+2)-INDEX(Data_EPA_Survival!$C$5:$C$36,INT(($A89/L$53))+1)))</f>
        <v/>
      </c>
      <c r="M89" s="26">
        <f>IF(($A89/M$53)&gt;=31,0,INDEX(Data_EPA_Survival!$C$5:$C$36,INT(($A89/M$53))+1)+(($A89/M$53)-INT(($A89/M$53)))*(INDEX(Data_EPA_Survival!$C$5:$C$36,INT(($A89/M$53))+2)-INDEX(Data_EPA_Survival!$C$5:$C$36,INT(($A89/M$53))+1)))</f>
        <v/>
      </c>
      <c r="N89" s="26">
        <f>IF(($A89/N$53)&gt;=31,0,INDEX(Data_EPA_Survival!$C$5:$C$36,INT(($A89/N$53))+1)+(($A89/N$53)-INT(($A89/N$53)))*(INDEX(Data_EPA_Survival!$C$5:$C$36,INT(($A89/N$53))+2)-INDEX(Data_EPA_Survival!$C$5:$C$36,INT(($A89/N$53))+1)))</f>
        <v/>
      </c>
      <c r="O89" s="26">
        <f>IF(($A89/O$53)&gt;=31,0,INDEX(Data_EPA_Survival!$C$5:$C$36,INT(($A89/O$53))+1)+(($A89/O$53)-INT(($A89/O$53)))*(INDEX(Data_EPA_Survival!$C$5:$C$36,INT(($A89/O$53))+2)-INDEX(Data_EPA_Survival!$C$5:$C$36,INT(($A89/O$53))+1)))</f>
        <v/>
      </c>
      <c r="P89" s="26">
        <f>IF(($A89/P$53)&gt;=31,0,INDEX(Data_EPA_Survival!$C$5:$C$36,INT(($A89/P$53))+1)+(($A89/P$53)-INT(($A89/P$53)))*(INDEX(Data_EPA_Survival!$C$5:$C$36,INT(($A89/P$53))+2)-INDEX(Data_EPA_Survival!$C$5:$C$36,INT(($A89/P$53))+1)))</f>
        <v/>
      </c>
      <c r="Q89" s="26">
        <f>IF(($A89/Q$53)&gt;=31,0,INDEX(Data_EPA_Survival!$C$5:$C$36,INT(($A89/Q$53))+1)+(($A89/Q$53)-INT(($A89/Q$53)))*(INDEX(Data_EPA_Survival!$C$5:$C$36,INT(($A89/Q$53))+2)-INDEX(Data_EPA_Survival!$C$5:$C$36,INT(($A89/Q$53))+1)))</f>
        <v/>
      </c>
      <c r="R89" s="26">
        <f>IF(($A89/R$53)&gt;=31,0,INDEX(Data_EPA_Survival!$C$5:$C$36,INT(($A89/R$53))+1)+(($A89/R$53)-INT(($A89/R$53)))*(INDEX(Data_EPA_Survival!$C$5:$C$36,INT(($A89/R$53))+2)-INDEX(Data_EPA_Survival!$C$5:$C$36,INT(($A89/R$53))+1)))</f>
        <v/>
      </c>
      <c r="S89" s="26">
        <f>IF(($A89/S$53)&gt;=31,0,INDEX(Data_EPA_Survival!$C$5:$C$36,INT(($A89/S$53))+1)+(($A89/S$53)-INT(($A89/S$53)))*(INDEX(Data_EPA_Survival!$C$5:$C$36,INT(($A89/S$53))+2)-INDEX(Data_EPA_Survival!$C$5:$C$36,INT(($A89/S$53))+1)))</f>
        <v/>
      </c>
      <c r="T89" s="26">
        <f>IF(($A89/T$53)&gt;=31,0,INDEX(Data_EPA_Survival!$C$5:$C$36,INT(($A89/T$53))+1)+(($A89/T$53)-INT(($A89/T$53)))*(INDEX(Data_EPA_Survival!$C$5:$C$36,INT(($A89/T$53))+2)-INDEX(Data_EPA_Survival!$C$5:$C$36,INT(($A89/T$53))+1)))</f>
        <v/>
      </c>
    </row>
    <row r="90">
      <c r="A90" s="9" t="n">
        <v>35</v>
      </c>
      <c r="C90" s="26">
        <f>IF(($A90/C$53)&gt;=31,0,INDEX(Data_EPA_Survival!$C$5:$C$36,INT(($A90/C$53))+1)+(($A90/C$53)-INT(($A90/C$53)))*(INDEX(Data_EPA_Survival!$C$5:$C$36,INT(($A90/C$53))+2)-INDEX(Data_EPA_Survival!$C$5:$C$36,INT(($A90/C$53))+1)))</f>
        <v/>
      </c>
      <c r="D90" s="26">
        <f>IF(($A90/D$53)&gt;=31,0,INDEX(Data_EPA_Survival!$C$5:$C$36,INT(($A90/D$53))+1)+(($A90/D$53)-INT(($A90/D$53)))*(INDEX(Data_EPA_Survival!$C$5:$C$36,INT(($A90/D$53))+2)-INDEX(Data_EPA_Survival!$C$5:$C$36,INT(($A90/D$53))+1)))</f>
        <v/>
      </c>
      <c r="E90" s="26">
        <f>IF(($A90/E$53)&gt;=31,0,INDEX(Data_EPA_Survival!$C$5:$C$36,INT(($A90/E$53))+1)+(($A90/E$53)-INT(($A90/E$53)))*(INDEX(Data_EPA_Survival!$C$5:$C$36,INT(($A90/E$53))+2)-INDEX(Data_EPA_Survival!$C$5:$C$36,INT(($A90/E$53))+1)))</f>
        <v/>
      </c>
      <c r="F90" s="26">
        <f>IF(($A90/F$53)&gt;=31,0,INDEX(Data_EPA_Survival!$C$5:$C$36,INT(($A90/F$53))+1)+(($A90/F$53)-INT(($A90/F$53)))*(INDEX(Data_EPA_Survival!$C$5:$C$36,INT(($A90/F$53))+2)-INDEX(Data_EPA_Survival!$C$5:$C$36,INT(($A90/F$53))+1)))</f>
        <v/>
      </c>
      <c r="G90" s="26">
        <f>IF(($A90/G$53)&gt;=31,0,INDEX(Data_EPA_Survival!$C$5:$C$36,INT(($A90/G$53))+1)+(($A90/G$53)-INT(($A90/G$53)))*(INDEX(Data_EPA_Survival!$C$5:$C$36,INT(($A90/G$53))+2)-INDEX(Data_EPA_Survival!$C$5:$C$36,INT(($A90/G$53))+1)))</f>
        <v/>
      </c>
      <c r="H90" s="26">
        <f>IF(($A90/H$53)&gt;=31,0,INDEX(Data_EPA_Survival!$C$5:$C$36,INT(($A90/H$53))+1)+(($A90/H$53)-INT(($A90/H$53)))*(INDEX(Data_EPA_Survival!$C$5:$C$36,INT(($A90/H$53))+2)-INDEX(Data_EPA_Survival!$C$5:$C$36,INT(($A90/H$53))+1)))</f>
        <v/>
      </c>
      <c r="I90" s="26">
        <f>IF(($A90/I$53)&gt;=31,0,INDEX(Data_EPA_Survival!$C$5:$C$36,INT(($A90/I$53))+1)+(($A90/I$53)-INT(($A90/I$53)))*(INDEX(Data_EPA_Survival!$C$5:$C$36,INT(($A90/I$53))+2)-INDEX(Data_EPA_Survival!$C$5:$C$36,INT(($A90/I$53))+1)))</f>
        <v/>
      </c>
      <c r="J90" s="26">
        <f>IF(($A90/J$53)&gt;=31,0,INDEX(Data_EPA_Survival!$C$5:$C$36,INT(($A90/J$53))+1)+(($A90/J$53)-INT(($A90/J$53)))*(INDEX(Data_EPA_Survival!$C$5:$C$36,INT(($A90/J$53))+2)-INDEX(Data_EPA_Survival!$C$5:$C$36,INT(($A90/J$53))+1)))</f>
        <v/>
      </c>
      <c r="K90" s="26">
        <f>IF(($A90/K$53)&gt;=31,0,INDEX(Data_EPA_Survival!$C$5:$C$36,INT(($A90/K$53))+1)+(($A90/K$53)-INT(($A90/K$53)))*(INDEX(Data_EPA_Survival!$C$5:$C$36,INT(($A90/K$53))+2)-INDEX(Data_EPA_Survival!$C$5:$C$36,INT(($A90/K$53))+1)))</f>
        <v/>
      </c>
      <c r="L90" s="26">
        <f>IF(($A90/L$53)&gt;=31,0,INDEX(Data_EPA_Survival!$C$5:$C$36,INT(($A90/L$53))+1)+(($A90/L$53)-INT(($A90/L$53)))*(INDEX(Data_EPA_Survival!$C$5:$C$36,INT(($A90/L$53))+2)-INDEX(Data_EPA_Survival!$C$5:$C$36,INT(($A90/L$53))+1)))</f>
        <v/>
      </c>
      <c r="M90" s="26">
        <f>IF(($A90/M$53)&gt;=31,0,INDEX(Data_EPA_Survival!$C$5:$C$36,INT(($A90/M$53))+1)+(($A90/M$53)-INT(($A90/M$53)))*(INDEX(Data_EPA_Survival!$C$5:$C$36,INT(($A90/M$53))+2)-INDEX(Data_EPA_Survival!$C$5:$C$36,INT(($A90/M$53))+1)))</f>
        <v/>
      </c>
      <c r="N90" s="26">
        <f>IF(($A90/N$53)&gt;=31,0,INDEX(Data_EPA_Survival!$C$5:$C$36,INT(($A90/N$53))+1)+(($A90/N$53)-INT(($A90/N$53)))*(INDEX(Data_EPA_Survival!$C$5:$C$36,INT(($A90/N$53))+2)-INDEX(Data_EPA_Survival!$C$5:$C$36,INT(($A90/N$53))+1)))</f>
        <v/>
      </c>
      <c r="O90" s="26">
        <f>IF(($A90/O$53)&gt;=31,0,INDEX(Data_EPA_Survival!$C$5:$C$36,INT(($A90/O$53))+1)+(($A90/O$53)-INT(($A90/O$53)))*(INDEX(Data_EPA_Survival!$C$5:$C$36,INT(($A90/O$53))+2)-INDEX(Data_EPA_Survival!$C$5:$C$36,INT(($A90/O$53))+1)))</f>
        <v/>
      </c>
      <c r="P90" s="26">
        <f>IF(($A90/P$53)&gt;=31,0,INDEX(Data_EPA_Survival!$C$5:$C$36,INT(($A90/P$53))+1)+(($A90/P$53)-INT(($A90/P$53)))*(INDEX(Data_EPA_Survival!$C$5:$C$36,INT(($A90/P$53))+2)-INDEX(Data_EPA_Survival!$C$5:$C$36,INT(($A90/P$53))+1)))</f>
        <v/>
      </c>
      <c r="Q90" s="26">
        <f>IF(($A90/Q$53)&gt;=31,0,INDEX(Data_EPA_Survival!$C$5:$C$36,INT(($A90/Q$53))+1)+(($A90/Q$53)-INT(($A90/Q$53)))*(INDEX(Data_EPA_Survival!$C$5:$C$36,INT(($A90/Q$53))+2)-INDEX(Data_EPA_Survival!$C$5:$C$36,INT(($A90/Q$53))+1)))</f>
        <v/>
      </c>
      <c r="R90" s="26">
        <f>IF(($A90/R$53)&gt;=31,0,INDEX(Data_EPA_Survival!$C$5:$C$36,INT(($A90/R$53))+1)+(($A90/R$53)-INT(($A90/R$53)))*(INDEX(Data_EPA_Survival!$C$5:$C$36,INT(($A90/R$53))+2)-INDEX(Data_EPA_Survival!$C$5:$C$36,INT(($A90/R$53))+1)))</f>
        <v/>
      </c>
      <c r="S90" s="26">
        <f>IF(($A90/S$53)&gt;=31,0,INDEX(Data_EPA_Survival!$C$5:$C$36,INT(($A90/S$53))+1)+(($A90/S$53)-INT(($A90/S$53)))*(INDEX(Data_EPA_Survival!$C$5:$C$36,INT(($A90/S$53))+2)-INDEX(Data_EPA_Survival!$C$5:$C$36,INT(($A90/S$53))+1)))</f>
        <v/>
      </c>
      <c r="T90" s="26">
        <f>IF(($A90/T$53)&gt;=31,0,INDEX(Data_EPA_Survival!$C$5:$C$36,INT(($A90/T$53))+1)+(($A90/T$53)-INT(($A90/T$53)))*(INDEX(Data_EPA_Survival!$C$5:$C$36,INT(($A90/T$53))+2)-INDEX(Data_EPA_Survival!$C$5:$C$36,INT(($A90/T$53))+1)))</f>
        <v/>
      </c>
    </row>
    <row r="91">
      <c r="A91" s="9" t="n">
        <v>36</v>
      </c>
      <c r="C91" s="26">
        <f>IF(($A91/C$53)&gt;=31,0,INDEX(Data_EPA_Survival!$C$5:$C$36,INT(($A91/C$53))+1)+(($A91/C$53)-INT(($A91/C$53)))*(INDEX(Data_EPA_Survival!$C$5:$C$36,INT(($A91/C$53))+2)-INDEX(Data_EPA_Survival!$C$5:$C$36,INT(($A91/C$53))+1)))</f>
        <v/>
      </c>
      <c r="D91" s="26">
        <f>IF(($A91/D$53)&gt;=31,0,INDEX(Data_EPA_Survival!$C$5:$C$36,INT(($A91/D$53))+1)+(($A91/D$53)-INT(($A91/D$53)))*(INDEX(Data_EPA_Survival!$C$5:$C$36,INT(($A91/D$53))+2)-INDEX(Data_EPA_Survival!$C$5:$C$36,INT(($A91/D$53))+1)))</f>
        <v/>
      </c>
      <c r="E91" s="26">
        <f>IF(($A91/E$53)&gt;=31,0,INDEX(Data_EPA_Survival!$C$5:$C$36,INT(($A91/E$53))+1)+(($A91/E$53)-INT(($A91/E$53)))*(INDEX(Data_EPA_Survival!$C$5:$C$36,INT(($A91/E$53))+2)-INDEX(Data_EPA_Survival!$C$5:$C$36,INT(($A91/E$53))+1)))</f>
        <v/>
      </c>
      <c r="F91" s="26">
        <f>IF(($A91/F$53)&gt;=31,0,INDEX(Data_EPA_Survival!$C$5:$C$36,INT(($A91/F$53))+1)+(($A91/F$53)-INT(($A91/F$53)))*(INDEX(Data_EPA_Survival!$C$5:$C$36,INT(($A91/F$53))+2)-INDEX(Data_EPA_Survival!$C$5:$C$36,INT(($A91/F$53))+1)))</f>
        <v/>
      </c>
      <c r="G91" s="26">
        <f>IF(($A91/G$53)&gt;=31,0,INDEX(Data_EPA_Survival!$C$5:$C$36,INT(($A91/G$53))+1)+(($A91/G$53)-INT(($A91/G$53)))*(INDEX(Data_EPA_Survival!$C$5:$C$36,INT(($A91/G$53))+2)-INDEX(Data_EPA_Survival!$C$5:$C$36,INT(($A91/G$53))+1)))</f>
        <v/>
      </c>
      <c r="H91" s="26">
        <f>IF(($A91/H$53)&gt;=31,0,INDEX(Data_EPA_Survival!$C$5:$C$36,INT(($A91/H$53))+1)+(($A91/H$53)-INT(($A91/H$53)))*(INDEX(Data_EPA_Survival!$C$5:$C$36,INT(($A91/H$53))+2)-INDEX(Data_EPA_Survival!$C$5:$C$36,INT(($A91/H$53))+1)))</f>
        <v/>
      </c>
      <c r="I91" s="26">
        <f>IF(($A91/I$53)&gt;=31,0,INDEX(Data_EPA_Survival!$C$5:$C$36,INT(($A91/I$53))+1)+(($A91/I$53)-INT(($A91/I$53)))*(INDEX(Data_EPA_Survival!$C$5:$C$36,INT(($A91/I$53))+2)-INDEX(Data_EPA_Survival!$C$5:$C$36,INT(($A91/I$53))+1)))</f>
        <v/>
      </c>
      <c r="J91" s="26">
        <f>IF(($A91/J$53)&gt;=31,0,INDEX(Data_EPA_Survival!$C$5:$C$36,INT(($A91/J$53))+1)+(($A91/J$53)-INT(($A91/J$53)))*(INDEX(Data_EPA_Survival!$C$5:$C$36,INT(($A91/J$53))+2)-INDEX(Data_EPA_Survival!$C$5:$C$36,INT(($A91/J$53))+1)))</f>
        <v/>
      </c>
      <c r="K91" s="26">
        <f>IF(($A91/K$53)&gt;=31,0,INDEX(Data_EPA_Survival!$C$5:$C$36,INT(($A91/K$53))+1)+(($A91/K$53)-INT(($A91/K$53)))*(INDEX(Data_EPA_Survival!$C$5:$C$36,INT(($A91/K$53))+2)-INDEX(Data_EPA_Survival!$C$5:$C$36,INT(($A91/K$53))+1)))</f>
        <v/>
      </c>
      <c r="L91" s="26">
        <f>IF(($A91/L$53)&gt;=31,0,INDEX(Data_EPA_Survival!$C$5:$C$36,INT(($A91/L$53))+1)+(($A91/L$53)-INT(($A91/L$53)))*(INDEX(Data_EPA_Survival!$C$5:$C$36,INT(($A91/L$53))+2)-INDEX(Data_EPA_Survival!$C$5:$C$36,INT(($A91/L$53))+1)))</f>
        <v/>
      </c>
      <c r="M91" s="26">
        <f>IF(($A91/M$53)&gt;=31,0,INDEX(Data_EPA_Survival!$C$5:$C$36,INT(($A91/M$53))+1)+(($A91/M$53)-INT(($A91/M$53)))*(INDEX(Data_EPA_Survival!$C$5:$C$36,INT(($A91/M$53))+2)-INDEX(Data_EPA_Survival!$C$5:$C$36,INT(($A91/M$53))+1)))</f>
        <v/>
      </c>
      <c r="N91" s="26">
        <f>IF(($A91/N$53)&gt;=31,0,INDEX(Data_EPA_Survival!$C$5:$C$36,INT(($A91/N$53))+1)+(($A91/N$53)-INT(($A91/N$53)))*(INDEX(Data_EPA_Survival!$C$5:$C$36,INT(($A91/N$53))+2)-INDEX(Data_EPA_Survival!$C$5:$C$36,INT(($A91/N$53))+1)))</f>
        <v/>
      </c>
      <c r="O91" s="26">
        <f>IF(($A91/O$53)&gt;=31,0,INDEX(Data_EPA_Survival!$C$5:$C$36,INT(($A91/O$53))+1)+(($A91/O$53)-INT(($A91/O$53)))*(INDEX(Data_EPA_Survival!$C$5:$C$36,INT(($A91/O$53))+2)-INDEX(Data_EPA_Survival!$C$5:$C$36,INT(($A91/O$53))+1)))</f>
        <v/>
      </c>
      <c r="P91" s="26">
        <f>IF(($A91/P$53)&gt;=31,0,INDEX(Data_EPA_Survival!$C$5:$C$36,INT(($A91/P$53))+1)+(($A91/P$53)-INT(($A91/P$53)))*(INDEX(Data_EPA_Survival!$C$5:$C$36,INT(($A91/P$53))+2)-INDEX(Data_EPA_Survival!$C$5:$C$36,INT(($A91/P$53))+1)))</f>
        <v/>
      </c>
      <c r="Q91" s="26">
        <f>IF(($A91/Q$53)&gt;=31,0,INDEX(Data_EPA_Survival!$C$5:$C$36,INT(($A91/Q$53))+1)+(($A91/Q$53)-INT(($A91/Q$53)))*(INDEX(Data_EPA_Survival!$C$5:$C$36,INT(($A91/Q$53))+2)-INDEX(Data_EPA_Survival!$C$5:$C$36,INT(($A91/Q$53))+1)))</f>
        <v/>
      </c>
      <c r="R91" s="26">
        <f>IF(($A91/R$53)&gt;=31,0,INDEX(Data_EPA_Survival!$C$5:$C$36,INT(($A91/R$53))+1)+(($A91/R$53)-INT(($A91/R$53)))*(INDEX(Data_EPA_Survival!$C$5:$C$36,INT(($A91/R$53))+2)-INDEX(Data_EPA_Survival!$C$5:$C$36,INT(($A91/R$53))+1)))</f>
        <v/>
      </c>
      <c r="S91" s="26">
        <f>IF(($A91/S$53)&gt;=31,0,INDEX(Data_EPA_Survival!$C$5:$C$36,INT(($A91/S$53))+1)+(($A91/S$53)-INT(($A91/S$53)))*(INDEX(Data_EPA_Survival!$C$5:$C$36,INT(($A91/S$53))+2)-INDEX(Data_EPA_Survival!$C$5:$C$36,INT(($A91/S$53))+1)))</f>
        <v/>
      </c>
      <c r="T91" s="26">
        <f>IF(($A91/T$53)&gt;=31,0,INDEX(Data_EPA_Survival!$C$5:$C$36,INT(($A91/T$53))+1)+(($A91/T$53)-INT(($A91/T$53)))*(INDEX(Data_EPA_Survival!$C$5:$C$36,INT(($A91/T$53))+2)-INDEX(Data_EPA_Survival!$C$5:$C$36,INT(($A91/T$53))+1)))</f>
        <v/>
      </c>
    </row>
    <row r="92">
      <c r="A92" s="9" t="n">
        <v>37</v>
      </c>
      <c r="C92" s="26">
        <f>IF(($A92/C$53)&gt;=31,0,INDEX(Data_EPA_Survival!$C$5:$C$36,INT(($A92/C$53))+1)+(($A92/C$53)-INT(($A92/C$53)))*(INDEX(Data_EPA_Survival!$C$5:$C$36,INT(($A92/C$53))+2)-INDEX(Data_EPA_Survival!$C$5:$C$36,INT(($A92/C$53))+1)))</f>
        <v/>
      </c>
      <c r="D92" s="26">
        <f>IF(($A92/D$53)&gt;=31,0,INDEX(Data_EPA_Survival!$C$5:$C$36,INT(($A92/D$53))+1)+(($A92/D$53)-INT(($A92/D$53)))*(INDEX(Data_EPA_Survival!$C$5:$C$36,INT(($A92/D$53))+2)-INDEX(Data_EPA_Survival!$C$5:$C$36,INT(($A92/D$53))+1)))</f>
        <v/>
      </c>
      <c r="E92" s="26">
        <f>IF(($A92/E$53)&gt;=31,0,INDEX(Data_EPA_Survival!$C$5:$C$36,INT(($A92/E$53))+1)+(($A92/E$53)-INT(($A92/E$53)))*(INDEX(Data_EPA_Survival!$C$5:$C$36,INT(($A92/E$53))+2)-INDEX(Data_EPA_Survival!$C$5:$C$36,INT(($A92/E$53))+1)))</f>
        <v/>
      </c>
      <c r="F92" s="26">
        <f>IF(($A92/F$53)&gt;=31,0,INDEX(Data_EPA_Survival!$C$5:$C$36,INT(($A92/F$53))+1)+(($A92/F$53)-INT(($A92/F$53)))*(INDEX(Data_EPA_Survival!$C$5:$C$36,INT(($A92/F$53))+2)-INDEX(Data_EPA_Survival!$C$5:$C$36,INT(($A92/F$53))+1)))</f>
        <v/>
      </c>
      <c r="G92" s="26">
        <f>IF(($A92/G$53)&gt;=31,0,INDEX(Data_EPA_Survival!$C$5:$C$36,INT(($A92/G$53))+1)+(($A92/G$53)-INT(($A92/G$53)))*(INDEX(Data_EPA_Survival!$C$5:$C$36,INT(($A92/G$53))+2)-INDEX(Data_EPA_Survival!$C$5:$C$36,INT(($A92/G$53))+1)))</f>
        <v/>
      </c>
      <c r="H92" s="26">
        <f>IF(($A92/H$53)&gt;=31,0,INDEX(Data_EPA_Survival!$C$5:$C$36,INT(($A92/H$53))+1)+(($A92/H$53)-INT(($A92/H$53)))*(INDEX(Data_EPA_Survival!$C$5:$C$36,INT(($A92/H$53))+2)-INDEX(Data_EPA_Survival!$C$5:$C$36,INT(($A92/H$53))+1)))</f>
        <v/>
      </c>
      <c r="I92" s="26">
        <f>IF(($A92/I$53)&gt;=31,0,INDEX(Data_EPA_Survival!$C$5:$C$36,INT(($A92/I$53))+1)+(($A92/I$53)-INT(($A92/I$53)))*(INDEX(Data_EPA_Survival!$C$5:$C$36,INT(($A92/I$53))+2)-INDEX(Data_EPA_Survival!$C$5:$C$36,INT(($A92/I$53))+1)))</f>
        <v/>
      </c>
      <c r="J92" s="26">
        <f>IF(($A92/J$53)&gt;=31,0,INDEX(Data_EPA_Survival!$C$5:$C$36,INT(($A92/J$53))+1)+(($A92/J$53)-INT(($A92/J$53)))*(INDEX(Data_EPA_Survival!$C$5:$C$36,INT(($A92/J$53))+2)-INDEX(Data_EPA_Survival!$C$5:$C$36,INT(($A92/J$53))+1)))</f>
        <v/>
      </c>
      <c r="K92" s="26">
        <f>IF(($A92/K$53)&gt;=31,0,INDEX(Data_EPA_Survival!$C$5:$C$36,INT(($A92/K$53))+1)+(($A92/K$53)-INT(($A92/K$53)))*(INDEX(Data_EPA_Survival!$C$5:$C$36,INT(($A92/K$53))+2)-INDEX(Data_EPA_Survival!$C$5:$C$36,INT(($A92/K$53))+1)))</f>
        <v/>
      </c>
      <c r="L92" s="26">
        <f>IF(($A92/L$53)&gt;=31,0,INDEX(Data_EPA_Survival!$C$5:$C$36,INT(($A92/L$53))+1)+(($A92/L$53)-INT(($A92/L$53)))*(INDEX(Data_EPA_Survival!$C$5:$C$36,INT(($A92/L$53))+2)-INDEX(Data_EPA_Survival!$C$5:$C$36,INT(($A92/L$53))+1)))</f>
        <v/>
      </c>
      <c r="M92" s="26">
        <f>IF(($A92/M$53)&gt;=31,0,INDEX(Data_EPA_Survival!$C$5:$C$36,INT(($A92/M$53))+1)+(($A92/M$53)-INT(($A92/M$53)))*(INDEX(Data_EPA_Survival!$C$5:$C$36,INT(($A92/M$53))+2)-INDEX(Data_EPA_Survival!$C$5:$C$36,INT(($A92/M$53))+1)))</f>
        <v/>
      </c>
      <c r="N92" s="26">
        <f>IF(($A92/N$53)&gt;=31,0,INDEX(Data_EPA_Survival!$C$5:$C$36,INT(($A92/N$53))+1)+(($A92/N$53)-INT(($A92/N$53)))*(INDEX(Data_EPA_Survival!$C$5:$C$36,INT(($A92/N$53))+2)-INDEX(Data_EPA_Survival!$C$5:$C$36,INT(($A92/N$53))+1)))</f>
        <v/>
      </c>
      <c r="O92" s="26">
        <f>IF(($A92/O$53)&gt;=31,0,INDEX(Data_EPA_Survival!$C$5:$C$36,INT(($A92/O$53))+1)+(($A92/O$53)-INT(($A92/O$53)))*(INDEX(Data_EPA_Survival!$C$5:$C$36,INT(($A92/O$53))+2)-INDEX(Data_EPA_Survival!$C$5:$C$36,INT(($A92/O$53))+1)))</f>
        <v/>
      </c>
      <c r="P92" s="26">
        <f>IF(($A92/P$53)&gt;=31,0,INDEX(Data_EPA_Survival!$C$5:$C$36,INT(($A92/P$53))+1)+(($A92/P$53)-INT(($A92/P$53)))*(INDEX(Data_EPA_Survival!$C$5:$C$36,INT(($A92/P$53))+2)-INDEX(Data_EPA_Survival!$C$5:$C$36,INT(($A92/P$53))+1)))</f>
        <v/>
      </c>
      <c r="Q92" s="26">
        <f>IF(($A92/Q$53)&gt;=31,0,INDEX(Data_EPA_Survival!$C$5:$C$36,INT(($A92/Q$53))+1)+(($A92/Q$53)-INT(($A92/Q$53)))*(INDEX(Data_EPA_Survival!$C$5:$C$36,INT(($A92/Q$53))+2)-INDEX(Data_EPA_Survival!$C$5:$C$36,INT(($A92/Q$53))+1)))</f>
        <v/>
      </c>
      <c r="R92" s="26">
        <f>IF(($A92/R$53)&gt;=31,0,INDEX(Data_EPA_Survival!$C$5:$C$36,INT(($A92/R$53))+1)+(($A92/R$53)-INT(($A92/R$53)))*(INDEX(Data_EPA_Survival!$C$5:$C$36,INT(($A92/R$53))+2)-INDEX(Data_EPA_Survival!$C$5:$C$36,INT(($A92/R$53))+1)))</f>
        <v/>
      </c>
      <c r="S92" s="26">
        <f>IF(($A92/S$53)&gt;=31,0,INDEX(Data_EPA_Survival!$C$5:$C$36,INT(($A92/S$53))+1)+(($A92/S$53)-INT(($A92/S$53)))*(INDEX(Data_EPA_Survival!$C$5:$C$36,INT(($A92/S$53))+2)-INDEX(Data_EPA_Survival!$C$5:$C$36,INT(($A92/S$53))+1)))</f>
        <v/>
      </c>
      <c r="T92" s="26">
        <f>IF(($A92/T$53)&gt;=31,0,INDEX(Data_EPA_Survival!$C$5:$C$36,INT(($A92/T$53))+1)+(($A92/T$53)-INT(($A92/T$53)))*(INDEX(Data_EPA_Survival!$C$5:$C$36,INT(($A92/T$53))+2)-INDEX(Data_EPA_Survival!$C$5:$C$36,INT(($A92/T$53))+1)))</f>
        <v/>
      </c>
    </row>
    <row r="93">
      <c r="A93" s="9" t="n">
        <v>38</v>
      </c>
      <c r="C93" s="26">
        <f>IF(($A93/C$53)&gt;=31,0,INDEX(Data_EPA_Survival!$C$5:$C$36,INT(($A93/C$53))+1)+(($A93/C$53)-INT(($A93/C$53)))*(INDEX(Data_EPA_Survival!$C$5:$C$36,INT(($A93/C$53))+2)-INDEX(Data_EPA_Survival!$C$5:$C$36,INT(($A93/C$53))+1)))</f>
        <v/>
      </c>
      <c r="D93" s="26">
        <f>IF(($A93/D$53)&gt;=31,0,INDEX(Data_EPA_Survival!$C$5:$C$36,INT(($A93/D$53))+1)+(($A93/D$53)-INT(($A93/D$53)))*(INDEX(Data_EPA_Survival!$C$5:$C$36,INT(($A93/D$53))+2)-INDEX(Data_EPA_Survival!$C$5:$C$36,INT(($A93/D$53))+1)))</f>
        <v/>
      </c>
      <c r="E93" s="26">
        <f>IF(($A93/E$53)&gt;=31,0,INDEX(Data_EPA_Survival!$C$5:$C$36,INT(($A93/E$53))+1)+(($A93/E$53)-INT(($A93/E$53)))*(INDEX(Data_EPA_Survival!$C$5:$C$36,INT(($A93/E$53))+2)-INDEX(Data_EPA_Survival!$C$5:$C$36,INT(($A93/E$53))+1)))</f>
        <v/>
      </c>
      <c r="F93" s="26">
        <f>IF(($A93/F$53)&gt;=31,0,INDEX(Data_EPA_Survival!$C$5:$C$36,INT(($A93/F$53))+1)+(($A93/F$53)-INT(($A93/F$53)))*(INDEX(Data_EPA_Survival!$C$5:$C$36,INT(($A93/F$53))+2)-INDEX(Data_EPA_Survival!$C$5:$C$36,INT(($A93/F$53))+1)))</f>
        <v/>
      </c>
      <c r="G93" s="26">
        <f>IF(($A93/G$53)&gt;=31,0,INDEX(Data_EPA_Survival!$C$5:$C$36,INT(($A93/G$53))+1)+(($A93/G$53)-INT(($A93/G$53)))*(INDEX(Data_EPA_Survival!$C$5:$C$36,INT(($A93/G$53))+2)-INDEX(Data_EPA_Survival!$C$5:$C$36,INT(($A93/G$53))+1)))</f>
        <v/>
      </c>
      <c r="H93" s="26">
        <f>IF(($A93/H$53)&gt;=31,0,INDEX(Data_EPA_Survival!$C$5:$C$36,INT(($A93/H$53))+1)+(($A93/H$53)-INT(($A93/H$53)))*(INDEX(Data_EPA_Survival!$C$5:$C$36,INT(($A93/H$53))+2)-INDEX(Data_EPA_Survival!$C$5:$C$36,INT(($A93/H$53))+1)))</f>
        <v/>
      </c>
      <c r="I93" s="26">
        <f>IF(($A93/I$53)&gt;=31,0,INDEX(Data_EPA_Survival!$C$5:$C$36,INT(($A93/I$53))+1)+(($A93/I$53)-INT(($A93/I$53)))*(INDEX(Data_EPA_Survival!$C$5:$C$36,INT(($A93/I$53))+2)-INDEX(Data_EPA_Survival!$C$5:$C$36,INT(($A93/I$53))+1)))</f>
        <v/>
      </c>
      <c r="J93" s="26">
        <f>IF(($A93/J$53)&gt;=31,0,INDEX(Data_EPA_Survival!$C$5:$C$36,INT(($A93/J$53))+1)+(($A93/J$53)-INT(($A93/J$53)))*(INDEX(Data_EPA_Survival!$C$5:$C$36,INT(($A93/J$53))+2)-INDEX(Data_EPA_Survival!$C$5:$C$36,INT(($A93/J$53))+1)))</f>
        <v/>
      </c>
      <c r="K93" s="26">
        <f>IF(($A93/K$53)&gt;=31,0,INDEX(Data_EPA_Survival!$C$5:$C$36,INT(($A93/K$53))+1)+(($A93/K$53)-INT(($A93/K$53)))*(INDEX(Data_EPA_Survival!$C$5:$C$36,INT(($A93/K$53))+2)-INDEX(Data_EPA_Survival!$C$5:$C$36,INT(($A93/K$53))+1)))</f>
        <v/>
      </c>
      <c r="L93" s="26">
        <f>IF(($A93/L$53)&gt;=31,0,INDEX(Data_EPA_Survival!$C$5:$C$36,INT(($A93/L$53))+1)+(($A93/L$53)-INT(($A93/L$53)))*(INDEX(Data_EPA_Survival!$C$5:$C$36,INT(($A93/L$53))+2)-INDEX(Data_EPA_Survival!$C$5:$C$36,INT(($A93/L$53))+1)))</f>
        <v/>
      </c>
      <c r="M93" s="26">
        <f>IF(($A93/M$53)&gt;=31,0,INDEX(Data_EPA_Survival!$C$5:$C$36,INT(($A93/M$53))+1)+(($A93/M$53)-INT(($A93/M$53)))*(INDEX(Data_EPA_Survival!$C$5:$C$36,INT(($A93/M$53))+2)-INDEX(Data_EPA_Survival!$C$5:$C$36,INT(($A93/M$53))+1)))</f>
        <v/>
      </c>
      <c r="N93" s="26">
        <f>IF(($A93/N$53)&gt;=31,0,INDEX(Data_EPA_Survival!$C$5:$C$36,INT(($A93/N$53))+1)+(($A93/N$53)-INT(($A93/N$53)))*(INDEX(Data_EPA_Survival!$C$5:$C$36,INT(($A93/N$53))+2)-INDEX(Data_EPA_Survival!$C$5:$C$36,INT(($A93/N$53))+1)))</f>
        <v/>
      </c>
      <c r="O93" s="26">
        <f>IF(($A93/O$53)&gt;=31,0,INDEX(Data_EPA_Survival!$C$5:$C$36,INT(($A93/O$53))+1)+(($A93/O$53)-INT(($A93/O$53)))*(INDEX(Data_EPA_Survival!$C$5:$C$36,INT(($A93/O$53))+2)-INDEX(Data_EPA_Survival!$C$5:$C$36,INT(($A93/O$53))+1)))</f>
        <v/>
      </c>
      <c r="P93" s="26">
        <f>IF(($A93/P$53)&gt;=31,0,INDEX(Data_EPA_Survival!$C$5:$C$36,INT(($A93/P$53))+1)+(($A93/P$53)-INT(($A93/P$53)))*(INDEX(Data_EPA_Survival!$C$5:$C$36,INT(($A93/P$53))+2)-INDEX(Data_EPA_Survival!$C$5:$C$36,INT(($A93/P$53))+1)))</f>
        <v/>
      </c>
      <c r="Q93" s="26">
        <f>IF(($A93/Q$53)&gt;=31,0,INDEX(Data_EPA_Survival!$C$5:$C$36,INT(($A93/Q$53))+1)+(($A93/Q$53)-INT(($A93/Q$53)))*(INDEX(Data_EPA_Survival!$C$5:$C$36,INT(($A93/Q$53))+2)-INDEX(Data_EPA_Survival!$C$5:$C$36,INT(($A93/Q$53))+1)))</f>
        <v/>
      </c>
      <c r="R93" s="26">
        <f>IF(($A93/R$53)&gt;=31,0,INDEX(Data_EPA_Survival!$C$5:$C$36,INT(($A93/R$53))+1)+(($A93/R$53)-INT(($A93/R$53)))*(INDEX(Data_EPA_Survival!$C$5:$C$36,INT(($A93/R$53))+2)-INDEX(Data_EPA_Survival!$C$5:$C$36,INT(($A93/R$53))+1)))</f>
        <v/>
      </c>
      <c r="S93" s="26">
        <f>IF(($A93/S$53)&gt;=31,0,INDEX(Data_EPA_Survival!$C$5:$C$36,INT(($A93/S$53))+1)+(($A93/S$53)-INT(($A93/S$53)))*(INDEX(Data_EPA_Survival!$C$5:$C$36,INT(($A93/S$53))+2)-INDEX(Data_EPA_Survival!$C$5:$C$36,INT(($A93/S$53))+1)))</f>
        <v/>
      </c>
      <c r="T93" s="26">
        <f>IF(($A93/T$53)&gt;=31,0,INDEX(Data_EPA_Survival!$C$5:$C$36,INT(($A93/T$53))+1)+(($A93/T$53)-INT(($A93/T$53)))*(INDEX(Data_EPA_Survival!$C$5:$C$36,INT(($A93/T$53))+2)-INDEX(Data_EPA_Survival!$C$5:$C$36,INT(($A93/T$53))+1)))</f>
        <v/>
      </c>
    </row>
    <row r="94">
      <c r="A94" s="9" t="n">
        <v>39</v>
      </c>
      <c r="C94" s="26">
        <f>IF(($A94/C$53)&gt;=31,0,INDEX(Data_EPA_Survival!$C$5:$C$36,INT(($A94/C$53))+1)+(($A94/C$53)-INT(($A94/C$53)))*(INDEX(Data_EPA_Survival!$C$5:$C$36,INT(($A94/C$53))+2)-INDEX(Data_EPA_Survival!$C$5:$C$36,INT(($A94/C$53))+1)))</f>
        <v/>
      </c>
      <c r="D94" s="26">
        <f>IF(($A94/D$53)&gt;=31,0,INDEX(Data_EPA_Survival!$C$5:$C$36,INT(($A94/D$53))+1)+(($A94/D$53)-INT(($A94/D$53)))*(INDEX(Data_EPA_Survival!$C$5:$C$36,INT(($A94/D$53))+2)-INDEX(Data_EPA_Survival!$C$5:$C$36,INT(($A94/D$53))+1)))</f>
        <v/>
      </c>
      <c r="E94" s="26">
        <f>IF(($A94/E$53)&gt;=31,0,INDEX(Data_EPA_Survival!$C$5:$C$36,INT(($A94/E$53))+1)+(($A94/E$53)-INT(($A94/E$53)))*(INDEX(Data_EPA_Survival!$C$5:$C$36,INT(($A94/E$53))+2)-INDEX(Data_EPA_Survival!$C$5:$C$36,INT(($A94/E$53))+1)))</f>
        <v/>
      </c>
      <c r="F94" s="26">
        <f>IF(($A94/F$53)&gt;=31,0,INDEX(Data_EPA_Survival!$C$5:$C$36,INT(($A94/F$53))+1)+(($A94/F$53)-INT(($A94/F$53)))*(INDEX(Data_EPA_Survival!$C$5:$C$36,INT(($A94/F$53))+2)-INDEX(Data_EPA_Survival!$C$5:$C$36,INT(($A94/F$53))+1)))</f>
        <v/>
      </c>
      <c r="G94" s="26">
        <f>IF(($A94/G$53)&gt;=31,0,INDEX(Data_EPA_Survival!$C$5:$C$36,INT(($A94/G$53))+1)+(($A94/G$53)-INT(($A94/G$53)))*(INDEX(Data_EPA_Survival!$C$5:$C$36,INT(($A94/G$53))+2)-INDEX(Data_EPA_Survival!$C$5:$C$36,INT(($A94/G$53))+1)))</f>
        <v/>
      </c>
      <c r="H94" s="26">
        <f>IF(($A94/H$53)&gt;=31,0,INDEX(Data_EPA_Survival!$C$5:$C$36,INT(($A94/H$53))+1)+(($A94/H$53)-INT(($A94/H$53)))*(INDEX(Data_EPA_Survival!$C$5:$C$36,INT(($A94/H$53))+2)-INDEX(Data_EPA_Survival!$C$5:$C$36,INT(($A94/H$53))+1)))</f>
        <v/>
      </c>
      <c r="I94" s="26">
        <f>IF(($A94/I$53)&gt;=31,0,INDEX(Data_EPA_Survival!$C$5:$C$36,INT(($A94/I$53))+1)+(($A94/I$53)-INT(($A94/I$53)))*(INDEX(Data_EPA_Survival!$C$5:$C$36,INT(($A94/I$53))+2)-INDEX(Data_EPA_Survival!$C$5:$C$36,INT(($A94/I$53))+1)))</f>
        <v/>
      </c>
      <c r="J94" s="26">
        <f>IF(($A94/J$53)&gt;=31,0,INDEX(Data_EPA_Survival!$C$5:$C$36,INT(($A94/J$53))+1)+(($A94/J$53)-INT(($A94/J$53)))*(INDEX(Data_EPA_Survival!$C$5:$C$36,INT(($A94/J$53))+2)-INDEX(Data_EPA_Survival!$C$5:$C$36,INT(($A94/J$53))+1)))</f>
        <v/>
      </c>
      <c r="K94" s="26">
        <f>IF(($A94/K$53)&gt;=31,0,INDEX(Data_EPA_Survival!$C$5:$C$36,INT(($A94/K$53))+1)+(($A94/K$53)-INT(($A94/K$53)))*(INDEX(Data_EPA_Survival!$C$5:$C$36,INT(($A94/K$53))+2)-INDEX(Data_EPA_Survival!$C$5:$C$36,INT(($A94/K$53))+1)))</f>
        <v/>
      </c>
      <c r="L94" s="26">
        <f>IF(($A94/L$53)&gt;=31,0,INDEX(Data_EPA_Survival!$C$5:$C$36,INT(($A94/L$53))+1)+(($A94/L$53)-INT(($A94/L$53)))*(INDEX(Data_EPA_Survival!$C$5:$C$36,INT(($A94/L$53))+2)-INDEX(Data_EPA_Survival!$C$5:$C$36,INT(($A94/L$53))+1)))</f>
        <v/>
      </c>
      <c r="M94" s="26">
        <f>IF(($A94/M$53)&gt;=31,0,INDEX(Data_EPA_Survival!$C$5:$C$36,INT(($A94/M$53))+1)+(($A94/M$53)-INT(($A94/M$53)))*(INDEX(Data_EPA_Survival!$C$5:$C$36,INT(($A94/M$53))+2)-INDEX(Data_EPA_Survival!$C$5:$C$36,INT(($A94/M$53))+1)))</f>
        <v/>
      </c>
      <c r="N94" s="26">
        <f>IF(($A94/N$53)&gt;=31,0,INDEX(Data_EPA_Survival!$C$5:$C$36,INT(($A94/N$53))+1)+(($A94/N$53)-INT(($A94/N$53)))*(INDEX(Data_EPA_Survival!$C$5:$C$36,INT(($A94/N$53))+2)-INDEX(Data_EPA_Survival!$C$5:$C$36,INT(($A94/N$53))+1)))</f>
        <v/>
      </c>
      <c r="O94" s="26">
        <f>IF(($A94/O$53)&gt;=31,0,INDEX(Data_EPA_Survival!$C$5:$C$36,INT(($A94/O$53))+1)+(($A94/O$53)-INT(($A94/O$53)))*(INDEX(Data_EPA_Survival!$C$5:$C$36,INT(($A94/O$53))+2)-INDEX(Data_EPA_Survival!$C$5:$C$36,INT(($A94/O$53))+1)))</f>
        <v/>
      </c>
      <c r="P94" s="26">
        <f>IF(($A94/P$53)&gt;=31,0,INDEX(Data_EPA_Survival!$C$5:$C$36,INT(($A94/P$53))+1)+(($A94/P$53)-INT(($A94/P$53)))*(INDEX(Data_EPA_Survival!$C$5:$C$36,INT(($A94/P$53))+2)-INDEX(Data_EPA_Survival!$C$5:$C$36,INT(($A94/P$53))+1)))</f>
        <v/>
      </c>
      <c r="Q94" s="26">
        <f>IF(($A94/Q$53)&gt;=31,0,INDEX(Data_EPA_Survival!$C$5:$C$36,INT(($A94/Q$53))+1)+(($A94/Q$53)-INT(($A94/Q$53)))*(INDEX(Data_EPA_Survival!$C$5:$C$36,INT(($A94/Q$53))+2)-INDEX(Data_EPA_Survival!$C$5:$C$36,INT(($A94/Q$53))+1)))</f>
        <v/>
      </c>
      <c r="R94" s="26">
        <f>IF(($A94/R$53)&gt;=31,0,INDEX(Data_EPA_Survival!$C$5:$C$36,INT(($A94/R$53))+1)+(($A94/R$53)-INT(($A94/R$53)))*(INDEX(Data_EPA_Survival!$C$5:$C$36,INT(($A94/R$53))+2)-INDEX(Data_EPA_Survival!$C$5:$C$36,INT(($A94/R$53))+1)))</f>
        <v/>
      </c>
      <c r="S94" s="26">
        <f>IF(($A94/S$53)&gt;=31,0,INDEX(Data_EPA_Survival!$C$5:$C$36,INT(($A94/S$53))+1)+(($A94/S$53)-INT(($A94/S$53)))*(INDEX(Data_EPA_Survival!$C$5:$C$36,INT(($A94/S$53))+2)-INDEX(Data_EPA_Survival!$C$5:$C$36,INT(($A94/S$53))+1)))</f>
        <v/>
      </c>
      <c r="T94" s="26">
        <f>IF(($A94/T$53)&gt;=31,0,INDEX(Data_EPA_Survival!$C$5:$C$36,INT(($A94/T$53))+1)+(($A94/T$53)-INT(($A94/T$53)))*(INDEX(Data_EPA_Survival!$C$5:$C$36,INT(($A94/T$53))+2)-INDEX(Data_EPA_Survival!$C$5:$C$36,INT(($A94/T$53))+1)))</f>
        <v/>
      </c>
    </row>
    <row r="95">
      <c r="A95" s="9" t="n">
        <v>40</v>
      </c>
      <c r="C95" s="26">
        <f>IF(($A95/C$53)&gt;=31,0,INDEX(Data_EPA_Survival!$C$5:$C$36,INT(($A95/C$53))+1)+(($A95/C$53)-INT(($A95/C$53)))*(INDEX(Data_EPA_Survival!$C$5:$C$36,INT(($A95/C$53))+2)-INDEX(Data_EPA_Survival!$C$5:$C$36,INT(($A95/C$53))+1)))</f>
        <v/>
      </c>
      <c r="D95" s="26">
        <f>IF(($A95/D$53)&gt;=31,0,INDEX(Data_EPA_Survival!$C$5:$C$36,INT(($A95/D$53))+1)+(($A95/D$53)-INT(($A95/D$53)))*(INDEX(Data_EPA_Survival!$C$5:$C$36,INT(($A95/D$53))+2)-INDEX(Data_EPA_Survival!$C$5:$C$36,INT(($A95/D$53))+1)))</f>
        <v/>
      </c>
      <c r="E95" s="26">
        <f>IF(($A95/E$53)&gt;=31,0,INDEX(Data_EPA_Survival!$C$5:$C$36,INT(($A95/E$53))+1)+(($A95/E$53)-INT(($A95/E$53)))*(INDEX(Data_EPA_Survival!$C$5:$C$36,INT(($A95/E$53))+2)-INDEX(Data_EPA_Survival!$C$5:$C$36,INT(($A95/E$53))+1)))</f>
        <v/>
      </c>
      <c r="F95" s="26">
        <f>IF(($A95/F$53)&gt;=31,0,INDEX(Data_EPA_Survival!$C$5:$C$36,INT(($A95/F$53))+1)+(($A95/F$53)-INT(($A95/F$53)))*(INDEX(Data_EPA_Survival!$C$5:$C$36,INT(($A95/F$53))+2)-INDEX(Data_EPA_Survival!$C$5:$C$36,INT(($A95/F$53))+1)))</f>
        <v/>
      </c>
      <c r="G95" s="26">
        <f>IF(($A95/G$53)&gt;=31,0,INDEX(Data_EPA_Survival!$C$5:$C$36,INT(($A95/G$53))+1)+(($A95/G$53)-INT(($A95/G$53)))*(INDEX(Data_EPA_Survival!$C$5:$C$36,INT(($A95/G$53))+2)-INDEX(Data_EPA_Survival!$C$5:$C$36,INT(($A95/G$53))+1)))</f>
        <v/>
      </c>
      <c r="H95" s="26">
        <f>IF(($A95/H$53)&gt;=31,0,INDEX(Data_EPA_Survival!$C$5:$C$36,INT(($A95/H$53))+1)+(($A95/H$53)-INT(($A95/H$53)))*(INDEX(Data_EPA_Survival!$C$5:$C$36,INT(($A95/H$53))+2)-INDEX(Data_EPA_Survival!$C$5:$C$36,INT(($A95/H$53))+1)))</f>
        <v/>
      </c>
      <c r="I95" s="26">
        <f>IF(($A95/I$53)&gt;=31,0,INDEX(Data_EPA_Survival!$C$5:$C$36,INT(($A95/I$53))+1)+(($A95/I$53)-INT(($A95/I$53)))*(INDEX(Data_EPA_Survival!$C$5:$C$36,INT(($A95/I$53))+2)-INDEX(Data_EPA_Survival!$C$5:$C$36,INT(($A95/I$53))+1)))</f>
        <v/>
      </c>
      <c r="J95" s="26">
        <f>IF(($A95/J$53)&gt;=31,0,INDEX(Data_EPA_Survival!$C$5:$C$36,INT(($A95/J$53))+1)+(($A95/J$53)-INT(($A95/J$53)))*(INDEX(Data_EPA_Survival!$C$5:$C$36,INT(($A95/J$53))+2)-INDEX(Data_EPA_Survival!$C$5:$C$36,INT(($A95/J$53))+1)))</f>
        <v/>
      </c>
      <c r="K95" s="26">
        <f>IF(($A95/K$53)&gt;=31,0,INDEX(Data_EPA_Survival!$C$5:$C$36,INT(($A95/K$53))+1)+(($A95/K$53)-INT(($A95/K$53)))*(INDEX(Data_EPA_Survival!$C$5:$C$36,INT(($A95/K$53))+2)-INDEX(Data_EPA_Survival!$C$5:$C$36,INT(($A95/K$53))+1)))</f>
        <v/>
      </c>
      <c r="L95" s="26">
        <f>IF(($A95/L$53)&gt;=31,0,INDEX(Data_EPA_Survival!$C$5:$C$36,INT(($A95/L$53))+1)+(($A95/L$53)-INT(($A95/L$53)))*(INDEX(Data_EPA_Survival!$C$5:$C$36,INT(($A95/L$53))+2)-INDEX(Data_EPA_Survival!$C$5:$C$36,INT(($A95/L$53))+1)))</f>
        <v/>
      </c>
      <c r="M95" s="26">
        <f>IF(($A95/M$53)&gt;=31,0,INDEX(Data_EPA_Survival!$C$5:$C$36,INT(($A95/M$53))+1)+(($A95/M$53)-INT(($A95/M$53)))*(INDEX(Data_EPA_Survival!$C$5:$C$36,INT(($A95/M$53))+2)-INDEX(Data_EPA_Survival!$C$5:$C$36,INT(($A95/M$53))+1)))</f>
        <v/>
      </c>
      <c r="N95" s="26">
        <f>IF(($A95/N$53)&gt;=31,0,INDEX(Data_EPA_Survival!$C$5:$C$36,INT(($A95/N$53))+1)+(($A95/N$53)-INT(($A95/N$53)))*(INDEX(Data_EPA_Survival!$C$5:$C$36,INT(($A95/N$53))+2)-INDEX(Data_EPA_Survival!$C$5:$C$36,INT(($A95/N$53))+1)))</f>
        <v/>
      </c>
      <c r="O95" s="26">
        <f>IF(($A95/O$53)&gt;=31,0,INDEX(Data_EPA_Survival!$C$5:$C$36,INT(($A95/O$53))+1)+(($A95/O$53)-INT(($A95/O$53)))*(INDEX(Data_EPA_Survival!$C$5:$C$36,INT(($A95/O$53))+2)-INDEX(Data_EPA_Survival!$C$5:$C$36,INT(($A95/O$53))+1)))</f>
        <v/>
      </c>
      <c r="P95" s="26">
        <f>IF(($A95/P$53)&gt;=31,0,INDEX(Data_EPA_Survival!$C$5:$C$36,INT(($A95/P$53))+1)+(($A95/P$53)-INT(($A95/P$53)))*(INDEX(Data_EPA_Survival!$C$5:$C$36,INT(($A95/P$53))+2)-INDEX(Data_EPA_Survival!$C$5:$C$36,INT(($A95/P$53))+1)))</f>
        <v/>
      </c>
      <c r="Q95" s="26">
        <f>IF(($A95/Q$53)&gt;=31,0,INDEX(Data_EPA_Survival!$C$5:$C$36,INT(($A95/Q$53))+1)+(($A95/Q$53)-INT(($A95/Q$53)))*(INDEX(Data_EPA_Survival!$C$5:$C$36,INT(($A95/Q$53))+2)-INDEX(Data_EPA_Survival!$C$5:$C$36,INT(($A95/Q$53))+1)))</f>
        <v/>
      </c>
      <c r="R95" s="26">
        <f>IF(($A95/R$53)&gt;=31,0,INDEX(Data_EPA_Survival!$C$5:$C$36,INT(($A95/R$53))+1)+(($A95/R$53)-INT(($A95/R$53)))*(INDEX(Data_EPA_Survival!$C$5:$C$36,INT(($A95/R$53))+2)-INDEX(Data_EPA_Survival!$C$5:$C$36,INT(($A95/R$53))+1)))</f>
        <v/>
      </c>
      <c r="S95" s="26">
        <f>IF(($A95/S$53)&gt;=31,0,INDEX(Data_EPA_Survival!$C$5:$C$36,INT(($A95/S$53))+1)+(($A95/S$53)-INT(($A95/S$53)))*(INDEX(Data_EPA_Survival!$C$5:$C$36,INT(($A95/S$53))+2)-INDEX(Data_EPA_Survival!$C$5:$C$36,INT(($A95/S$53))+1)))</f>
        <v/>
      </c>
      <c r="T95" s="26">
        <f>IF(($A95/T$53)&gt;=31,0,INDEX(Data_EPA_Survival!$C$5:$C$36,INT(($A95/T$53))+1)+(($A95/T$53)-INT(($A95/T$53)))*(INDEX(Data_EPA_Survival!$C$5:$C$36,INT(($A95/T$53))+2)-INDEX(Data_EPA_Survival!$C$5:$C$36,INT(($A95/T$53))+1)))</f>
        <v/>
      </c>
    </row>
    <row r="96">
      <c r="A96" s="9" t="n">
        <v>41</v>
      </c>
      <c r="C96" s="26">
        <f>IF(($A96/C$53)&gt;=31,0,INDEX(Data_EPA_Survival!$C$5:$C$36,INT(($A96/C$53))+1)+(($A96/C$53)-INT(($A96/C$53)))*(INDEX(Data_EPA_Survival!$C$5:$C$36,INT(($A96/C$53))+2)-INDEX(Data_EPA_Survival!$C$5:$C$36,INT(($A96/C$53))+1)))</f>
        <v/>
      </c>
      <c r="D96" s="26">
        <f>IF(($A96/D$53)&gt;=31,0,INDEX(Data_EPA_Survival!$C$5:$C$36,INT(($A96/D$53))+1)+(($A96/D$53)-INT(($A96/D$53)))*(INDEX(Data_EPA_Survival!$C$5:$C$36,INT(($A96/D$53))+2)-INDEX(Data_EPA_Survival!$C$5:$C$36,INT(($A96/D$53))+1)))</f>
        <v/>
      </c>
      <c r="E96" s="26">
        <f>IF(($A96/E$53)&gt;=31,0,INDEX(Data_EPA_Survival!$C$5:$C$36,INT(($A96/E$53))+1)+(($A96/E$53)-INT(($A96/E$53)))*(INDEX(Data_EPA_Survival!$C$5:$C$36,INT(($A96/E$53))+2)-INDEX(Data_EPA_Survival!$C$5:$C$36,INT(($A96/E$53))+1)))</f>
        <v/>
      </c>
      <c r="F96" s="26">
        <f>IF(($A96/F$53)&gt;=31,0,INDEX(Data_EPA_Survival!$C$5:$C$36,INT(($A96/F$53))+1)+(($A96/F$53)-INT(($A96/F$53)))*(INDEX(Data_EPA_Survival!$C$5:$C$36,INT(($A96/F$53))+2)-INDEX(Data_EPA_Survival!$C$5:$C$36,INT(($A96/F$53))+1)))</f>
        <v/>
      </c>
      <c r="G96" s="26">
        <f>IF(($A96/G$53)&gt;=31,0,INDEX(Data_EPA_Survival!$C$5:$C$36,INT(($A96/G$53))+1)+(($A96/G$53)-INT(($A96/G$53)))*(INDEX(Data_EPA_Survival!$C$5:$C$36,INT(($A96/G$53))+2)-INDEX(Data_EPA_Survival!$C$5:$C$36,INT(($A96/G$53))+1)))</f>
        <v/>
      </c>
      <c r="H96" s="26">
        <f>IF(($A96/H$53)&gt;=31,0,INDEX(Data_EPA_Survival!$C$5:$C$36,INT(($A96/H$53))+1)+(($A96/H$53)-INT(($A96/H$53)))*(INDEX(Data_EPA_Survival!$C$5:$C$36,INT(($A96/H$53))+2)-INDEX(Data_EPA_Survival!$C$5:$C$36,INT(($A96/H$53))+1)))</f>
        <v/>
      </c>
      <c r="I96" s="26">
        <f>IF(($A96/I$53)&gt;=31,0,INDEX(Data_EPA_Survival!$C$5:$C$36,INT(($A96/I$53))+1)+(($A96/I$53)-INT(($A96/I$53)))*(INDEX(Data_EPA_Survival!$C$5:$C$36,INT(($A96/I$53))+2)-INDEX(Data_EPA_Survival!$C$5:$C$36,INT(($A96/I$53))+1)))</f>
        <v/>
      </c>
      <c r="J96" s="26">
        <f>IF(($A96/J$53)&gt;=31,0,INDEX(Data_EPA_Survival!$C$5:$C$36,INT(($A96/J$53))+1)+(($A96/J$53)-INT(($A96/J$53)))*(INDEX(Data_EPA_Survival!$C$5:$C$36,INT(($A96/J$53))+2)-INDEX(Data_EPA_Survival!$C$5:$C$36,INT(($A96/J$53))+1)))</f>
        <v/>
      </c>
      <c r="K96" s="26">
        <f>IF(($A96/K$53)&gt;=31,0,INDEX(Data_EPA_Survival!$C$5:$C$36,INT(($A96/K$53))+1)+(($A96/K$53)-INT(($A96/K$53)))*(INDEX(Data_EPA_Survival!$C$5:$C$36,INT(($A96/K$53))+2)-INDEX(Data_EPA_Survival!$C$5:$C$36,INT(($A96/K$53))+1)))</f>
        <v/>
      </c>
      <c r="L96" s="26">
        <f>IF(($A96/L$53)&gt;=31,0,INDEX(Data_EPA_Survival!$C$5:$C$36,INT(($A96/L$53))+1)+(($A96/L$53)-INT(($A96/L$53)))*(INDEX(Data_EPA_Survival!$C$5:$C$36,INT(($A96/L$53))+2)-INDEX(Data_EPA_Survival!$C$5:$C$36,INT(($A96/L$53))+1)))</f>
        <v/>
      </c>
      <c r="M96" s="26">
        <f>IF(($A96/M$53)&gt;=31,0,INDEX(Data_EPA_Survival!$C$5:$C$36,INT(($A96/M$53))+1)+(($A96/M$53)-INT(($A96/M$53)))*(INDEX(Data_EPA_Survival!$C$5:$C$36,INT(($A96/M$53))+2)-INDEX(Data_EPA_Survival!$C$5:$C$36,INT(($A96/M$53))+1)))</f>
        <v/>
      </c>
      <c r="N96" s="26">
        <f>IF(($A96/N$53)&gt;=31,0,INDEX(Data_EPA_Survival!$C$5:$C$36,INT(($A96/N$53))+1)+(($A96/N$53)-INT(($A96/N$53)))*(INDEX(Data_EPA_Survival!$C$5:$C$36,INT(($A96/N$53))+2)-INDEX(Data_EPA_Survival!$C$5:$C$36,INT(($A96/N$53))+1)))</f>
        <v/>
      </c>
      <c r="O96" s="26">
        <f>IF(($A96/O$53)&gt;=31,0,INDEX(Data_EPA_Survival!$C$5:$C$36,INT(($A96/O$53))+1)+(($A96/O$53)-INT(($A96/O$53)))*(INDEX(Data_EPA_Survival!$C$5:$C$36,INT(($A96/O$53))+2)-INDEX(Data_EPA_Survival!$C$5:$C$36,INT(($A96/O$53))+1)))</f>
        <v/>
      </c>
      <c r="P96" s="26">
        <f>IF(($A96/P$53)&gt;=31,0,INDEX(Data_EPA_Survival!$C$5:$C$36,INT(($A96/P$53))+1)+(($A96/P$53)-INT(($A96/P$53)))*(INDEX(Data_EPA_Survival!$C$5:$C$36,INT(($A96/P$53))+2)-INDEX(Data_EPA_Survival!$C$5:$C$36,INT(($A96/P$53))+1)))</f>
        <v/>
      </c>
      <c r="Q96" s="26">
        <f>IF(($A96/Q$53)&gt;=31,0,INDEX(Data_EPA_Survival!$C$5:$C$36,INT(($A96/Q$53))+1)+(($A96/Q$53)-INT(($A96/Q$53)))*(INDEX(Data_EPA_Survival!$C$5:$C$36,INT(($A96/Q$53))+2)-INDEX(Data_EPA_Survival!$C$5:$C$36,INT(($A96/Q$53))+1)))</f>
        <v/>
      </c>
      <c r="R96" s="26">
        <f>IF(($A96/R$53)&gt;=31,0,INDEX(Data_EPA_Survival!$C$5:$C$36,INT(($A96/R$53))+1)+(($A96/R$53)-INT(($A96/R$53)))*(INDEX(Data_EPA_Survival!$C$5:$C$36,INT(($A96/R$53))+2)-INDEX(Data_EPA_Survival!$C$5:$C$36,INT(($A96/R$53))+1)))</f>
        <v/>
      </c>
      <c r="S96" s="26">
        <f>IF(($A96/S$53)&gt;=31,0,INDEX(Data_EPA_Survival!$C$5:$C$36,INT(($A96/S$53))+1)+(($A96/S$53)-INT(($A96/S$53)))*(INDEX(Data_EPA_Survival!$C$5:$C$36,INT(($A96/S$53))+2)-INDEX(Data_EPA_Survival!$C$5:$C$36,INT(($A96/S$53))+1)))</f>
        <v/>
      </c>
      <c r="T96" s="26">
        <f>IF(($A96/T$53)&gt;=31,0,INDEX(Data_EPA_Survival!$C$5:$C$36,INT(($A96/T$53))+1)+(($A96/T$53)-INT(($A96/T$53)))*(INDEX(Data_EPA_Survival!$C$5:$C$36,INT(($A96/T$53))+2)-INDEX(Data_EPA_Survival!$C$5:$C$36,INT(($A96/T$53))+1)))</f>
        <v/>
      </c>
    </row>
    <row r="97">
      <c r="A97" s="9" t="n">
        <v>42</v>
      </c>
      <c r="C97" s="26">
        <f>IF(($A97/C$53)&gt;=31,0,INDEX(Data_EPA_Survival!$C$5:$C$36,INT(($A97/C$53))+1)+(($A97/C$53)-INT(($A97/C$53)))*(INDEX(Data_EPA_Survival!$C$5:$C$36,INT(($A97/C$53))+2)-INDEX(Data_EPA_Survival!$C$5:$C$36,INT(($A97/C$53))+1)))</f>
        <v/>
      </c>
      <c r="D97" s="26">
        <f>IF(($A97/D$53)&gt;=31,0,INDEX(Data_EPA_Survival!$C$5:$C$36,INT(($A97/D$53))+1)+(($A97/D$53)-INT(($A97/D$53)))*(INDEX(Data_EPA_Survival!$C$5:$C$36,INT(($A97/D$53))+2)-INDEX(Data_EPA_Survival!$C$5:$C$36,INT(($A97/D$53))+1)))</f>
        <v/>
      </c>
      <c r="E97" s="26">
        <f>IF(($A97/E$53)&gt;=31,0,INDEX(Data_EPA_Survival!$C$5:$C$36,INT(($A97/E$53))+1)+(($A97/E$53)-INT(($A97/E$53)))*(INDEX(Data_EPA_Survival!$C$5:$C$36,INT(($A97/E$53))+2)-INDEX(Data_EPA_Survival!$C$5:$C$36,INT(($A97/E$53))+1)))</f>
        <v/>
      </c>
      <c r="F97" s="26">
        <f>IF(($A97/F$53)&gt;=31,0,INDEX(Data_EPA_Survival!$C$5:$C$36,INT(($A97/F$53))+1)+(($A97/F$53)-INT(($A97/F$53)))*(INDEX(Data_EPA_Survival!$C$5:$C$36,INT(($A97/F$53))+2)-INDEX(Data_EPA_Survival!$C$5:$C$36,INT(($A97/F$53))+1)))</f>
        <v/>
      </c>
      <c r="G97" s="26">
        <f>IF(($A97/G$53)&gt;=31,0,INDEX(Data_EPA_Survival!$C$5:$C$36,INT(($A97/G$53))+1)+(($A97/G$53)-INT(($A97/G$53)))*(INDEX(Data_EPA_Survival!$C$5:$C$36,INT(($A97/G$53))+2)-INDEX(Data_EPA_Survival!$C$5:$C$36,INT(($A97/G$53))+1)))</f>
        <v/>
      </c>
      <c r="H97" s="26">
        <f>IF(($A97/H$53)&gt;=31,0,INDEX(Data_EPA_Survival!$C$5:$C$36,INT(($A97/H$53))+1)+(($A97/H$53)-INT(($A97/H$53)))*(INDEX(Data_EPA_Survival!$C$5:$C$36,INT(($A97/H$53))+2)-INDEX(Data_EPA_Survival!$C$5:$C$36,INT(($A97/H$53))+1)))</f>
        <v/>
      </c>
      <c r="I97" s="26">
        <f>IF(($A97/I$53)&gt;=31,0,INDEX(Data_EPA_Survival!$C$5:$C$36,INT(($A97/I$53))+1)+(($A97/I$53)-INT(($A97/I$53)))*(INDEX(Data_EPA_Survival!$C$5:$C$36,INT(($A97/I$53))+2)-INDEX(Data_EPA_Survival!$C$5:$C$36,INT(($A97/I$53))+1)))</f>
        <v/>
      </c>
      <c r="J97" s="26">
        <f>IF(($A97/J$53)&gt;=31,0,INDEX(Data_EPA_Survival!$C$5:$C$36,INT(($A97/J$53))+1)+(($A97/J$53)-INT(($A97/J$53)))*(INDEX(Data_EPA_Survival!$C$5:$C$36,INT(($A97/J$53))+2)-INDEX(Data_EPA_Survival!$C$5:$C$36,INT(($A97/J$53))+1)))</f>
        <v/>
      </c>
      <c r="K97" s="26">
        <f>IF(($A97/K$53)&gt;=31,0,INDEX(Data_EPA_Survival!$C$5:$C$36,INT(($A97/K$53))+1)+(($A97/K$53)-INT(($A97/K$53)))*(INDEX(Data_EPA_Survival!$C$5:$C$36,INT(($A97/K$53))+2)-INDEX(Data_EPA_Survival!$C$5:$C$36,INT(($A97/K$53))+1)))</f>
        <v/>
      </c>
      <c r="L97" s="26">
        <f>IF(($A97/L$53)&gt;=31,0,INDEX(Data_EPA_Survival!$C$5:$C$36,INT(($A97/L$53))+1)+(($A97/L$53)-INT(($A97/L$53)))*(INDEX(Data_EPA_Survival!$C$5:$C$36,INT(($A97/L$53))+2)-INDEX(Data_EPA_Survival!$C$5:$C$36,INT(($A97/L$53))+1)))</f>
        <v/>
      </c>
      <c r="M97" s="26">
        <f>IF(($A97/M$53)&gt;=31,0,INDEX(Data_EPA_Survival!$C$5:$C$36,INT(($A97/M$53))+1)+(($A97/M$53)-INT(($A97/M$53)))*(INDEX(Data_EPA_Survival!$C$5:$C$36,INT(($A97/M$53))+2)-INDEX(Data_EPA_Survival!$C$5:$C$36,INT(($A97/M$53))+1)))</f>
        <v/>
      </c>
      <c r="N97" s="26">
        <f>IF(($A97/N$53)&gt;=31,0,INDEX(Data_EPA_Survival!$C$5:$C$36,INT(($A97/N$53))+1)+(($A97/N$53)-INT(($A97/N$53)))*(INDEX(Data_EPA_Survival!$C$5:$C$36,INT(($A97/N$53))+2)-INDEX(Data_EPA_Survival!$C$5:$C$36,INT(($A97/N$53))+1)))</f>
        <v/>
      </c>
      <c r="O97" s="26">
        <f>IF(($A97/O$53)&gt;=31,0,INDEX(Data_EPA_Survival!$C$5:$C$36,INT(($A97/O$53))+1)+(($A97/O$53)-INT(($A97/O$53)))*(INDEX(Data_EPA_Survival!$C$5:$C$36,INT(($A97/O$53))+2)-INDEX(Data_EPA_Survival!$C$5:$C$36,INT(($A97/O$53))+1)))</f>
        <v/>
      </c>
      <c r="P97" s="26">
        <f>IF(($A97/P$53)&gt;=31,0,INDEX(Data_EPA_Survival!$C$5:$C$36,INT(($A97/P$53))+1)+(($A97/P$53)-INT(($A97/P$53)))*(INDEX(Data_EPA_Survival!$C$5:$C$36,INT(($A97/P$53))+2)-INDEX(Data_EPA_Survival!$C$5:$C$36,INT(($A97/P$53))+1)))</f>
        <v/>
      </c>
      <c r="Q97" s="26">
        <f>IF(($A97/Q$53)&gt;=31,0,INDEX(Data_EPA_Survival!$C$5:$C$36,INT(($A97/Q$53))+1)+(($A97/Q$53)-INT(($A97/Q$53)))*(INDEX(Data_EPA_Survival!$C$5:$C$36,INT(($A97/Q$53))+2)-INDEX(Data_EPA_Survival!$C$5:$C$36,INT(($A97/Q$53))+1)))</f>
        <v/>
      </c>
      <c r="R97" s="26">
        <f>IF(($A97/R$53)&gt;=31,0,INDEX(Data_EPA_Survival!$C$5:$C$36,INT(($A97/R$53))+1)+(($A97/R$53)-INT(($A97/R$53)))*(INDEX(Data_EPA_Survival!$C$5:$C$36,INT(($A97/R$53))+2)-INDEX(Data_EPA_Survival!$C$5:$C$36,INT(($A97/R$53))+1)))</f>
        <v/>
      </c>
      <c r="S97" s="26">
        <f>IF(($A97/S$53)&gt;=31,0,INDEX(Data_EPA_Survival!$C$5:$C$36,INT(($A97/S$53))+1)+(($A97/S$53)-INT(($A97/S$53)))*(INDEX(Data_EPA_Survival!$C$5:$C$36,INT(($A97/S$53))+2)-INDEX(Data_EPA_Survival!$C$5:$C$36,INT(($A97/S$53))+1)))</f>
        <v/>
      </c>
      <c r="T97" s="26">
        <f>IF(($A97/T$53)&gt;=31,0,INDEX(Data_EPA_Survival!$C$5:$C$36,INT(($A97/T$53))+1)+(($A97/T$53)-INT(($A97/T$53)))*(INDEX(Data_EPA_Survival!$C$5:$C$36,INT(($A97/T$53))+2)-INDEX(Data_EPA_Survival!$C$5:$C$36,INT(($A97/T$53))+1)))</f>
        <v/>
      </c>
    </row>
    <row r="98">
      <c r="A98" s="9" t="n">
        <v>43</v>
      </c>
      <c r="C98" s="26">
        <f>IF(($A98/C$53)&gt;=31,0,INDEX(Data_EPA_Survival!$C$5:$C$36,INT(($A98/C$53))+1)+(($A98/C$53)-INT(($A98/C$53)))*(INDEX(Data_EPA_Survival!$C$5:$C$36,INT(($A98/C$53))+2)-INDEX(Data_EPA_Survival!$C$5:$C$36,INT(($A98/C$53))+1)))</f>
        <v/>
      </c>
      <c r="D98" s="26">
        <f>IF(($A98/D$53)&gt;=31,0,INDEX(Data_EPA_Survival!$C$5:$C$36,INT(($A98/D$53))+1)+(($A98/D$53)-INT(($A98/D$53)))*(INDEX(Data_EPA_Survival!$C$5:$C$36,INT(($A98/D$53))+2)-INDEX(Data_EPA_Survival!$C$5:$C$36,INT(($A98/D$53))+1)))</f>
        <v/>
      </c>
      <c r="E98" s="26">
        <f>IF(($A98/E$53)&gt;=31,0,INDEX(Data_EPA_Survival!$C$5:$C$36,INT(($A98/E$53))+1)+(($A98/E$53)-INT(($A98/E$53)))*(INDEX(Data_EPA_Survival!$C$5:$C$36,INT(($A98/E$53))+2)-INDEX(Data_EPA_Survival!$C$5:$C$36,INT(($A98/E$53))+1)))</f>
        <v/>
      </c>
      <c r="F98" s="26">
        <f>IF(($A98/F$53)&gt;=31,0,INDEX(Data_EPA_Survival!$C$5:$C$36,INT(($A98/F$53))+1)+(($A98/F$53)-INT(($A98/F$53)))*(INDEX(Data_EPA_Survival!$C$5:$C$36,INT(($A98/F$53))+2)-INDEX(Data_EPA_Survival!$C$5:$C$36,INT(($A98/F$53))+1)))</f>
        <v/>
      </c>
      <c r="G98" s="26">
        <f>IF(($A98/G$53)&gt;=31,0,INDEX(Data_EPA_Survival!$C$5:$C$36,INT(($A98/G$53))+1)+(($A98/G$53)-INT(($A98/G$53)))*(INDEX(Data_EPA_Survival!$C$5:$C$36,INT(($A98/G$53))+2)-INDEX(Data_EPA_Survival!$C$5:$C$36,INT(($A98/G$53))+1)))</f>
        <v/>
      </c>
      <c r="H98" s="26">
        <f>IF(($A98/H$53)&gt;=31,0,INDEX(Data_EPA_Survival!$C$5:$C$36,INT(($A98/H$53))+1)+(($A98/H$53)-INT(($A98/H$53)))*(INDEX(Data_EPA_Survival!$C$5:$C$36,INT(($A98/H$53))+2)-INDEX(Data_EPA_Survival!$C$5:$C$36,INT(($A98/H$53))+1)))</f>
        <v/>
      </c>
      <c r="I98" s="26">
        <f>IF(($A98/I$53)&gt;=31,0,INDEX(Data_EPA_Survival!$C$5:$C$36,INT(($A98/I$53))+1)+(($A98/I$53)-INT(($A98/I$53)))*(INDEX(Data_EPA_Survival!$C$5:$C$36,INT(($A98/I$53))+2)-INDEX(Data_EPA_Survival!$C$5:$C$36,INT(($A98/I$53))+1)))</f>
        <v/>
      </c>
      <c r="J98" s="26">
        <f>IF(($A98/J$53)&gt;=31,0,INDEX(Data_EPA_Survival!$C$5:$C$36,INT(($A98/J$53))+1)+(($A98/J$53)-INT(($A98/J$53)))*(INDEX(Data_EPA_Survival!$C$5:$C$36,INT(($A98/J$53))+2)-INDEX(Data_EPA_Survival!$C$5:$C$36,INT(($A98/J$53))+1)))</f>
        <v/>
      </c>
      <c r="K98" s="26">
        <f>IF(($A98/K$53)&gt;=31,0,INDEX(Data_EPA_Survival!$C$5:$C$36,INT(($A98/K$53))+1)+(($A98/K$53)-INT(($A98/K$53)))*(INDEX(Data_EPA_Survival!$C$5:$C$36,INT(($A98/K$53))+2)-INDEX(Data_EPA_Survival!$C$5:$C$36,INT(($A98/K$53))+1)))</f>
        <v/>
      </c>
      <c r="L98" s="26">
        <f>IF(($A98/L$53)&gt;=31,0,INDEX(Data_EPA_Survival!$C$5:$C$36,INT(($A98/L$53))+1)+(($A98/L$53)-INT(($A98/L$53)))*(INDEX(Data_EPA_Survival!$C$5:$C$36,INT(($A98/L$53))+2)-INDEX(Data_EPA_Survival!$C$5:$C$36,INT(($A98/L$53))+1)))</f>
        <v/>
      </c>
      <c r="M98" s="26">
        <f>IF(($A98/M$53)&gt;=31,0,INDEX(Data_EPA_Survival!$C$5:$C$36,INT(($A98/M$53))+1)+(($A98/M$53)-INT(($A98/M$53)))*(INDEX(Data_EPA_Survival!$C$5:$C$36,INT(($A98/M$53))+2)-INDEX(Data_EPA_Survival!$C$5:$C$36,INT(($A98/M$53))+1)))</f>
        <v/>
      </c>
      <c r="N98" s="26">
        <f>IF(($A98/N$53)&gt;=31,0,INDEX(Data_EPA_Survival!$C$5:$C$36,INT(($A98/N$53))+1)+(($A98/N$53)-INT(($A98/N$53)))*(INDEX(Data_EPA_Survival!$C$5:$C$36,INT(($A98/N$53))+2)-INDEX(Data_EPA_Survival!$C$5:$C$36,INT(($A98/N$53))+1)))</f>
        <v/>
      </c>
      <c r="O98" s="26">
        <f>IF(($A98/O$53)&gt;=31,0,INDEX(Data_EPA_Survival!$C$5:$C$36,INT(($A98/O$53))+1)+(($A98/O$53)-INT(($A98/O$53)))*(INDEX(Data_EPA_Survival!$C$5:$C$36,INT(($A98/O$53))+2)-INDEX(Data_EPA_Survival!$C$5:$C$36,INT(($A98/O$53))+1)))</f>
        <v/>
      </c>
      <c r="P98" s="26">
        <f>IF(($A98/P$53)&gt;=31,0,INDEX(Data_EPA_Survival!$C$5:$C$36,INT(($A98/P$53))+1)+(($A98/P$53)-INT(($A98/P$53)))*(INDEX(Data_EPA_Survival!$C$5:$C$36,INT(($A98/P$53))+2)-INDEX(Data_EPA_Survival!$C$5:$C$36,INT(($A98/P$53))+1)))</f>
        <v/>
      </c>
      <c r="Q98" s="26">
        <f>IF(($A98/Q$53)&gt;=31,0,INDEX(Data_EPA_Survival!$C$5:$C$36,INT(($A98/Q$53))+1)+(($A98/Q$53)-INT(($A98/Q$53)))*(INDEX(Data_EPA_Survival!$C$5:$C$36,INT(($A98/Q$53))+2)-INDEX(Data_EPA_Survival!$C$5:$C$36,INT(($A98/Q$53))+1)))</f>
        <v/>
      </c>
      <c r="R98" s="26">
        <f>IF(($A98/R$53)&gt;=31,0,INDEX(Data_EPA_Survival!$C$5:$C$36,INT(($A98/R$53))+1)+(($A98/R$53)-INT(($A98/R$53)))*(INDEX(Data_EPA_Survival!$C$5:$C$36,INT(($A98/R$53))+2)-INDEX(Data_EPA_Survival!$C$5:$C$36,INT(($A98/R$53))+1)))</f>
        <v/>
      </c>
      <c r="S98" s="26">
        <f>IF(($A98/S$53)&gt;=31,0,INDEX(Data_EPA_Survival!$C$5:$C$36,INT(($A98/S$53))+1)+(($A98/S$53)-INT(($A98/S$53)))*(INDEX(Data_EPA_Survival!$C$5:$C$36,INT(($A98/S$53))+2)-INDEX(Data_EPA_Survival!$C$5:$C$36,INT(($A98/S$53))+1)))</f>
        <v/>
      </c>
      <c r="T98" s="26">
        <f>IF(($A98/T$53)&gt;=31,0,INDEX(Data_EPA_Survival!$C$5:$C$36,INT(($A98/T$53))+1)+(($A98/T$53)-INT(($A98/T$53)))*(INDEX(Data_EPA_Survival!$C$5:$C$36,INT(($A98/T$53))+2)-INDEX(Data_EPA_Survival!$C$5:$C$36,INT(($A98/T$53))+1)))</f>
        <v/>
      </c>
    </row>
    <row r="99">
      <c r="A99" s="9" t="n">
        <v>44</v>
      </c>
      <c r="C99" s="26">
        <f>IF(($A99/C$53)&gt;=31,0,INDEX(Data_EPA_Survival!$C$5:$C$36,INT(($A99/C$53))+1)+(($A99/C$53)-INT(($A99/C$53)))*(INDEX(Data_EPA_Survival!$C$5:$C$36,INT(($A99/C$53))+2)-INDEX(Data_EPA_Survival!$C$5:$C$36,INT(($A99/C$53))+1)))</f>
        <v/>
      </c>
      <c r="D99" s="26">
        <f>IF(($A99/D$53)&gt;=31,0,INDEX(Data_EPA_Survival!$C$5:$C$36,INT(($A99/D$53))+1)+(($A99/D$53)-INT(($A99/D$53)))*(INDEX(Data_EPA_Survival!$C$5:$C$36,INT(($A99/D$53))+2)-INDEX(Data_EPA_Survival!$C$5:$C$36,INT(($A99/D$53))+1)))</f>
        <v/>
      </c>
      <c r="E99" s="26">
        <f>IF(($A99/E$53)&gt;=31,0,INDEX(Data_EPA_Survival!$C$5:$C$36,INT(($A99/E$53))+1)+(($A99/E$53)-INT(($A99/E$53)))*(INDEX(Data_EPA_Survival!$C$5:$C$36,INT(($A99/E$53))+2)-INDEX(Data_EPA_Survival!$C$5:$C$36,INT(($A99/E$53))+1)))</f>
        <v/>
      </c>
      <c r="F99" s="26">
        <f>IF(($A99/F$53)&gt;=31,0,INDEX(Data_EPA_Survival!$C$5:$C$36,INT(($A99/F$53))+1)+(($A99/F$53)-INT(($A99/F$53)))*(INDEX(Data_EPA_Survival!$C$5:$C$36,INT(($A99/F$53))+2)-INDEX(Data_EPA_Survival!$C$5:$C$36,INT(($A99/F$53))+1)))</f>
        <v/>
      </c>
      <c r="G99" s="26">
        <f>IF(($A99/G$53)&gt;=31,0,INDEX(Data_EPA_Survival!$C$5:$C$36,INT(($A99/G$53))+1)+(($A99/G$53)-INT(($A99/G$53)))*(INDEX(Data_EPA_Survival!$C$5:$C$36,INT(($A99/G$53))+2)-INDEX(Data_EPA_Survival!$C$5:$C$36,INT(($A99/G$53))+1)))</f>
        <v/>
      </c>
      <c r="H99" s="26">
        <f>IF(($A99/H$53)&gt;=31,0,INDEX(Data_EPA_Survival!$C$5:$C$36,INT(($A99/H$53))+1)+(($A99/H$53)-INT(($A99/H$53)))*(INDEX(Data_EPA_Survival!$C$5:$C$36,INT(($A99/H$53))+2)-INDEX(Data_EPA_Survival!$C$5:$C$36,INT(($A99/H$53))+1)))</f>
        <v/>
      </c>
      <c r="I99" s="26">
        <f>IF(($A99/I$53)&gt;=31,0,INDEX(Data_EPA_Survival!$C$5:$C$36,INT(($A99/I$53))+1)+(($A99/I$53)-INT(($A99/I$53)))*(INDEX(Data_EPA_Survival!$C$5:$C$36,INT(($A99/I$53))+2)-INDEX(Data_EPA_Survival!$C$5:$C$36,INT(($A99/I$53))+1)))</f>
        <v/>
      </c>
      <c r="J99" s="26">
        <f>IF(($A99/J$53)&gt;=31,0,INDEX(Data_EPA_Survival!$C$5:$C$36,INT(($A99/J$53))+1)+(($A99/J$53)-INT(($A99/J$53)))*(INDEX(Data_EPA_Survival!$C$5:$C$36,INT(($A99/J$53))+2)-INDEX(Data_EPA_Survival!$C$5:$C$36,INT(($A99/J$53))+1)))</f>
        <v/>
      </c>
      <c r="K99" s="26">
        <f>IF(($A99/K$53)&gt;=31,0,INDEX(Data_EPA_Survival!$C$5:$C$36,INT(($A99/K$53))+1)+(($A99/K$53)-INT(($A99/K$53)))*(INDEX(Data_EPA_Survival!$C$5:$C$36,INT(($A99/K$53))+2)-INDEX(Data_EPA_Survival!$C$5:$C$36,INT(($A99/K$53))+1)))</f>
        <v/>
      </c>
      <c r="L99" s="26">
        <f>IF(($A99/L$53)&gt;=31,0,INDEX(Data_EPA_Survival!$C$5:$C$36,INT(($A99/L$53))+1)+(($A99/L$53)-INT(($A99/L$53)))*(INDEX(Data_EPA_Survival!$C$5:$C$36,INT(($A99/L$53))+2)-INDEX(Data_EPA_Survival!$C$5:$C$36,INT(($A99/L$53))+1)))</f>
        <v/>
      </c>
      <c r="M99" s="26">
        <f>IF(($A99/M$53)&gt;=31,0,INDEX(Data_EPA_Survival!$C$5:$C$36,INT(($A99/M$53))+1)+(($A99/M$53)-INT(($A99/M$53)))*(INDEX(Data_EPA_Survival!$C$5:$C$36,INT(($A99/M$53))+2)-INDEX(Data_EPA_Survival!$C$5:$C$36,INT(($A99/M$53))+1)))</f>
        <v/>
      </c>
      <c r="N99" s="26">
        <f>IF(($A99/N$53)&gt;=31,0,INDEX(Data_EPA_Survival!$C$5:$C$36,INT(($A99/N$53))+1)+(($A99/N$53)-INT(($A99/N$53)))*(INDEX(Data_EPA_Survival!$C$5:$C$36,INT(($A99/N$53))+2)-INDEX(Data_EPA_Survival!$C$5:$C$36,INT(($A99/N$53))+1)))</f>
        <v/>
      </c>
      <c r="O99" s="26">
        <f>IF(($A99/O$53)&gt;=31,0,INDEX(Data_EPA_Survival!$C$5:$C$36,INT(($A99/O$53))+1)+(($A99/O$53)-INT(($A99/O$53)))*(INDEX(Data_EPA_Survival!$C$5:$C$36,INT(($A99/O$53))+2)-INDEX(Data_EPA_Survival!$C$5:$C$36,INT(($A99/O$53))+1)))</f>
        <v/>
      </c>
      <c r="P99" s="26">
        <f>IF(($A99/P$53)&gt;=31,0,INDEX(Data_EPA_Survival!$C$5:$C$36,INT(($A99/P$53))+1)+(($A99/P$53)-INT(($A99/P$53)))*(INDEX(Data_EPA_Survival!$C$5:$C$36,INT(($A99/P$53))+2)-INDEX(Data_EPA_Survival!$C$5:$C$36,INT(($A99/P$53))+1)))</f>
        <v/>
      </c>
      <c r="Q99" s="26">
        <f>IF(($A99/Q$53)&gt;=31,0,INDEX(Data_EPA_Survival!$C$5:$C$36,INT(($A99/Q$53))+1)+(($A99/Q$53)-INT(($A99/Q$53)))*(INDEX(Data_EPA_Survival!$C$5:$C$36,INT(($A99/Q$53))+2)-INDEX(Data_EPA_Survival!$C$5:$C$36,INT(($A99/Q$53))+1)))</f>
        <v/>
      </c>
      <c r="R99" s="26">
        <f>IF(($A99/R$53)&gt;=31,0,INDEX(Data_EPA_Survival!$C$5:$C$36,INT(($A99/R$53))+1)+(($A99/R$53)-INT(($A99/R$53)))*(INDEX(Data_EPA_Survival!$C$5:$C$36,INT(($A99/R$53))+2)-INDEX(Data_EPA_Survival!$C$5:$C$36,INT(($A99/R$53))+1)))</f>
        <v/>
      </c>
      <c r="S99" s="26">
        <f>IF(($A99/S$53)&gt;=31,0,INDEX(Data_EPA_Survival!$C$5:$C$36,INT(($A99/S$53))+1)+(($A99/S$53)-INT(($A99/S$53)))*(INDEX(Data_EPA_Survival!$C$5:$C$36,INT(($A99/S$53))+2)-INDEX(Data_EPA_Survival!$C$5:$C$36,INT(($A99/S$53))+1)))</f>
        <v/>
      </c>
      <c r="T99" s="26">
        <f>IF(($A99/T$53)&gt;=31,0,INDEX(Data_EPA_Survival!$C$5:$C$36,INT(($A99/T$53))+1)+(($A99/T$53)-INT(($A99/T$53)))*(INDEX(Data_EPA_Survival!$C$5:$C$36,INT(($A99/T$53))+2)-INDEX(Data_EPA_Survival!$C$5:$C$36,INT(($A99/T$53))+1)))</f>
        <v/>
      </c>
    </row>
    <row r="100">
      <c r="A100" s="9" t="n">
        <v>45</v>
      </c>
      <c r="C100" s="26">
        <f>IF(($A100/C$53)&gt;=31,0,INDEX(Data_EPA_Survival!$C$5:$C$36,INT(($A100/C$53))+1)+(($A100/C$53)-INT(($A100/C$53)))*(INDEX(Data_EPA_Survival!$C$5:$C$36,INT(($A100/C$53))+2)-INDEX(Data_EPA_Survival!$C$5:$C$36,INT(($A100/C$53))+1)))</f>
        <v/>
      </c>
      <c r="D100" s="26">
        <f>IF(($A100/D$53)&gt;=31,0,INDEX(Data_EPA_Survival!$C$5:$C$36,INT(($A100/D$53))+1)+(($A100/D$53)-INT(($A100/D$53)))*(INDEX(Data_EPA_Survival!$C$5:$C$36,INT(($A100/D$53))+2)-INDEX(Data_EPA_Survival!$C$5:$C$36,INT(($A100/D$53))+1)))</f>
        <v/>
      </c>
      <c r="E100" s="26">
        <f>IF(($A100/E$53)&gt;=31,0,INDEX(Data_EPA_Survival!$C$5:$C$36,INT(($A100/E$53))+1)+(($A100/E$53)-INT(($A100/E$53)))*(INDEX(Data_EPA_Survival!$C$5:$C$36,INT(($A100/E$53))+2)-INDEX(Data_EPA_Survival!$C$5:$C$36,INT(($A100/E$53))+1)))</f>
        <v/>
      </c>
      <c r="F100" s="26">
        <f>IF(($A100/F$53)&gt;=31,0,INDEX(Data_EPA_Survival!$C$5:$C$36,INT(($A100/F$53))+1)+(($A100/F$53)-INT(($A100/F$53)))*(INDEX(Data_EPA_Survival!$C$5:$C$36,INT(($A100/F$53))+2)-INDEX(Data_EPA_Survival!$C$5:$C$36,INT(($A100/F$53))+1)))</f>
        <v/>
      </c>
      <c r="G100" s="26">
        <f>IF(($A100/G$53)&gt;=31,0,INDEX(Data_EPA_Survival!$C$5:$C$36,INT(($A100/G$53))+1)+(($A100/G$53)-INT(($A100/G$53)))*(INDEX(Data_EPA_Survival!$C$5:$C$36,INT(($A100/G$53))+2)-INDEX(Data_EPA_Survival!$C$5:$C$36,INT(($A100/G$53))+1)))</f>
        <v/>
      </c>
      <c r="H100" s="26">
        <f>IF(($A100/H$53)&gt;=31,0,INDEX(Data_EPA_Survival!$C$5:$C$36,INT(($A100/H$53))+1)+(($A100/H$53)-INT(($A100/H$53)))*(INDEX(Data_EPA_Survival!$C$5:$C$36,INT(($A100/H$53))+2)-INDEX(Data_EPA_Survival!$C$5:$C$36,INT(($A100/H$53))+1)))</f>
        <v/>
      </c>
      <c r="I100" s="26">
        <f>IF(($A100/I$53)&gt;=31,0,INDEX(Data_EPA_Survival!$C$5:$C$36,INT(($A100/I$53))+1)+(($A100/I$53)-INT(($A100/I$53)))*(INDEX(Data_EPA_Survival!$C$5:$C$36,INT(($A100/I$53))+2)-INDEX(Data_EPA_Survival!$C$5:$C$36,INT(($A100/I$53))+1)))</f>
        <v/>
      </c>
      <c r="J100" s="26">
        <f>IF(($A100/J$53)&gt;=31,0,INDEX(Data_EPA_Survival!$C$5:$C$36,INT(($A100/J$53))+1)+(($A100/J$53)-INT(($A100/J$53)))*(INDEX(Data_EPA_Survival!$C$5:$C$36,INT(($A100/J$53))+2)-INDEX(Data_EPA_Survival!$C$5:$C$36,INT(($A100/J$53))+1)))</f>
        <v/>
      </c>
      <c r="K100" s="26">
        <f>IF(($A100/K$53)&gt;=31,0,INDEX(Data_EPA_Survival!$C$5:$C$36,INT(($A100/K$53))+1)+(($A100/K$53)-INT(($A100/K$53)))*(INDEX(Data_EPA_Survival!$C$5:$C$36,INT(($A100/K$53))+2)-INDEX(Data_EPA_Survival!$C$5:$C$36,INT(($A100/K$53))+1)))</f>
        <v/>
      </c>
      <c r="L100" s="26">
        <f>IF(($A100/L$53)&gt;=31,0,INDEX(Data_EPA_Survival!$C$5:$C$36,INT(($A100/L$53))+1)+(($A100/L$53)-INT(($A100/L$53)))*(INDEX(Data_EPA_Survival!$C$5:$C$36,INT(($A100/L$53))+2)-INDEX(Data_EPA_Survival!$C$5:$C$36,INT(($A100/L$53))+1)))</f>
        <v/>
      </c>
      <c r="M100" s="26">
        <f>IF(($A100/M$53)&gt;=31,0,INDEX(Data_EPA_Survival!$C$5:$C$36,INT(($A100/M$53))+1)+(($A100/M$53)-INT(($A100/M$53)))*(INDEX(Data_EPA_Survival!$C$5:$C$36,INT(($A100/M$53))+2)-INDEX(Data_EPA_Survival!$C$5:$C$36,INT(($A100/M$53))+1)))</f>
        <v/>
      </c>
      <c r="N100" s="26">
        <f>IF(($A100/N$53)&gt;=31,0,INDEX(Data_EPA_Survival!$C$5:$C$36,INT(($A100/N$53))+1)+(($A100/N$53)-INT(($A100/N$53)))*(INDEX(Data_EPA_Survival!$C$5:$C$36,INT(($A100/N$53))+2)-INDEX(Data_EPA_Survival!$C$5:$C$36,INT(($A100/N$53))+1)))</f>
        <v/>
      </c>
      <c r="O100" s="26">
        <f>IF(($A100/O$53)&gt;=31,0,INDEX(Data_EPA_Survival!$C$5:$C$36,INT(($A100/O$53))+1)+(($A100/O$53)-INT(($A100/O$53)))*(INDEX(Data_EPA_Survival!$C$5:$C$36,INT(($A100/O$53))+2)-INDEX(Data_EPA_Survival!$C$5:$C$36,INT(($A100/O$53))+1)))</f>
        <v/>
      </c>
      <c r="P100" s="26">
        <f>IF(($A100/P$53)&gt;=31,0,INDEX(Data_EPA_Survival!$C$5:$C$36,INT(($A100/P$53))+1)+(($A100/P$53)-INT(($A100/P$53)))*(INDEX(Data_EPA_Survival!$C$5:$C$36,INT(($A100/P$53))+2)-INDEX(Data_EPA_Survival!$C$5:$C$36,INT(($A100/P$53))+1)))</f>
        <v/>
      </c>
      <c r="Q100" s="26">
        <f>IF(($A100/Q$53)&gt;=31,0,INDEX(Data_EPA_Survival!$C$5:$C$36,INT(($A100/Q$53))+1)+(($A100/Q$53)-INT(($A100/Q$53)))*(INDEX(Data_EPA_Survival!$C$5:$C$36,INT(($A100/Q$53))+2)-INDEX(Data_EPA_Survival!$C$5:$C$36,INT(($A100/Q$53))+1)))</f>
        <v/>
      </c>
      <c r="R100" s="26">
        <f>IF(($A100/R$53)&gt;=31,0,INDEX(Data_EPA_Survival!$C$5:$C$36,INT(($A100/R$53))+1)+(($A100/R$53)-INT(($A100/R$53)))*(INDEX(Data_EPA_Survival!$C$5:$C$36,INT(($A100/R$53))+2)-INDEX(Data_EPA_Survival!$C$5:$C$36,INT(($A100/R$53))+1)))</f>
        <v/>
      </c>
      <c r="S100" s="26">
        <f>IF(($A100/S$53)&gt;=31,0,INDEX(Data_EPA_Survival!$C$5:$C$36,INT(($A100/S$53))+1)+(($A100/S$53)-INT(($A100/S$53)))*(INDEX(Data_EPA_Survival!$C$5:$C$36,INT(($A100/S$53))+2)-INDEX(Data_EPA_Survival!$C$5:$C$36,INT(($A100/S$53))+1)))</f>
        <v/>
      </c>
      <c r="T100" s="26">
        <f>IF(($A100/T$53)&gt;=31,0,INDEX(Data_EPA_Survival!$C$5:$C$36,INT(($A100/T$53))+1)+(($A100/T$53)-INT(($A100/T$53)))*(INDEX(Data_EPA_Survival!$C$5:$C$36,INT(($A100/T$53))+2)-INDEX(Data_EPA_Survival!$C$5:$C$36,INT(($A100/T$53))+1)))</f>
        <v/>
      </c>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s>
  <sheetData>
    <row r="1">
      <c r="A1" s="1" t="inlineStr">
        <is>
          <t>Fleet roll — vehicles on the road by model year and calendar year (thousands, cars + light trucks)</t>
        </is>
      </c>
    </row>
    <row r="2" ht="30" customHeight="1">
      <c r="A2" s="6" t="inlineStr">
        <is>
          <t>cell = sales_cars(MY) × S_cars(t−MY, t) + sales_LT(MY) × S_LT(t−MY, t). Blank where the model year is after the calendar year. Row 68 = total VIO.</t>
        </is>
      </c>
    </row>
    <row r="4">
      <c r="A4" s="15" t="inlineStr">
        <is>
          <t>Model year ↓  /  Year →</t>
        </is>
      </c>
      <c r="C4" s="23">
        <f>Inputs!C23</f>
        <v/>
      </c>
      <c r="D4" s="23">
        <f>Inputs!D23</f>
        <v/>
      </c>
      <c r="E4" s="23">
        <f>Inputs!E23</f>
        <v/>
      </c>
      <c r="F4" s="23">
        <f>Inputs!F23</f>
        <v/>
      </c>
      <c r="G4" s="23">
        <f>Inputs!G23</f>
        <v/>
      </c>
      <c r="H4" s="23">
        <f>Inputs!H23</f>
        <v/>
      </c>
      <c r="I4" s="23">
        <f>Inputs!I23</f>
        <v/>
      </c>
      <c r="J4" s="23">
        <f>Inputs!J23</f>
        <v/>
      </c>
      <c r="K4" s="23">
        <f>Inputs!K23</f>
        <v/>
      </c>
      <c r="L4" s="23">
        <f>Inputs!L23</f>
        <v/>
      </c>
      <c r="M4" s="23">
        <f>Inputs!M23</f>
        <v/>
      </c>
      <c r="N4" s="23">
        <f>Inputs!N23</f>
        <v/>
      </c>
      <c r="O4" s="23">
        <f>Inputs!O23</f>
        <v/>
      </c>
      <c r="P4" s="23">
        <f>Inputs!P23</f>
        <v/>
      </c>
      <c r="Q4" s="23">
        <f>Inputs!Q23</f>
        <v/>
      </c>
      <c r="R4" s="23">
        <f>Inputs!R23</f>
        <v/>
      </c>
      <c r="S4" s="23">
        <f>Inputs!S23</f>
        <v/>
      </c>
      <c r="T4" s="23">
        <f>Inputs!T23</f>
        <v/>
      </c>
    </row>
    <row r="6">
      <c r="A6" s="9" t="n">
        <v>1970</v>
      </c>
      <c r="C6" s="27">
        <f>IF(C$4&lt;$A6,"",IF((C$4-$A6)&gt;45,0,INDEX(Data_Sales!$B$5:$B$65,MATCH($A6,Data_Sales!$A$5:$A$65,0))*INDEX(Survival!$C$6:$T$51,(C$4-$A6)+1,MATCH(C$4,Survival!$C$3:$T$3,0))+INDEX(Data_Sales!$C$5:$C$65,MATCH($A6,Data_Sales!$A$5:$A$65,0))*INDEX(Survival!$C$55:$T$100,(C$4-$A6)+1,MATCH(C$4,Survival!$C$3:$T$3,0))))</f>
        <v/>
      </c>
      <c r="D6" s="27">
        <f>IF(D$4&lt;$A6,"",IF((D$4-$A6)&gt;45,0,INDEX(Data_Sales!$B$5:$B$65,MATCH($A6,Data_Sales!$A$5:$A$65,0))*INDEX(Survival!$C$6:$T$51,(D$4-$A6)+1,MATCH(D$4,Survival!$C$3:$T$3,0))+INDEX(Data_Sales!$C$5:$C$65,MATCH($A6,Data_Sales!$A$5:$A$65,0))*INDEX(Survival!$C$55:$T$100,(D$4-$A6)+1,MATCH(D$4,Survival!$C$3:$T$3,0))))</f>
        <v/>
      </c>
      <c r="E6" s="27">
        <f>IF(E$4&lt;$A6,"",IF((E$4-$A6)&gt;45,0,INDEX(Data_Sales!$B$5:$B$65,MATCH($A6,Data_Sales!$A$5:$A$65,0))*INDEX(Survival!$C$6:$T$51,(E$4-$A6)+1,MATCH(E$4,Survival!$C$3:$T$3,0))+INDEX(Data_Sales!$C$5:$C$65,MATCH($A6,Data_Sales!$A$5:$A$65,0))*INDEX(Survival!$C$55:$T$100,(E$4-$A6)+1,MATCH(E$4,Survival!$C$3:$T$3,0))))</f>
        <v/>
      </c>
      <c r="F6" s="27">
        <f>IF(F$4&lt;$A6,"",IF((F$4-$A6)&gt;45,0,INDEX(Data_Sales!$B$5:$B$65,MATCH($A6,Data_Sales!$A$5:$A$65,0))*INDEX(Survival!$C$6:$T$51,(F$4-$A6)+1,MATCH(F$4,Survival!$C$3:$T$3,0))+INDEX(Data_Sales!$C$5:$C$65,MATCH($A6,Data_Sales!$A$5:$A$65,0))*INDEX(Survival!$C$55:$T$100,(F$4-$A6)+1,MATCH(F$4,Survival!$C$3:$T$3,0))))</f>
        <v/>
      </c>
      <c r="G6" s="27">
        <f>IF(G$4&lt;$A6,"",IF((G$4-$A6)&gt;45,0,INDEX(Data_Sales!$B$5:$B$65,MATCH($A6,Data_Sales!$A$5:$A$65,0))*INDEX(Survival!$C$6:$T$51,(G$4-$A6)+1,MATCH(G$4,Survival!$C$3:$T$3,0))+INDEX(Data_Sales!$C$5:$C$65,MATCH($A6,Data_Sales!$A$5:$A$65,0))*INDEX(Survival!$C$55:$T$100,(G$4-$A6)+1,MATCH(G$4,Survival!$C$3:$T$3,0))))</f>
        <v/>
      </c>
      <c r="H6" s="27">
        <f>IF(H$4&lt;$A6,"",IF((H$4-$A6)&gt;45,0,INDEX(Data_Sales!$B$5:$B$65,MATCH($A6,Data_Sales!$A$5:$A$65,0))*INDEX(Survival!$C$6:$T$51,(H$4-$A6)+1,MATCH(H$4,Survival!$C$3:$T$3,0))+INDEX(Data_Sales!$C$5:$C$65,MATCH($A6,Data_Sales!$A$5:$A$65,0))*INDEX(Survival!$C$55:$T$100,(H$4-$A6)+1,MATCH(H$4,Survival!$C$3:$T$3,0))))</f>
        <v/>
      </c>
      <c r="I6" s="27">
        <f>IF(I$4&lt;$A6,"",IF((I$4-$A6)&gt;45,0,INDEX(Data_Sales!$B$5:$B$65,MATCH($A6,Data_Sales!$A$5:$A$65,0))*INDEX(Survival!$C$6:$T$51,(I$4-$A6)+1,MATCH(I$4,Survival!$C$3:$T$3,0))+INDEX(Data_Sales!$C$5:$C$65,MATCH($A6,Data_Sales!$A$5:$A$65,0))*INDEX(Survival!$C$55:$T$100,(I$4-$A6)+1,MATCH(I$4,Survival!$C$3:$T$3,0))))</f>
        <v/>
      </c>
      <c r="J6" s="27">
        <f>IF(J$4&lt;$A6,"",IF((J$4-$A6)&gt;45,0,INDEX(Data_Sales!$B$5:$B$65,MATCH($A6,Data_Sales!$A$5:$A$65,0))*INDEX(Survival!$C$6:$T$51,(J$4-$A6)+1,MATCH(J$4,Survival!$C$3:$T$3,0))+INDEX(Data_Sales!$C$5:$C$65,MATCH($A6,Data_Sales!$A$5:$A$65,0))*INDEX(Survival!$C$55:$T$100,(J$4-$A6)+1,MATCH(J$4,Survival!$C$3:$T$3,0))))</f>
        <v/>
      </c>
      <c r="K6" s="27">
        <f>IF(K$4&lt;$A6,"",IF((K$4-$A6)&gt;45,0,INDEX(Data_Sales!$B$5:$B$65,MATCH($A6,Data_Sales!$A$5:$A$65,0))*INDEX(Survival!$C$6:$T$51,(K$4-$A6)+1,MATCH(K$4,Survival!$C$3:$T$3,0))+INDEX(Data_Sales!$C$5:$C$65,MATCH($A6,Data_Sales!$A$5:$A$65,0))*INDEX(Survival!$C$55:$T$100,(K$4-$A6)+1,MATCH(K$4,Survival!$C$3:$T$3,0))))</f>
        <v/>
      </c>
      <c r="L6" s="27">
        <f>IF(L$4&lt;$A6,"",IF((L$4-$A6)&gt;45,0,INDEX(Data_Sales!$B$5:$B$65,MATCH($A6,Data_Sales!$A$5:$A$65,0))*INDEX(Survival!$C$6:$T$51,(L$4-$A6)+1,MATCH(L$4,Survival!$C$3:$T$3,0))+INDEX(Data_Sales!$C$5:$C$65,MATCH($A6,Data_Sales!$A$5:$A$65,0))*INDEX(Survival!$C$55:$T$100,(L$4-$A6)+1,MATCH(L$4,Survival!$C$3:$T$3,0))))</f>
        <v/>
      </c>
      <c r="M6" s="27">
        <f>IF(M$4&lt;$A6,"",IF((M$4-$A6)&gt;45,0,INDEX(Data_Sales!$B$5:$B$65,MATCH($A6,Data_Sales!$A$5:$A$65,0))*INDEX(Survival!$C$6:$T$51,(M$4-$A6)+1,MATCH(M$4,Survival!$C$3:$T$3,0))+INDEX(Data_Sales!$C$5:$C$65,MATCH($A6,Data_Sales!$A$5:$A$65,0))*INDEX(Survival!$C$55:$T$100,(M$4-$A6)+1,MATCH(M$4,Survival!$C$3:$T$3,0))))</f>
        <v/>
      </c>
      <c r="N6" s="27">
        <f>IF(N$4&lt;$A6,"",IF((N$4-$A6)&gt;45,0,INDEX(Data_Sales!$B$5:$B$65,MATCH($A6,Data_Sales!$A$5:$A$65,0))*INDEX(Survival!$C$6:$T$51,(N$4-$A6)+1,MATCH(N$4,Survival!$C$3:$T$3,0))+INDEX(Data_Sales!$C$5:$C$65,MATCH($A6,Data_Sales!$A$5:$A$65,0))*INDEX(Survival!$C$55:$T$100,(N$4-$A6)+1,MATCH(N$4,Survival!$C$3:$T$3,0))))</f>
        <v/>
      </c>
      <c r="O6" s="27">
        <f>IF(O$4&lt;$A6,"",IF((O$4-$A6)&gt;45,0,INDEX(Data_Sales!$B$5:$B$65,MATCH($A6,Data_Sales!$A$5:$A$65,0))*INDEX(Survival!$C$6:$T$51,(O$4-$A6)+1,MATCH(O$4,Survival!$C$3:$T$3,0))+INDEX(Data_Sales!$C$5:$C$65,MATCH($A6,Data_Sales!$A$5:$A$65,0))*INDEX(Survival!$C$55:$T$100,(O$4-$A6)+1,MATCH(O$4,Survival!$C$3:$T$3,0))))</f>
        <v/>
      </c>
      <c r="P6" s="27">
        <f>IF(P$4&lt;$A6,"",IF((P$4-$A6)&gt;45,0,INDEX(Data_Sales!$B$5:$B$65,MATCH($A6,Data_Sales!$A$5:$A$65,0))*INDEX(Survival!$C$6:$T$51,(P$4-$A6)+1,MATCH(P$4,Survival!$C$3:$T$3,0))+INDEX(Data_Sales!$C$5:$C$65,MATCH($A6,Data_Sales!$A$5:$A$65,0))*INDEX(Survival!$C$55:$T$100,(P$4-$A6)+1,MATCH(P$4,Survival!$C$3:$T$3,0))))</f>
        <v/>
      </c>
      <c r="Q6" s="27">
        <f>IF(Q$4&lt;$A6,"",IF((Q$4-$A6)&gt;45,0,INDEX(Data_Sales!$B$5:$B$65,MATCH($A6,Data_Sales!$A$5:$A$65,0))*INDEX(Survival!$C$6:$T$51,(Q$4-$A6)+1,MATCH(Q$4,Survival!$C$3:$T$3,0))+INDEX(Data_Sales!$C$5:$C$65,MATCH($A6,Data_Sales!$A$5:$A$65,0))*INDEX(Survival!$C$55:$T$100,(Q$4-$A6)+1,MATCH(Q$4,Survival!$C$3:$T$3,0))))</f>
        <v/>
      </c>
      <c r="R6" s="27">
        <f>IF(R$4&lt;$A6,"",IF((R$4-$A6)&gt;45,0,INDEX(Data_Sales!$B$5:$B$65,MATCH($A6,Data_Sales!$A$5:$A$65,0))*INDEX(Survival!$C$6:$T$51,(R$4-$A6)+1,MATCH(R$4,Survival!$C$3:$T$3,0))+INDEX(Data_Sales!$C$5:$C$65,MATCH($A6,Data_Sales!$A$5:$A$65,0))*INDEX(Survival!$C$55:$T$100,(R$4-$A6)+1,MATCH(R$4,Survival!$C$3:$T$3,0))))</f>
        <v/>
      </c>
      <c r="S6" s="27">
        <f>IF(S$4&lt;$A6,"",IF((S$4-$A6)&gt;45,0,INDEX(Data_Sales!$B$5:$B$65,MATCH($A6,Data_Sales!$A$5:$A$65,0))*INDEX(Survival!$C$6:$T$51,(S$4-$A6)+1,MATCH(S$4,Survival!$C$3:$T$3,0))+INDEX(Data_Sales!$C$5:$C$65,MATCH($A6,Data_Sales!$A$5:$A$65,0))*INDEX(Survival!$C$55:$T$100,(S$4-$A6)+1,MATCH(S$4,Survival!$C$3:$T$3,0))))</f>
        <v/>
      </c>
      <c r="T6" s="27">
        <f>IF(T$4&lt;$A6,"",IF((T$4-$A6)&gt;45,0,INDEX(Data_Sales!$B$5:$B$65,MATCH($A6,Data_Sales!$A$5:$A$65,0))*INDEX(Survival!$C$6:$T$51,(T$4-$A6)+1,MATCH(T$4,Survival!$C$3:$T$3,0))+INDEX(Data_Sales!$C$5:$C$65,MATCH($A6,Data_Sales!$A$5:$A$65,0))*INDEX(Survival!$C$55:$T$100,(T$4-$A6)+1,MATCH(T$4,Survival!$C$3:$T$3,0))))</f>
        <v/>
      </c>
    </row>
    <row r="7">
      <c r="A7" s="9" t="n">
        <v>1971</v>
      </c>
      <c r="C7" s="27">
        <f>IF(C$4&lt;$A7,"",IF((C$4-$A7)&gt;45,0,INDEX(Data_Sales!$B$5:$B$65,MATCH($A7,Data_Sales!$A$5:$A$65,0))*INDEX(Survival!$C$6:$T$51,(C$4-$A7)+1,MATCH(C$4,Survival!$C$3:$T$3,0))+INDEX(Data_Sales!$C$5:$C$65,MATCH($A7,Data_Sales!$A$5:$A$65,0))*INDEX(Survival!$C$55:$T$100,(C$4-$A7)+1,MATCH(C$4,Survival!$C$3:$T$3,0))))</f>
        <v/>
      </c>
      <c r="D7" s="27">
        <f>IF(D$4&lt;$A7,"",IF((D$4-$A7)&gt;45,0,INDEX(Data_Sales!$B$5:$B$65,MATCH($A7,Data_Sales!$A$5:$A$65,0))*INDEX(Survival!$C$6:$T$51,(D$4-$A7)+1,MATCH(D$4,Survival!$C$3:$T$3,0))+INDEX(Data_Sales!$C$5:$C$65,MATCH($A7,Data_Sales!$A$5:$A$65,0))*INDEX(Survival!$C$55:$T$100,(D$4-$A7)+1,MATCH(D$4,Survival!$C$3:$T$3,0))))</f>
        <v/>
      </c>
      <c r="E7" s="27">
        <f>IF(E$4&lt;$A7,"",IF((E$4-$A7)&gt;45,0,INDEX(Data_Sales!$B$5:$B$65,MATCH($A7,Data_Sales!$A$5:$A$65,0))*INDEX(Survival!$C$6:$T$51,(E$4-$A7)+1,MATCH(E$4,Survival!$C$3:$T$3,0))+INDEX(Data_Sales!$C$5:$C$65,MATCH($A7,Data_Sales!$A$5:$A$65,0))*INDEX(Survival!$C$55:$T$100,(E$4-$A7)+1,MATCH(E$4,Survival!$C$3:$T$3,0))))</f>
        <v/>
      </c>
      <c r="F7" s="27">
        <f>IF(F$4&lt;$A7,"",IF((F$4-$A7)&gt;45,0,INDEX(Data_Sales!$B$5:$B$65,MATCH($A7,Data_Sales!$A$5:$A$65,0))*INDEX(Survival!$C$6:$T$51,(F$4-$A7)+1,MATCH(F$4,Survival!$C$3:$T$3,0))+INDEX(Data_Sales!$C$5:$C$65,MATCH($A7,Data_Sales!$A$5:$A$65,0))*INDEX(Survival!$C$55:$T$100,(F$4-$A7)+1,MATCH(F$4,Survival!$C$3:$T$3,0))))</f>
        <v/>
      </c>
      <c r="G7" s="27">
        <f>IF(G$4&lt;$A7,"",IF((G$4-$A7)&gt;45,0,INDEX(Data_Sales!$B$5:$B$65,MATCH($A7,Data_Sales!$A$5:$A$65,0))*INDEX(Survival!$C$6:$T$51,(G$4-$A7)+1,MATCH(G$4,Survival!$C$3:$T$3,0))+INDEX(Data_Sales!$C$5:$C$65,MATCH($A7,Data_Sales!$A$5:$A$65,0))*INDEX(Survival!$C$55:$T$100,(G$4-$A7)+1,MATCH(G$4,Survival!$C$3:$T$3,0))))</f>
        <v/>
      </c>
      <c r="H7" s="27">
        <f>IF(H$4&lt;$A7,"",IF((H$4-$A7)&gt;45,0,INDEX(Data_Sales!$B$5:$B$65,MATCH($A7,Data_Sales!$A$5:$A$65,0))*INDEX(Survival!$C$6:$T$51,(H$4-$A7)+1,MATCH(H$4,Survival!$C$3:$T$3,0))+INDEX(Data_Sales!$C$5:$C$65,MATCH($A7,Data_Sales!$A$5:$A$65,0))*INDEX(Survival!$C$55:$T$100,(H$4-$A7)+1,MATCH(H$4,Survival!$C$3:$T$3,0))))</f>
        <v/>
      </c>
      <c r="I7" s="27">
        <f>IF(I$4&lt;$A7,"",IF((I$4-$A7)&gt;45,0,INDEX(Data_Sales!$B$5:$B$65,MATCH($A7,Data_Sales!$A$5:$A$65,0))*INDEX(Survival!$C$6:$T$51,(I$4-$A7)+1,MATCH(I$4,Survival!$C$3:$T$3,0))+INDEX(Data_Sales!$C$5:$C$65,MATCH($A7,Data_Sales!$A$5:$A$65,0))*INDEX(Survival!$C$55:$T$100,(I$4-$A7)+1,MATCH(I$4,Survival!$C$3:$T$3,0))))</f>
        <v/>
      </c>
      <c r="J7" s="27">
        <f>IF(J$4&lt;$A7,"",IF((J$4-$A7)&gt;45,0,INDEX(Data_Sales!$B$5:$B$65,MATCH($A7,Data_Sales!$A$5:$A$65,0))*INDEX(Survival!$C$6:$T$51,(J$4-$A7)+1,MATCH(J$4,Survival!$C$3:$T$3,0))+INDEX(Data_Sales!$C$5:$C$65,MATCH($A7,Data_Sales!$A$5:$A$65,0))*INDEX(Survival!$C$55:$T$100,(J$4-$A7)+1,MATCH(J$4,Survival!$C$3:$T$3,0))))</f>
        <v/>
      </c>
      <c r="K7" s="27">
        <f>IF(K$4&lt;$A7,"",IF((K$4-$A7)&gt;45,0,INDEX(Data_Sales!$B$5:$B$65,MATCH($A7,Data_Sales!$A$5:$A$65,0))*INDEX(Survival!$C$6:$T$51,(K$4-$A7)+1,MATCH(K$4,Survival!$C$3:$T$3,0))+INDEX(Data_Sales!$C$5:$C$65,MATCH($A7,Data_Sales!$A$5:$A$65,0))*INDEX(Survival!$C$55:$T$100,(K$4-$A7)+1,MATCH(K$4,Survival!$C$3:$T$3,0))))</f>
        <v/>
      </c>
      <c r="L7" s="27">
        <f>IF(L$4&lt;$A7,"",IF((L$4-$A7)&gt;45,0,INDEX(Data_Sales!$B$5:$B$65,MATCH($A7,Data_Sales!$A$5:$A$65,0))*INDEX(Survival!$C$6:$T$51,(L$4-$A7)+1,MATCH(L$4,Survival!$C$3:$T$3,0))+INDEX(Data_Sales!$C$5:$C$65,MATCH($A7,Data_Sales!$A$5:$A$65,0))*INDEX(Survival!$C$55:$T$100,(L$4-$A7)+1,MATCH(L$4,Survival!$C$3:$T$3,0))))</f>
        <v/>
      </c>
      <c r="M7" s="27">
        <f>IF(M$4&lt;$A7,"",IF((M$4-$A7)&gt;45,0,INDEX(Data_Sales!$B$5:$B$65,MATCH($A7,Data_Sales!$A$5:$A$65,0))*INDEX(Survival!$C$6:$T$51,(M$4-$A7)+1,MATCH(M$4,Survival!$C$3:$T$3,0))+INDEX(Data_Sales!$C$5:$C$65,MATCH($A7,Data_Sales!$A$5:$A$65,0))*INDEX(Survival!$C$55:$T$100,(M$4-$A7)+1,MATCH(M$4,Survival!$C$3:$T$3,0))))</f>
        <v/>
      </c>
      <c r="N7" s="27">
        <f>IF(N$4&lt;$A7,"",IF((N$4-$A7)&gt;45,0,INDEX(Data_Sales!$B$5:$B$65,MATCH($A7,Data_Sales!$A$5:$A$65,0))*INDEX(Survival!$C$6:$T$51,(N$4-$A7)+1,MATCH(N$4,Survival!$C$3:$T$3,0))+INDEX(Data_Sales!$C$5:$C$65,MATCH($A7,Data_Sales!$A$5:$A$65,0))*INDEX(Survival!$C$55:$T$100,(N$4-$A7)+1,MATCH(N$4,Survival!$C$3:$T$3,0))))</f>
        <v/>
      </c>
      <c r="O7" s="27">
        <f>IF(O$4&lt;$A7,"",IF((O$4-$A7)&gt;45,0,INDEX(Data_Sales!$B$5:$B$65,MATCH($A7,Data_Sales!$A$5:$A$65,0))*INDEX(Survival!$C$6:$T$51,(O$4-$A7)+1,MATCH(O$4,Survival!$C$3:$T$3,0))+INDEX(Data_Sales!$C$5:$C$65,MATCH($A7,Data_Sales!$A$5:$A$65,0))*INDEX(Survival!$C$55:$T$100,(O$4-$A7)+1,MATCH(O$4,Survival!$C$3:$T$3,0))))</f>
        <v/>
      </c>
      <c r="P7" s="27">
        <f>IF(P$4&lt;$A7,"",IF((P$4-$A7)&gt;45,0,INDEX(Data_Sales!$B$5:$B$65,MATCH($A7,Data_Sales!$A$5:$A$65,0))*INDEX(Survival!$C$6:$T$51,(P$4-$A7)+1,MATCH(P$4,Survival!$C$3:$T$3,0))+INDEX(Data_Sales!$C$5:$C$65,MATCH($A7,Data_Sales!$A$5:$A$65,0))*INDEX(Survival!$C$55:$T$100,(P$4-$A7)+1,MATCH(P$4,Survival!$C$3:$T$3,0))))</f>
        <v/>
      </c>
      <c r="Q7" s="27">
        <f>IF(Q$4&lt;$A7,"",IF((Q$4-$A7)&gt;45,0,INDEX(Data_Sales!$B$5:$B$65,MATCH($A7,Data_Sales!$A$5:$A$65,0))*INDEX(Survival!$C$6:$T$51,(Q$4-$A7)+1,MATCH(Q$4,Survival!$C$3:$T$3,0))+INDEX(Data_Sales!$C$5:$C$65,MATCH($A7,Data_Sales!$A$5:$A$65,0))*INDEX(Survival!$C$55:$T$100,(Q$4-$A7)+1,MATCH(Q$4,Survival!$C$3:$T$3,0))))</f>
        <v/>
      </c>
      <c r="R7" s="27">
        <f>IF(R$4&lt;$A7,"",IF((R$4-$A7)&gt;45,0,INDEX(Data_Sales!$B$5:$B$65,MATCH($A7,Data_Sales!$A$5:$A$65,0))*INDEX(Survival!$C$6:$T$51,(R$4-$A7)+1,MATCH(R$4,Survival!$C$3:$T$3,0))+INDEX(Data_Sales!$C$5:$C$65,MATCH($A7,Data_Sales!$A$5:$A$65,0))*INDEX(Survival!$C$55:$T$100,(R$4-$A7)+1,MATCH(R$4,Survival!$C$3:$T$3,0))))</f>
        <v/>
      </c>
      <c r="S7" s="27">
        <f>IF(S$4&lt;$A7,"",IF((S$4-$A7)&gt;45,0,INDEX(Data_Sales!$B$5:$B$65,MATCH($A7,Data_Sales!$A$5:$A$65,0))*INDEX(Survival!$C$6:$T$51,(S$4-$A7)+1,MATCH(S$4,Survival!$C$3:$T$3,0))+INDEX(Data_Sales!$C$5:$C$65,MATCH($A7,Data_Sales!$A$5:$A$65,0))*INDEX(Survival!$C$55:$T$100,(S$4-$A7)+1,MATCH(S$4,Survival!$C$3:$T$3,0))))</f>
        <v/>
      </c>
      <c r="T7" s="27">
        <f>IF(T$4&lt;$A7,"",IF((T$4-$A7)&gt;45,0,INDEX(Data_Sales!$B$5:$B$65,MATCH($A7,Data_Sales!$A$5:$A$65,0))*INDEX(Survival!$C$6:$T$51,(T$4-$A7)+1,MATCH(T$4,Survival!$C$3:$T$3,0))+INDEX(Data_Sales!$C$5:$C$65,MATCH($A7,Data_Sales!$A$5:$A$65,0))*INDEX(Survival!$C$55:$T$100,(T$4-$A7)+1,MATCH(T$4,Survival!$C$3:$T$3,0))))</f>
        <v/>
      </c>
    </row>
    <row r="8">
      <c r="A8" s="9" t="n">
        <v>1972</v>
      </c>
      <c r="C8" s="27">
        <f>IF(C$4&lt;$A8,"",IF((C$4-$A8)&gt;45,0,INDEX(Data_Sales!$B$5:$B$65,MATCH($A8,Data_Sales!$A$5:$A$65,0))*INDEX(Survival!$C$6:$T$51,(C$4-$A8)+1,MATCH(C$4,Survival!$C$3:$T$3,0))+INDEX(Data_Sales!$C$5:$C$65,MATCH($A8,Data_Sales!$A$5:$A$65,0))*INDEX(Survival!$C$55:$T$100,(C$4-$A8)+1,MATCH(C$4,Survival!$C$3:$T$3,0))))</f>
        <v/>
      </c>
      <c r="D8" s="27">
        <f>IF(D$4&lt;$A8,"",IF((D$4-$A8)&gt;45,0,INDEX(Data_Sales!$B$5:$B$65,MATCH($A8,Data_Sales!$A$5:$A$65,0))*INDEX(Survival!$C$6:$T$51,(D$4-$A8)+1,MATCH(D$4,Survival!$C$3:$T$3,0))+INDEX(Data_Sales!$C$5:$C$65,MATCH($A8,Data_Sales!$A$5:$A$65,0))*INDEX(Survival!$C$55:$T$100,(D$4-$A8)+1,MATCH(D$4,Survival!$C$3:$T$3,0))))</f>
        <v/>
      </c>
      <c r="E8" s="27">
        <f>IF(E$4&lt;$A8,"",IF((E$4-$A8)&gt;45,0,INDEX(Data_Sales!$B$5:$B$65,MATCH($A8,Data_Sales!$A$5:$A$65,0))*INDEX(Survival!$C$6:$T$51,(E$4-$A8)+1,MATCH(E$4,Survival!$C$3:$T$3,0))+INDEX(Data_Sales!$C$5:$C$65,MATCH($A8,Data_Sales!$A$5:$A$65,0))*INDEX(Survival!$C$55:$T$100,(E$4-$A8)+1,MATCH(E$4,Survival!$C$3:$T$3,0))))</f>
        <v/>
      </c>
      <c r="F8" s="27">
        <f>IF(F$4&lt;$A8,"",IF((F$4-$A8)&gt;45,0,INDEX(Data_Sales!$B$5:$B$65,MATCH($A8,Data_Sales!$A$5:$A$65,0))*INDEX(Survival!$C$6:$T$51,(F$4-$A8)+1,MATCH(F$4,Survival!$C$3:$T$3,0))+INDEX(Data_Sales!$C$5:$C$65,MATCH($A8,Data_Sales!$A$5:$A$65,0))*INDEX(Survival!$C$55:$T$100,(F$4-$A8)+1,MATCH(F$4,Survival!$C$3:$T$3,0))))</f>
        <v/>
      </c>
      <c r="G8" s="27">
        <f>IF(G$4&lt;$A8,"",IF((G$4-$A8)&gt;45,0,INDEX(Data_Sales!$B$5:$B$65,MATCH($A8,Data_Sales!$A$5:$A$65,0))*INDEX(Survival!$C$6:$T$51,(G$4-$A8)+1,MATCH(G$4,Survival!$C$3:$T$3,0))+INDEX(Data_Sales!$C$5:$C$65,MATCH($A8,Data_Sales!$A$5:$A$65,0))*INDEX(Survival!$C$55:$T$100,(G$4-$A8)+1,MATCH(G$4,Survival!$C$3:$T$3,0))))</f>
        <v/>
      </c>
      <c r="H8" s="27">
        <f>IF(H$4&lt;$A8,"",IF((H$4-$A8)&gt;45,0,INDEX(Data_Sales!$B$5:$B$65,MATCH($A8,Data_Sales!$A$5:$A$65,0))*INDEX(Survival!$C$6:$T$51,(H$4-$A8)+1,MATCH(H$4,Survival!$C$3:$T$3,0))+INDEX(Data_Sales!$C$5:$C$65,MATCH($A8,Data_Sales!$A$5:$A$65,0))*INDEX(Survival!$C$55:$T$100,(H$4-$A8)+1,MATCH(H$4,Survival!$C$3:$T$3,0))))</f>
        <v/>
      </c>
      <c r="I8" s="27">
        <f>IF(I$4&lt;$A8,"",IF((I$4-$A8)&gt;45,0,INDEX(Data_Sales!$B$5:$B$65,MATCH($A8,Data_Sales!$A$5:$A$65,0))*INDEX(Survival!$C$6:$T$51,(I$4-$A8)+1,MATCH(I$4,Survival!$C$3:$T$3,0))+INDEX(Data_Sales!$C$5:$C$65,MATCH($A8,Data_Sales!$A$5:$A$65,0))*INDEX(Survival!$C$55:$T$100,(I$4-$A8)+1,MATCH(I$4,Survival!$C$3:$T$3,0))))</f>
        <v/>
      </c>
      <c r="J8" s="27">
        <f>IF(J$4&lt;$A8,"",IF((J$4-$A8)&gt;45,0,INDEX(Data_Sales!$B$5:$B$65,MATCH($A8,Data_Sales!$A$5:$A$65,0))*INDEX(Survival!$C$6:$T$51,(J$4-$A8)+1,MATCH(J$4,Survival!$C$3:$T$3,0))+INDEX(Data_Sales!$C$5:$C$65,MATCH($A8,Data_Sales!$A$5:$A$65,0))*INDEX(Survival!$C$55:$T$100,(J$4-$A8)+1,MATCH(J$4,Survival!$C$3:$T$3,0))))</f>
        <v/>
      </c>
      <c r="K8" s="27">
        <f>IF(K$4&lt;$A8,"",IF((K$4-$A8)&gt;45,0,INDEX(Data_Sales!$B$5:$B$65,MATCH($A8,Data_Sales!$A$5:$A$65,0))*INDEX(Survival!$C$6:$T$51,(K$4-$A8)+1,MATCH(K$4,Survival!$C$3:$T$3,0))+INDEX(Data_Sales!$C$5:$C$65,MATCH($A8,Data_Sales!$A$5:$A$65,0))*INDEX(Survival!$C$55:$T$100,(K$4-$A8)+1,MATCH(K$4,Survival!$C$3:$T$3,0))))</f>
        <v/>
      </c>
      <c r="L8" s="27">
        <f>IF(L$4&lt;$A8,"",IF((L$4-$A8)&gt;45,0,INDEX(Data_Sales!$B$5:$B$65,MATCH($A8,Data_Sales!$A$5:$A$65,0))*INDEX(Survival!$C$6:$T$51,(L$4-$A8)+1,MATCH(L$4,Survival!$C$3:$T$3,0))+INDEX(Data_Sales!$C$5:$C$65,MATCH($A8,Data_Sales!$A$5:$A$65,0))*INDEX(Survival!$C$55:$T$100,(L$4-$A8)+1,MATCH(L$4,Survival!$C$3:$T$3,0))))</f>
        <v/>
      </c>
      <c r="M8" s="27">
        <f>IF(M$4&lt;$A8,"",IF((M$4-$A8)&gt;45,0,INDEX(Data_Sales!$B$5:$B$65,MATCH($A8,Data_Sales!$A$5:$A$65,0))*INDEX(Survival!$C$6:$T$51,(M$4-$A8)+1,MATCH(M$4,Survival!$C$3:$T$3,0))+INDEX(Data_Sales!$C$5:$C$65,MATCH($A8,Data_Sales!$A$5:$A$65,0))*INDEX(Survival!$C$55:$T$100,(M$4-$A8)+1,MATCH(M$4,Survival!$C$3:$T$3,0))))</f>
        <v/>
      </c>
      <c r="N8" s="27">
        <f>IF(N$4&lt;$A8,"",IF((N$4-$A8)&gt;45,0,INDEX(Data_Sales!$B$5:$B$65,MATCH($A8,Data_Sales!$A$5:$A$65,0))*INDEX(Survival!$C$6:$T$51,(N$4-$A8)+1,MATCH(N$4,Survival!$C$3:$T$3,0))+INDEX(Data_Sales!$C$5:$C$65,MATCH($A8,Data_Sales!$A$5:$A$65,0))*INDEX(Survival!$C$55:$T$100,(N$4-$A8)+1,MATCH(N$4,Survival!$C$3:$T$3,0))))</f>
        <v/>
      </c>
      <c r="O8" s="27">
        <f>IF(O$4&lt;$A8,"",IF((O$4-$A8)&gt;45,0,INDEX(Data_Sales!$B$5:$B$65,MATCH($A8,Data_Sales!$A$5:$A$65,0))*INDEX(Survival!$C$6:$T$51,(O$4-$A8)+1,MATCH(O$4,Survival!$C$3:$T$3,0))+INDEX(Data_Sales!$C$5:$C$65,MATCH($A8,Data_Sales!$A$5:$A$65,0))*INDEX(Survival!$C$55:$T$100,(O$4-$A8)+1,MATCH(O$4,Survival!$C$3:$T$3,0))))</f>
        <v/>
      </c>
      <c r="P8" s="27">
        <f>IF(P$4&lt;$A8,"",IF((P$4-$A8)&gt;45,0,INDEX(Data_Sales!$B$5:$B$65,MATCH($A8,Data_Sales!$A$5:$A$65,0))*INDEX(Survival!$C$6:$T$51,(P$4-$A8)+1,MATCH(P$4,Survival!$C$3:$T$3,0))+INDEX(Data_Sales!$C$5:$C$65,MATCH($A8,Data_Sales!$A$5:$A$65,0))*INDEX(Survival!$C$55:$T$100,(P$4-$A8)+1,MATCH(P$4,Survival!$C$3:$T$3,0))))</f>
        <v/>
      </c>
      <c r="Q8" s="27">
        <f>IF(Q$4&lt;$A8,"",IF((Q$4-$A8)&gt;45,0,INDEX(Data_Sales!$B$5:$B$65,MATCH($A8,Data_Sales!$A$5:$A$65,0))*INDEX(Survival!$C$6:$T$51,(Q$4-$A8)+1,MATCH(Q$4,Survival!$C$3:$T$3,0))+INDEX(Data_Sales!$C$5:$C$65,MATCH($A8,Data_Sales!$A$5:$A$65,0))*INDEX(Survival!$C$55:$T$100,(Q$4-$A8)+1,MATCH(Q$4,Survival!$C$3:$T$3,0))))</f>
        <v/>
      </c>
      <c r="R8" s="27">
        <f>IF(R$4&lt;$A8,"",IF((R$4-$A8)&gt;45,0,INDEX(Data_Sales!$B$5:$B$65,MATCH($A8,Data_Sales!$A$5:$A$65,0))*INDEX(Survival!$C$6:$T$51,(R$4-$A8)+1,MATCH(R$4,Survival!$C$3:$T$3,0))+INDEX(Data_Sales!$C$5:$C$65,MATCH($A8,Data_Sales!$A$5:$A$65,0))*INDEX(Survival!$C$55:$T$100,(R$4-$A8)+1,MATCH(R$4,Survival!$C$3:$T$3,0))))</f>
        <v/>
      </c>
      <c r="S8" s="27">
        <f>IF(S$4&lt;$A8,"",IF((S$4-$A8)&gt;45,0,INDEX(Data_Sales!$B$5:$B$65,MATCH($A8,Data_Sales!$A$5:$A$65,0))*INDEX(Survival!$C$6:$T$51,(S$4-$A8)+1,MATCH(S$4,Survival!$C$3:$T$3,0))+INDEX(Data_Sales!$C$5:$C$65,MATCH($A8,Data_Sales!$A$5:$A$65,0))*INDEX(Survival!$C$55:$T$100,(S$4-$A8)+1,MATCH(S$4,Survival!$C$3:$T$3,0))))</f>
        <v/>
      </c>
      <c r="T8" s="27">
        <f>IF(T$4&lt;$A8,"",IF((T$4-$A8)&gt;45,0,INDEX(Data_Sales!$B$5:$B$65,MATCH($A8,Data_Sales!$A$5:$A$65,0))*INDEX(Survival!$C$6:$T$51,(T$4-$A8)+1,MATCH(T$4,Survival!$C$3:$T$3,0))+INDEX(Data_Sales!$C$5:$C$65,MATCH($A8,Data_Sales!$A$5:$A$65,0))*INDEX(Survival!$C$55:$T$100,(T$4-$A8)+1,MATCH(T$4,Survival!$C$3:$T$3,0))))</f>
        <v/>
      </c>
    </row>
    <row r="9">
      <c r="A9" s="9" t="n">
        <v>1973</v>
      </c>
      <c r="C9" s="27">
        <f>IF(C$4&lt;$A9,"",IF((C$4-$A9)&gt;45,0,INDEX(Data_Sales!$B$5:$B$65,MATCH($A9,Data_Sales!$A$5:$A$65,0))*INDEX(Survival!$C$6:$T$51,(C$4-$A9)+1,MATCH(C$4,Survival!$C$3:$T$3,0))+INDEX(Data_Sales!$C$5:$C$65,MATCH($A9,Data_Sales!$A$5:$A$65,0))*INDEX(Survival!$C$55:$T$100,(C$4-$A9)+1,MATCH(C$4,Survival!$C$3:$T$3,0))))</f>
        <v/>
      </c>
      <c r="D9" s="27">
        <f>IF(D$4&lt;$A9,"",IF((D$4-$A9)&gt;45,0,INDEX(Data_Sales!$B$5:$B$65,MATCH($A9,Data_Sales!$A$5:$A$65,0))*INDEX(Survival!$C$6:$T$51,(D$4-$A9)+1,MATCH(D$4,Survival!$C$3:$T$3,0))+INDEX(Data_Sales!$C$5:$C$65,MATCH($A9,Data_Sales!$A$5:$A$65,0))*INDEX(Survival!$C$55:$T$100,(D$4-$A9)+1,MATCH(D$4,Survival!$C$3:$T$3,0))))</f>
        <v/>
      </c>
      <c r="E9" s="27">
        <f>IF(E$4&lt;$A9,"",IF((E$4-$A9)&gt;45,0,INDEX(Data_Sales!$B$5:$B$65,MATCH($A9,Data_Sales!$A$5:$A$65,0))*INDEX(Survival!$C$6:$T$51,(E$4-$A9)+1,MATCH(E$4,Survival!$C$3:$T$3,0))+INDEX(Data_Sales!$C$5:$C$65,MATCH($A9,Data_Sales!$A$5:$A$65,0))*INDEX(Survival!$C$55:$T$100,(E$4-$A9)+1,MATCH(E$4,Survival!$C$3:$T$3,0))))</f>
        <v/>
      </c>
      <c r="F9" s="27">
        <f>IF(F$4&lt;$A9,"",IF((F$4-$A9)&gt;45,0,INDEX(Data_Sales!$B$5:$B$65,MATCH($A9,Data_Sales!$A$5:$A$65,0))*INDEX(Survival!$C$6:$T$51,(F$4-$A9)+1,MATCH(F$4,Survival!$C$3:$T$3,0))+INDEX(Data_Sales!$C$5:$C$65,MATCH($A9,Data_Sales!$A$5:$A$65,0))*INDEX(Survival!$C$55:$T$100,(F$4-$A9)+1,MATCH(F$4,Survival!$C$3:$T$3,0))))</f>
        <v/>
      </c>
      <c r="G9" s="27">
        <f>IF(G$4&lt;$A9,"",IF((G$4-$A9)&gt;45,0,INDEX(Data_Sales!$B$5:$B$65,MATCH($A9,Data_Sales!$A$5:$A$65,0))*INDEX(Survival!$C$6:$T$51,(G$4-$A9)+1,MATCH(G$4,Survival!$C$3:$T$3,0))+INDEX(Data_Sales!$C$5:$C$65,MATCH($A9,Data_Sales!$A$5:$A$65,0))*INDEX(Survival!$C$55:$T$100,(G$4-$A9)+1,MATCH(G$4,Survival!$C$3:$T$3,0))))</f>
        <v/>
      </c>
      <c r="H9" s="27">
        <f>IF(H$4&lt;$A9,"",IF((H$4-$A9)&gt;45,0,INDEX(Data_Sales!$B$5:$B$65,MATCH($A9,Data_Sales!$A$5:$A$65,0))*INDEX(Survival!$C$6:$T$51,(H$4-$A9)+1,MATCH(H$4,Survival!$C$3:$T$3,0))+INDEX(Data_Sales!$C$5:$C$65,MATCH($A9,Data_Sales!$A$5:$A$65,0))*INDEX(Survival!$C$55:$T$100,(H$4-$A9)+1,MATCH(H$4,Survival!$C$3:$T$3,0))))</f>
        <v/>
      </c>
      <c r="I9" s="27">
        <f>IF(I$4&lt;$A9,"",IF((I$4-$A9)&gt;45,0,INDEX(Data_Sales!$B$5:$B$65,MATCH($A9,Data_Sales!$A$5:$A$65,0))*INDEX(Survival!$C$6:$T$51,(I$4-$A9)+1,MATCH(I$4,Survival!$C$3:$T$3,0))+INDEX(Data_Sales!$C$5:$C$65,MATCH($A9,Data_Sales!$A$5:$A$65,0))*INDEX(Survival!$C$55:$T$100,(I$4-$A9)+1,MATCH(I$4,Survival!$C$3:$T$3,0))))</f>
        <v/>
      </c>
      <c r="J9" s="27">
        <f>IF(J$4&lt;$A9,"",IF((J$4-$A9)&gt;45,0,INDEX(Data_Sales!$B$5:$B$65,MATCH($A9,Data_Sales!$A$5:$A$65,0))*INDEX(Survival!$C$6:$T$51,(J$4-$A9)+1,MATCH(J$4,Survival!$C$3:$T$3,0))+INDEX(Data_Sales!$C$5:$C$65,MATCH($A9,Data_Sales!$A$5:$A$65,0))*INDEX(Survival!$C$55:$T$100,(J$4-$A9)+1,MATCH(J$4,Survival!$C$3:$T$3,0))))</f>
        <v/>
      </c>
      <c r="K9" s="27">
        <f>IF(K$4&lt;$A9,"",IF((K$4-$A9)&gt;45,0,INDEX(Data_Sales!$B$5:$B$65,MATCH($A9,Data_Sales!$A$5:$A$65,0))*INDEX(Survival!$C$6:$T$51,(K$4-$A9)+1,MATCH(K$4,Survival!$C$3:$T$3,0))+INDEX(Data_Sales!$C$5:$C$65,MATCH($A9,Data_Sales!$A$5:$A$65,0))*INDEX(Survival!$C$55:$T$100,(K$4-$A9)+1,MATCH(K$4,Survival!$C$3:$T$3,0))))</f>
        <v/>
      </c>
      <c r="L9" s="27">
        <f>IF(L$4&lt;$A9,"",IF((L$4-$A9)&gt;45,0,INDEX(Data_Sales!$B$5:$B$65,MATCH($A9,Data_Sales!$A$5:$A$65,0))*INDEX(Survival!$C$6:$T$51,(L$4-$A9)+1,MATCH(L$4,Survival!$C$3:$T$3,0))+INDEX(Data_Sales!$C$5:$C$65,MATCH($A9,Data_Sales!$A$5:$A$65,0))*INDEX(Survival!$C$55:$T$100,(L$4-$A9)+1,MATCH(L$4,Survival!$C$3:$T$3,0))))</f>
        <v/>
      </c>
      <c r="M9" s="27">
        <f>IF(M$4&lt;$A9,"",IF((M$4-$A9)&gt;45,0,INDEX(Data_Sales!$B$5:$B$65,MATCH($A9,Data_Sales!$A$5:$A$65,0))*INDEX(Survival!$C$6:$T$51,(M$4-$A9)+1,MATCH(M$4,Survival!$C$3:$T$3,0))+INDEX(Data_Sales!$C$5:$C$65,MATCH($A9,Data_Sales!$A$5:$A$65,0))*INDEX(Survival!$C$55:$T$100,(M$4-$A9)+1,MATCH(M$4,Survival!$C$3:$T$3,0))))</f>
        <v/>
      </c>
      <c r="N9" s="27">
        <f>IF(N$4&lt;$A9,"",IF((N$4-$A9)&gt;45,0,INDEX(Data_Sales!$B$5:$B$65,MATCH($A9,Data_Sales!$A$5:$A$65,0))*INDEX(Survival!$C$6:$T$51,(N$4-$A9)+1,MATCH(N$4,Survival!$C$3:$T$3,0))+INDEX(Data_Sales!$C$5:$C$65,MATCH($A9,Data_Sales!$A$5:$A$65,0))*INDEX(Survival!$C$55:$T$100,(N$4-$A9)+1,MATCH(N$4,Survival!$C$3:$T$3,0))))</f>
        <v/>
      </c>
      <c r="O9" s="27">
        <f>IF(O$4&lt;$A9,"",IF((O$4-$A9)&gt;45,0,INDEX(Data_Sales!$B$5:$B$65,MATCH($A9,Data_Sales!$A$5:$A$65,0))*INDEX(Survival!$C$6:$T$51,(O$4-$A9)+1,MATCH(O$4,Survival!$C$3:$T$3,0))+INDEX(Data_Sales!$C$5:$C$65,MATCH($A9,Data_Sales!$A$5:$A$65,0))*INDEX(Survival!$C$55:$T$100,(O$4-$A9)+1,MATCH(O$4,Survival!$C$3:$T$3,0))))</f>
        <v/>
      </c>
      <c r="P9" s="27">
        <f>IF(P$4&lt;$A9,"",IF((P$4-$A9)&gt;45,0,INDEX(Data_Sales!$B$5:$B$65,MATCH($A9,Data_Sales!$A$5:$A$65,0))*INDEX(Survival!$C$6:$T$51,(P$4-$A9)+1,MATCH(P$4,Survival!$C$3:$T$3,0))+INDEX(Data_Sales!$C$5:$C$65,MATCH($A9,Data_Sales!$A$5:$A$65,0))*INDEX(Survival!$C$55:$T$100,(P$4-$A9)+1,MATCH(P$4,Survival!$C$3:$T$3,0))))</f>
        <v/>
      </c>
      <c r="Q9" s="27">
        <f>IF(Q$4&lt;$A9,"",IF((Q$4-$A9)&gt;45,0,INDEX(Data_Sales!$B$5:$B$65,MATCH($A9,Data_Sales!$A$5:$A$65,0))*INDEX(Survival!$C$6:$T$51,(Q$4-$A9)+1,MATCH(Q$4,Survival!$C$3:$T$3,0))+INDEX(Data_Sales!$C$5:$C$65,MATCH($A9,Data_Sales!$A$5:$A$65,0))*INDEX(Survival!$C$55:$T$100,(Q$4-$A9)+1,MATCH(Q$4,Survival!$C$3:$T$3,0))))</f>
        <v/>
      </c>
      <c r="R9" s="27">
        <f>IF(R$4&lt;$A9,"",IF((R$4-$A9)&gt;45,0,INDEX(Data_Sales!$B$5:$B$65,MATCH($A9,Data_Sales!$A$5:$A$65,0))*INDEX(Survival!$C$6:$T$51,(R$4-$A9)+1,MATCH(R$4,Survival!$C$3:$T$3,0))+INDEX(Data_Sales!$C$5:$C$65,MATCH($A9,Data_Sales!$A$5:$A$65,0))*INDEX(Survival!$C$55:$T$100,(R$4-$A9)+1,MATCH(R$4,Survival!$C$3:$T$3,0))))</f>
        <v/>
      </c>
      <c r="S9" s="27">
        <f>IF(S$4&lt;$A9,"",IF((S$4-$A9)&gt;45,0,INDEX(Data_Sales!$B$5:$B$65,MATCH($A9,Data_Sales!$A$5:$A$65,0))*INDEX(Survival!$C$6:$T$51,(S$4-$A9)+1,MATCH(S$4,Survival!$C$3:$T$3,0))+INDEX(Data_Sales!$C$5:$C$65,MATCH($A9,Data_Sales!$A$5:$A$65,0))*INDEX(Survival!$C$55:$T$100,(S$4-$A9)+1,MATCH(S$4,Survival!$C$3:$T$3,0))))</f>
        <v/>
      </c>
      <c r="T9" s="27">
        <f>IF(T$4&lt;$A9,"",IF((T$4-$A9)&gt;45,0,INDEX(Data_Sales!$B$5:$B$65,MATCH($A9,Data_Sales!$A$5:$A$65,0))*INDEX(Survival!$C$6:$T$51,(T$4-$A9)+1,MATCH(T$4,Survival!$C$3:$T$3,0))+INDEX(Data_Sales!$C$5:$C$65,MATCH($A9,Data_Sales!$A$5:$A$65,0))*INDEX(Survival!$C$55:$T$100,(T$4-$A9)+1,MATCH(T$4,Survival!$C$3:$T$3,0))))</f>
        <v/>
      </c>
    </row>
    <row r="10">
      <c r="A10" s="9" t="n">
        <v>1974</v>
      </c>
      <c r="C10" s="27">
        <f>IF(C$4&lt;$A10,"",IF((C$4-$A10)&gt;45,0,INDEX(Data_Sales!$B$5:$B$65,MATCH($A10,Data_Sales!$A$5:$A$65,0))*INDEX(Survival!$C$6:$T$51,(C$4-$A10)+1,MATCH(C$4,Survival!$C$3:$T$3,0))+INDEX(Data_Sales!$C$5:$C$65,MATCH($A10,Data_Sales!$A$5:$A$65,0))*INDEX(Survival!$C$55:$T$100,(C$4-$A10)+1,MATCH(C$4,Survival!$C$3:$T$3,0))))</f>
        <v/>
      </c>
      <c r="D10" s="27">
        <f>IF(D$4&lt;$A10,"",IF((D$4-$A10)&gt;45,0,INDEX(Data_Sales!$B$5:$B$65,MATCH($A10,Data_Sales!$A$5:$A$65,0))*INDEX(Survival!$C$6:$T$51,(D$4-$A10)+1,MATCH(D$4,Survival!$C$3:$T$3,0))+INDEX(Data_Sales!$C$5:$C$65,MATCH($A10,Data_Sales!$A$5:$A$65,0))*INDEX(Survival!$C$55:$T$100,(D$4-$A10)+1,MATCH(D$4,Survival!$C$3:$T$3,0))))</f>
        <v/>
      </c>
      <c r="E10" s="27">
        <f>IF(E$4&lt;$A10,"",IF((E$4-$A10)&gt;45,0,INDEX(Data_Sales!$B$5:$B$65,MATCH($A10,Data_Sales!$A$5:$A$65,0))*INDEX(Survival!$C$6:$T$51,(E$4-$A10)+1,MATCH(E$4,Survival!$C$3:$T$3,0))+INDEX(Data_Sales!$C$5:$C$65,MATCH($A10,Data_Sales!$A$5:$A$65,0))*INDEX(Survival!$C$55:$T$100,(E$4-$A10)+1,MATCH(E$4,Survival!$C$3:$T$3,0))))</f>
        <v/>
      </c>
      <c r="F10" s="27">
        <f>IF(F$4&lt;$A10,"",IF((F$4-$A10)&gt;45,0,INDEX(Data_Sales!$B$5:$B$65,MATCH($A10,Data_Sales!$A$5:$A$65,0))*INDEX(Survival!$C$6:$T$51,(F$4-$A10)+1,MATCH(F$4,Survival!$C$3:$T$3,0))+INDEX(Data_Sales!$C$5:$C$65,MATCH($A10,Data_Sales!$A$5:$A$65,0))*INDEX(Survival!$C$55:$T$100,(F$4-$A10)+1,MATCH(F$4,Survival!$C$3:$T$3,0))))</f>
        <v/>
      </c>
      <c r="G10" s="27">
        <f>IF(G$4&lt;$A10,"",IF((G$4-$A10)&gt;45,0,INDEX(Data_Sales!$B$5:$B$65,MATCH($A10,Data_Sales!$A$5:$A$65,0))*INDEX(Survival!$C$6:$T$51,(G$4-$A10)+1,MATCH(G$4,Survival!$C$3:$T$3,0))+INDEX(Data_Sales!$C$5:$C$65,MATCH($A10,Data_Sales!$A$5:$A$65,0))*INDEX(Survival!$C$55:$T$100,(G$4-$A10)+1,MATCH(G$4,Survival!$C$3:$T$3,0))))</f>
        <v/>
      </c>
      <c r="H10" s="27">
        <f>IF(H$4&lt;$A10,"",IF((H$4-$A10)&gt;45,0,INDEX(Data_Sales!$B$5:$B$65,MATCH($A10,Data_Sales!$A$5:$A$65,0))*INDEX(Survival!$C$6:$T$51,(H$4-$A10)+1,MATCH(H$4,Survival!$C$3:$T$3,0))+INDEX(Data_Sales!$C$5:$C$65,MATCH($A10,Data_Sales!$A$5:$A$65,0))*INDEX(Survival!$C$55:$T$100,(H$4-$A10)+1,MATCH(H$4,Survival!$C$3:$T$3,0))))</f>
        <v/>
      </c>
      <c r="I10" s="27">
        <f>IF(I$4&lt;$A10,"",IF((I$4-$A10)&gt;45,0,INDEX(Data_Sales!$B$5:$B$65,MATCH($A10,Data_Sales!$A$5:$A$65,0))*INDEX(Survival!$C$6:$T$51,(I$4-$A10)+1,MATCH(I$4,Survival!$C$3:$T$3,0))+INDEX(Data_Sales!$C$5:$C$65,MATCH($A10,Data_Sales!$A$5:$A$65,0))*INDEX(Survival!$C$55:$T$100,(I$4-$A10)+1,MATCH(I$4,Survival!$C$3:$T$3,0))))</f>
        <v/>
      </c>
      <c r="J10" s="27">
        <f>IF(J$4&lt;$A10,"",IF((J$4-$A10)&gt;45,0,INDEX(Data_Sales!$B$5:$B$65,MATCH($A10,Data_Sales!$A$5:$A$65,0))*INDEX(Survival!$C$6:$T$51,(J$4-$A10)+1,MATCH(J$4,Survival!$C$3:$T$3,0))+INDEX(Data_Sales!$C$5:$C$65,MATCH($A10,Data_Sales!$A$5:$A$65,0))*INDEX(Survival!$C$55:$T$100,(J$4-$A10)+1,MATCH(J$4,Survival!$C$3:$T$3,0))))</f>
        <v/>
      </c>
      <c r="K10" s="27">
        <f>IF(K$4&lt;$A10,"",IF((K$4-$A10)&gt;45,0,INDEX(Data_Sales!$B$5:$B$65,MATCH($A10,Data_Sales!$A$5:$A$65,0))*INDEX(Survival!$C$6:$T$51,(K$4-$A10)+1,MATCH(K$4,Survival!$C$3:$T$3,0))+INDEX(Data_Sales!$C$5:$C$65,MATCH($A10,Data_Sales!$A$5:$A$65,0))*INDEX(Survival!$C$55:$T$100,(K$4-$A10)+1,MATCH(K$4,Survival!$C$3:$T$3,0))))</f>
        <v/>
      </c>
      <c r="L10" s="27">
        <f>IF(L$4&lt;$A10,"",IF((L$4-$A10)&gt;45,0,INDEX(Data_Sales!$B$5:$B$65,MATCH($A10,Data_Sales!$A$5:$A$65,0))*INDEX(Survival!$C$6:$T$51,(L$4-$A10)+1,MATCH(L$4,Survival!$C$3:$T$3,0))+INDEX(Data_Sales!$C$5:$C$65,MATCH($A10,Data_Sales!$A$5:$A$65,0))*INDEX(Survival!$C$55:$T$100,(L$4-$A10)+1,MATCH(L$4,Survival!$C$3:$T$3,0))))</f>
        <v/>
      </c>
      <c r="M10" s="27">
        <f>IF(M$4&lt;$A10,"",IF((M$4-$A10)&gt;45,0,INDEX(Data_Sales!$B$5:$B$65,MATCH($A10,Data_Sales!$A$5:$A$65,0))*INDEX(Survival!$C$6:$T$51,(M$4-$A10)+1,MATCH(M$4,Survival!$C$3:$T$3,0))+INDEX(Data_Sales!$C$5:$C$65,MATCH($A10,Data_Sales!$A$5:$A$65,0))*INDEX(Survival!$C$55:$T$100,(M$4-$A10)+1,MATCH(M$4,Survival!$C$3:$T$3,0))))</f>
        <v/>
      </c>
      <c r="N10" s="27">
        <f>IF(N$4&lt;$A10,"",IF((N$4-$A10)&gt;45,0,INDEX(Data_Sales!$B$5:$B$65,MATCH($A10,Data_Sales!$A$5:$A$65,0))*INDEX(Survival!$C$6:$T$51,(N$4-$A10)+1,MATCH(N$4,Survival!$C$3:$T$3,0))+INDEX(Data_Sales!$C$5:$C$65,MATCH($A10,Data_Sales!$A$5:$A$65,0))*INDEX(Survival!$C$55:$T$100,(N$4-$A10)+1,MATCH(N$4,Survival!$C$3:$T$3,0))))</f>
        <v/>
      </c>
      <c r="O10" s="27">
        <f>IF(O$4&lt;$A10,"",IF((O$4-$A10)&gt;45,0,INDEX(Data_Sales!$B$5:$B$65,MATCH($A10,Data_Sales!$A$5:$A$65,0))*INDEX(Survival!$C$6:$T$51,(O$4-$A10)+1,MATCH(O$4,Survival!$C$3:$T$3,0))+INDEX(Data_Sales!$C$5:$C$65,MATCH($A10,Data_Sales!$A$5:$A$65,0))*INDEX(Survival!$C$55:$T$100,(O$4-$A10)+1,MATCH(O$4,Survival!$C$3:$T$3,0))))</f>
        <v/>
      </c>
      <c r="P10" s="27">
        <f>IF(P$4&lt;$A10,"",IF((P$4-$A10)&gt;45,0,INDEX(Data_Sales!$B$5:$B$65,MATCH($A10,Data_Sales!$A$5:$A$65,0))*INDEX(Survival!$C$6:$T$51,(P$4-$A10)+1,MATCH(P$4,Survival!$C$3:$T$3,0))+INDEX(Data_Sales!$C$5:$C$65,MATCH($A10,Data_Sales!$A$5:$A$65,0))*INDEX(Survival!$C$55:$T$100,(P$4-$A10)+1,MATCH(P$4,Survival!$C$3:$T$3,0))))</f>
        <v/>
      </c>
      <c r="Q10" s="27">
        <f>IF(Q$4&lt;$A10,"",IF((Q$4-$A10)&gt;45,0,INDEX(Data_Sales!$B$5:$B$65,MATCH($A10,Data_Sales!$A$5:$A$65,0))*INDEX(Survival!$C$6:$T$51,(Q$4-$A10)+1,MATCH(Q$4,Survival!$C$3:$T$3,0))+INDEX(Data_Sales!$C$5:$C$65,MATCH($A10,Data_Sales!$A$5:$A$65,0))*INDEX(Survival!$C$55:$T$100,(Q$4-$A10)+1,MATCH(Q$4,Survival!$C$3:$T$3,0))))</f>
        <v/>
      </c>
      <c r="R10" s="27">
        <f>IF(R$4&lt;$A10,"",IF((R$4-$A10)&gt;45,0,INDEX(Data_Sales!$B$5:$B$65,MATCH($A10,Data_Sales!$A$5:$A$65,0))*INDEX(Survival!$C$6:$T$51,(R$4-$A10)+1,MATCH(R$4,Survival!$C$3:$T$3,0))+INDEX(Data_Sales!$C$5:$C$65,MATCH($A10,Data_Sales!$A$5:$A$65,0))*INDEX(Survival!$C$55:$T$100,(R$4-$A10)+1,MATCH(R$4,Survival!$C$3:$T$3,0))))</f>
        <v/>
      </c>
      <c r="S10" s="27">
        <f>IF(S$4&lt;$A10,"",IF((S$4-$A10)&gt;45,0,INDEX(Data_Sales!$B$5:$B$65,MATCH($A10,Data_Sales!$A$5:$A$65,0))*INDEX(Survival!$C$6:$T$51,(S$4-$A10)+1,MATCH(S$4,Survival!$C$3:$T$3,0))+INDEX(Data_Sales!$C$5:$C$65,MATCH($A10,Data_Sales!$A$5:$A$65,0))*INDEX(Survival!$C$55:$T$100,(S$4-$A10)+1,MATCH(S$4,Survival!$C$3:$T$3,0))))</f>
        <v/>
      </c>
      <c r="T10" s="27">
        <f>IF(T$4&lt;$A10,"",IF((T$4-$A10)&gt;45,0,INDEX(Data_Sales!$B$5:$B$65,MATCH($A10,Data_Sales!$A$5:$A$65,0))*INDEX(Survival!$C$6:$T$51,(T$4-$A10)+1,MATCH(T$4,Survival!$C$3:$T$3,0))+INDEX(Data_Sales!$C$5:$C$65,MATCH($A10,Data_Sales!$A$5:$A$65,0))*INDEX(Survival!$C$55:$T$100,(T$4-$A10)+1,MATCH(T$4,Survival!$C$3:$T$3,0))))</f>
        <v/>
      </c>
    </row>
    <row r="11">
      <c r="A11" s="9" t="n">
        <v>1975</v>
      </c>
      <c r="C11" s="27">
        <f>IF(C$4&lt;$A11,"",IF((C$4-$A11)&gt;45,0,INDEX(Data_Sales!$B$5:$B$65,MATCH($A11,Data_Sales!$A$5:$A$65,0))*INDEX(Survival!$C$6:$T$51,(C$4-$A11)+1,MATCH(C$4,Survival!$C$3:$T$3,0))+INDEX(Data_Sales!$C$5:$C$65,MATCH($A11,Data_Sales!$A$5:$A$65,0))*INDEX(Survival!$C$55:$T$100,(C$4-$A11)+1,MATCH(C$4,Survival!$C$3:$T$3,0))))</f>
        <v/>
      </c>
      <c r="D11" s="27">
        <f>IF(D$4&lt;$A11,"",IF((D$4-$A11)&gt;45,0,INDEX(Data_Sales!$B$5:$B$65,MATCH($A11,Data_Sales!$A$5:$A$65,0))*INDEX(Survival!$C$6:$T$51,(D$4-$A11)+1,MATCH(D$4,Survival!$C$3:$T$3,0))+INDEX(Data_Sales!$C$5:$C$65,MATCH($A11,Data_Sales!$A$5:$A$65,0))*INDEX(Survival!$C$55:$T$100,(D$4-$A11)+1,MATCH(D$4,Survival!$C$3:$T$3,0))))</f>
        <v/>
      </c>
      <c r="E11" s="27">
        <f>IF(E$4&lt;$A11,"",IF((E$4-$A11)&gt;45,0,INDEX(Data_Sales!$B$5:$B$65,MATCH($A11,Data_Sales!$A$5:$A$65,0))*INDEX(Survival!$C$6:$T$51,(E$4-$A11)+1,MATCH(E$4,Survival!$C$3:$T$3,0))+INDEX(Data_Sales!$C$5:$C$65,MATCH($A11,Data_Sales!$A$5:$A$65,0))*INDEX(Survival!$C$55:$T$100,(E$4-$A11)+1,MATCH(E$4,Survival!$C$3:$T$3,0))))</f>
        <v/>
      </c>
      <c r="F11" s="27">
        <f>IF(F$4&lt;$A11,"",IF((F$4-$A11)&gt;45,0,INDEX(Data_Sales!$B$5:$B$65,MATCH($A11,Data_Sales!$A$5:$A$65,0))*INDEX(Survival!$C$6:$T$51,(F$4-$A11)+1,MATCH(F$4,Survival!$C$3:$T$3,0))+INDEX(Data_Sales!$C$5:$C$65,MATCH($A11,Data_Sales!$A$5:$A$65,0))*INDEX(Survival!$C$55:$T$100,(F$4-$A11)+1,MATCH(F$4,Survival!$C$3:$T$3,0))))</f>
        <v/>
      </c>
      <c r="G11" s="27">
        <f>IF(G$4&lt;$A11,"",IF((G$4-$A11)&gt;45,0,INDEX(Data_Sales!$B$5:$B$65,MATCH($A11,Data_Sales!$A$5:$A$65,0))*INDEX(Survival!$C$6:$T$51,(G$4-$A11)+1,MATCH(G$4,Survival!$C$3:$T$3,0))+INDEX(Data_Sales!$C$5:$C$65,MATCH($A11,Data_Sales!$A$5:$A$65,0))*INDEX(Survival!$C$55:$T$100,(G$4-$A11)+1,MATCH(G$4,Survival!$C$3:$T$3,0))))</f>
        <v/>
      </c>
      <c r="H11" s="27">
        <f>IF(H$4&lt;$A11,"",IF((H$4-$A11)&gt;45,0,INDEX(Data_Sales!$B$5:$B$65,MATCH($A11,Data_Sales!$A$5:$A$65,0))*INDEX(Survival!$C$6:$T$51,(H$4-$A11)+1,MATCH(H$4,Survival!$C$3:$T$3,0))+INDEX(Data_Sales!$C$5:$C$65,MATCH($A11,Data_Sales!$A$5:$A$65,0))*INDEX(Survival!$C$55:$T$100,(H$4-$A11)+1,MATCH(H$4,Survival!$C$3:$T$3,0))))</f>
        <v/>
      </c>
      <c r="I11" s="27">
        <f>IF(I$4&lt;$A11,"",IF((I$4-$A11)&gt;45,0,INDEX(Data_Sales!$B$5:$B$65,MATCH($A11,Data_Sales!$A$5:$A$65,0))*INDEX(Survival!$C$6:$T$51,(I$4-$A11)+1,MATCH(I$4,Survival!$C$3:$T$3,0))+INDEX(Data_Sales!$C$5:$C$65,MATCH($A11,Data_Sales!$A$5:$A$65,0))*INDEX(Survival!$C$55:$T$100,(I$4-$A11)+1,MATCH(I$4,Survival!$C$3:$T$3,0))))</f>
        <v/>
      </c>
      <c r="J11" s="27">
        <f>IF(J$4&lt;$A11,"",IF((J$4-$A11)&gt;45,0,INDEX(Data_Sales!$B$5:$B$65,MATCH($A11,Data_Sales!$A$5:$A$65,0))*INDEX(Survival!$C$6:$T$51,(J$4-$A11)+1,MATCH(J$4,Survival!$C$3:$T$3,0))+INDEX(Data_Sales!$C$5:$C$65,MATCH($A11,Data_Sales!$A$5:$A$65,0))*INDEX(Survival!$C$55:$T$100,(J$4-$A11)+1,MATCH(J$4,Survival!$C$3:$T$3,0))))</f>
        <v/>
      </c>
      <c r="K11" s="27">
        <f>IF(K$4&lt;$A11,"",IF((K$4-$A11)&gt;45,0,INDEX(Data_Sales!$B$5:$B$65,MATCH($A11,Data_Sales!$A$5:$A$65,0))*INDEX(Survival!$C$6:$T$51,(K$4-$A11)+1,MATCH(K$4,Survival!$C$3:$T$3,0))+INDEX(Data_Sales!$C$5:$C$65,MATCH($A11,Data_Sales!$A$5:$A$65,0))*INDEX(Survival!$C$55:$T$100,(K$4-$A11)+1,MATCH(K$4,Survival!$C$3:$T$3,0))))</f>
        <v/>
      </c>
      <c r="L11" s="27">
        <f>IF(L$4&lt;$A11,"",IF((L$4-$A11)&gt;45,0,INDEX(Data_Sales!$B$5:$B$65,MATCH($A11,Data_Sales!$A$5:$A$65,0))*INDEX(Survival!$C$6:$T$51,(L$4-$A11)+1,MATCH(L$4,Survival!$C$3:$T$3,0))+INDEX(Data_Sales!$C$5:$C$65,MATCH($A11,Data_Sales!$A$5:$A$65,0))*INDEX(Survival!$C$55:$T$100,(L$4-$A11)+1,MATCH(L$4,Survival!$C$3:$T$3,0))))</f>
        <v/>
      </c>
      <c r="M11" s="27">
        <f>IF(M$4&lt;$A11,"",IF((M$4-$A11)&gt;45,0,INDEX(Data_Sales!$B$5:$B$65,MATCH($A11,Data_Sales!$A$5:$A$65,0))*INDEX(Survival!$C$6:$T$51,(M$4-$A11)+1,MATCH(M$4,Survival!$C$3:$T$3,0))+INDEX(Data_Sales!$C$5:$C$65,MATCH($A11,Data_Sales!$A$5:$A$65,0))*INDEX(Survival!$C$55:$T$100,(M$4-$A11)+1,MATCH(M$4,Survival!$C$3:$T$3,0))))</f>
        <v/>
      </c>
      <c r="N11" s="27">
        <f>IF(N$4&lt;$A11,"",IF((N$4-$A11)&gt;45,0,INDEX(Data_Sales!$B$5:$B$65,MATCH($A11,Data_Sales!$A$5:$A$65,0))*INDEX(Survival!$C$6:$T$51,(N$4-$A11)+1,MATCH(N$4,Survival!$C$3:$T$3,0))+INDEX(Data_Sales!$C$5:$C$65,MATCH($A11,Data_Sales!$A$5:$A$65,0))*INDEX(Survival!$C$55:$T$100,(N$4-$A11)+1,MATCH(N$4,Survival!$C$3:$T$3,0))))</f>
        <v/>
      </c>
      <c r="O11" s="27">
        <f>IF(O$4&lt;$A11,"",IF((O$4-$A11)&gt;45,0,INDEX(Data_Sales!$B$5:$B$65,MATCH($A11,Data_Sales!$A$5:$A$65,0))*INDEX(Survival!$C$6:$T$51,(O$4-$A11)+1,MATCH(O$4,Survival!$C$3:$T$3,0))+INDEX(Data_Sales!$C$5:$C$65,MATCH($A11,Data_Sales!$A$5:$A$65,0))*INDEX(Survival!$C$55:$T$100,(O$4-$A11)+1,MATCH(O$4,Survival!$C$3:$T$3,0))))</f>
        <v/>
      </c>
      <c r="P11" s="27">
        <f>IF(P$4&lt;$A11,"",IF((P$4-$A11)&gt;45,0,INDEX(Data_Sales!$B$5:$B$65,MATCH($A11,Data_Sales!$A$5:$A$65,0))*INDEX(Survival!$C$6:$T$51,(P$4-$A11)+1,MATCH(P$4,Survival!$C$3:$T$3,0))+INDEX(Data_Sales!$C$5:$C$65,MATCH($A11,Data_Sales!$A$5:$A$65,0))*INDEX(Survival!$C$55:$T$100,(P$4-$A11)+1,MATCH(P$4,Survival!$C$3:$T$3,0))))</f>
        <v/>
      </c>
      <c r="Q11" s="27">
        <f>IF(Q$4&lt;$A11,"",IF((Q$4-$A11)&gt;45,0,INDEX(Data_Sales!$B$5:$B$65,MATCH($A11,Data_Sales!$A$5:$A$65,0))*INDEX(Survival!$C$6:$T$51,(Q$4-$A11)+1,MATCH(Q$4,Survival!$C$3:$T$3,0))+INDEX(Data_Sales!$C$5:$C$65,MATCH($A11,Data_Sales!$A$5:$A$65,0))*INDEX(Survival!$C$55:$T$100,(Q$4-$A11)+1,MATCH(Q$4,Survival!$C$3:$T$3,0))))</f>
        <v/>
      </c>
      <c r="R11" s="27">
        <f>IF(R$4&lt;$A11,"",IF((R$4-$A11)&gt;45,0,INDEX(Data_Sales!$B$5:$B$65,MATCH($A11,Data_Sales!$A$5:$A$65,0))*INDEX(Survival!$C$6:$T$51,(R$4-$A11)+1,MATCH(R$4,Survival!$C$3:$T$3,0))+INDEX(Data_Sales!$C$5:$C$65,MATCH($A11,Data_Sales!$A$5:$A$65,0))*INDEX(Survival!$C$55:$T$100,(R$4-$A11)+1,MATCH(R$4,Survival!$C$3:$T$3,0))))</f>
        <v/>
      </c>
      <c r="S11" s="27">
        <f>IF(S$4&lt;$A11,"",IF((S$4-$A11)&gt;45,0,INDEX(Data_Sales!$B$5:$B$65,MATCH($A11,Data_Sales!$A$5:$A$65,0))*INDEX(Survival!$C$6:$T$51,(S$4-$A11)+1,MATCH(S$4,Survival!$C$3:$T$3,0))+INDEX(Data_Sales!$C$5:$C$65,MATCH($A11,Data_Sales!$A$5:$A$65,0))*INDEX(Survival!$C$55:$T$100,(S$4-$A11)+1,MATCH(S$4,Survival!$C$3:$T$3,0))))</f>
        <v/>
      </c>
      <c r="T11" s="27">
        <f>IF(T$4&lt;$A11,"",IF((T$4-$A11)&gt;45,0,INDEX(Data_Sales!$B$5:$B$65,MATCH($A11,Data_Sales!$A$5:$A$65,0))*INDEX(Survival!$C$6:$T$51,(T$4-$A11)+1,MATCH(T$4,Survival!$C$3:$T$3,0))+INDEX(Data_Sales!$C$5:$C$65,MATCH($A11,Data_Sales!$A$5:$A$65,0))*INDEX(Survival!$C$55:$T$100,(T$4-$A11)+1,MATCH(T$4,Survival!$C$3:$T$3,0))))</f>
        <v/>
      </c>
    </row>
    <row r="12">
      <c r="A12" s="9" t="n">
        <v>1976</v>
      </c>
      <c r="C12" s="27">
        <f>IF(C$4&lt;$A12,"",IF((C$4-$A12)&gt;45,0,INDEX(Data_Sales!$B$5:$B$65,MATCH($A12,Data_Sales!$A$5:$A$65,0))*INDEX(Survival!$C$6:$T$51,(C$4-$A12)+1,MATCH(C$4,Survival!$C$3:$T$3,0))+INDEX(Data_Sales!$C$5:$C$65,MATCH($A12,Data_Sales!$A$5:$A$65,0))*INDEX(Survival!$C$55:$T$100,(C$4-$A12)+1,MATCH(C$4,Survival!$C$3:$T$3,0))))</f>
        <v/>
      </c>
      <c r="D12" s="27">
        <f>IF(D$4&lt;$A12,"",IF((D$4-$A12)&gt;45,0,INDEX(Data_Sales!$B$5:$B$65,MATCH($A12,Data_Sales!$A$5:$A$65,0))*INDEX(Survival!$C$6:$T$51,(D$4-$A12)+1,MATCH(D$4,Survival!$C$3:$T$3,0))+INDEX(Data_Sales!$C$5:$C$65,MATCH($A12,Data_Sales!$A$5:$A$65,0))*INDEX(Survival!$C$55:$T$100,(D$4-$A12)+1,MATCH(D$4,Survival!$C$3:$T$3,0))))</f>
        <v/>
      </c>
      <c r="E12" s="27">
        <f>IF(E$4&lt;$A12,"",IF((E$4-$A12)&gt;45,0,INDEX(Data_Sales!$B$5:$B$65,MATCH($A12,Data_Sales!$A$5:$A$65,0))*INDEX(Survival!$C$6:$T$51,(E$4-$A12)+1,MATCH(E$4,Survival!$C$3:$T$3,0))+INDEX(Data_Sales!$C$5:$C$65,MATCH($A12,Data_Sales!$A$5:$A$65,0))*INDEX(Survival!$C$55:$T$100,(E$4-$A12)+1,MATCH(E$4,Survival!$C$3:$T$3,0))))</f>
        <v/>
      </c>
      <c r="F12" s="27">
        <f>IF(F$4&lt;$A12,"",IF((F$4-$A12)&gt;45,0,INDEX(Data_Sales!$B$5:$B$65,MATCH($A12,Data_Sales!$A$5:$A$65,0))*INDEX(Survival!$C$6:$T$51,(F$4-$A12)+1,MATCH(F$4,Survival!$C$3:$T$3,0))+INDEX(Data_Sales!$C$5:$C$65,MATCH($A12,Data_Sales!$A$5:$A$65,0))*INDEX(Survival!$C$55:$T$100,(F$4-$A12)+1,MATCH(F$4,Survival!$C$3:$T$3,0))))</f>
        <v/>
      </c>
      <c r="G12" s="27">
        <f>IF(G$4&lt;$A12,"",IF((G$4-$A12)&gt;45,0,INDEX(Data_Sales!$B$5:$B$65,MATCH($A12,Data_Sales!$A$5:$A$65,0))*INDEX(Survival!$C$6:$T$51,(G$4-$A12)+1,MATCH(G$4,Survival!$C$3:$T$3,0))+INDEX(Data_Sales!$C$5:$C$65,MATCH($A12,Data_Sales!$A$5:$A$65,0))*INDEX(Survival!$C$55:$T$100,(G$4-$A12)+1,MATCH(G$4,Survival!$C$3:$T$3,0))))</f>
        <v/>
      </c>
      <c r="H12" s="27">
        <f>IF(H$4&lt;$A12,"",IF((H$4-$A12)&gt;45,0,INDEX(Data_Sales!$B$5:$B$65,MATCH($A12,Data_Sales!$A$5:$A$65,0))*INDEX(Survival!$C$6:$T$51,(H$4-$A12)+1,MATCH(H$4,Survival!$C$3:$T$3,0))+INDEX(Data_Sales!$C$5:$C$65,MATCH($A12,Data_Sales!$A$5:$A$65,0))*INDEX(Survival!$C$55:$T$100,(H$4-$A12)+1,MATCH(H$4,Survival!$C$3:$T$3,0))))</f>
        <v/>
      </c>
      <c r="I12" s="27">
        <f>IF(I$4&lt;$A12,"",IF((I$4-$A12)&gt;45,0,INDEX(Data_Sales!$B$5:$B$65,MATCH($A12,Data_Sales!$A$5:$A$65,0))*INDEX(Survival!$C$6:$T$51,(I$4-$A12)+1,MATCH(I$4,Survival!$C$3:$T$3,0))+INDEX(Data_Sales!$C$5:$C$65,MATCH($A12,Data_Sales!$A$5:$A$65,0))*INDEX(Survival!$C$55:$T$100,(I$4-$A12)+1,MATCH(I$4,Survival!$C$3:$T$3,0))))</f>
        <v/>
      </c>
      <c r="J12" s="27">
        <f>IF(J$4&lt;$A12,"",IF((J$4-$A12)&gt;45,0,INDEX(Data_Sales!$B$5:$B$65,MATCH($A12,Data_Sales!$A$5:$A$65,0))*INDEX(Survival!$C$6:$T$51,(J$4-$A12)+1,MATCH(J$4,Survival!$C$3:$T$3,0))+INDEX(Data_Sales!$C$5:$C$65,MATCH($A12,Data_Sales!$A$5:$A$65,0))*INDEX(Survival!$C$55:$T$100,(J$4-$A12)+1,MATCH(J$4,Survival!$C$3:$T$3,0))))</f>
        <v/>
      </c>
      <c r="K12" s="27">
        <f>IF(K$4&lt;$A12,"",IF((K$4-$A12)&gt;45,0,INDEX(Data_Sales!$B$5:$B$65,MATCH($A12,Data_Sales!$A$5:$A$65,0))*INDEX(Survival!$C$6:$T$51,(K$4-$A12)+1,MATCH(K$4,Survival!$C$3:$T$3,0))+INDEX(Data_Sales!$C$5:$C$65,MATCH($A12,Data_Sales!$A$5:$A$65,0))*INDEX(Survival!$C$55:$T$100,(K$4-$A12)+1,MATCH(K$4,Survival!$C$3:$T$3,0))))</f>
        <v/>
      </c>
      <c r="L12" s="27">
        <f>IF(L$4&lt;$A12,"",IF((L$4-$A12)&gt;45,0,INDEX(Data_Sales!$B$5:$B$65,MATCH($A12,Data_Sales!$A$5:$A$65,0))*INDEX(Survival!$C$6:$T$51,(L$4-$A12)+1,MATCH(L$4,Survival!$C$3:$T$3,0))+INDEX(Data_Sales!$C$5:$C$65,MATCH($A12,Data_Sales!$A$5:$A$65,0))*INDEX(Survival!$C$55:$T$100,(L$4-$A12)+1,MATCH(L$4,Survival!$C$3:$T$3,0))))</f>
        <v/>
      </c>
      <c r="M12" s="27">
        <f>IF(M$4&lt;$A12,"",IF((M$4-$A12)&gt;45,0,INDEX(Data_Sales!$B$5:$B$65,MATCH($A12,Data_Sales!$A$5:$A$65,0))*INDEX(Survival!$C$6:$T$51,(M$4-$A12)+1,MATCH(M$4,Survival!$C$3:$T$3,0))+INDEX(Data_Sales!$C$5:$C$65,MATCH($A12,Data_Sales!$A$5:$A$65,0))*INDEX(Survival!$C$55:$T$100,(M$4-$A12)+1,MATCH(M$4,Survival!$C$3:$T$3,0))))</f>
        <v/>
      </c>
      <c r="N12" s="27">
        <f>IF(N$4&lt;$A12,"",IF((N$4-$A12)&gt;45,0,INDEX(Data_Sales!$B$5:$B$65,MATCH($A12,Data_Sales!$A$5:$A$65,0))*INDEX(Survival!$C$6:$T$51,(N$4-$A12)+1,MATCH(N$4,Survival!$C$3:$T$3,0))+INDEX(Data_Sales!$C$5:$C$65,MATCH($A12,Data_Sales!$A$5:$A$65,0))*INDEX(Survival!$C$55:$T$100,(N$4-$A12)+1,MATCH(N$4,Survival!$C$3:$T$3,0))))</f>
        <v/>
      </c>
      <c r="O12" s="27">
        <f>IF(O$4&lt;$A12,"",IF((O$4-$A12)&gt;45,0,INDEX(Data_Sales!$B$5:$B$65,MATCH($A12,Data_Sales!$A$5:$A$65,0))*INDEX(Survival!$C$6:$T$51,(O$4-$A12)+1,MATCH(O$4,Survival!$C$3:$T$3,0))+INDEX(Data_Sales!$C$5:$C$65,MATCH($A12,Data_Sales!$A$5:$A$65,0))*INDEX(Survival!$C$55:$T$100,(O$4-$A12)+1,MATCH(O$4,Survival!$C$3:$T$3,0))))</f>
        <v/>
      </c>
      <c r="P12" s="27">
        <f>IF(P$4&lt;$A12,"",IF((P$4-$A12)&gt;45,0,INDEX(Data_Sales!$B$5:$B$65,MATCH($A12,Data_Sales!$A$5:$A$65,0))*INDEX(Survival!$C$6:$T$51,(P$4-$A12)+1,MATCH(P$4,Survival!$C$3:$T$3,0))+INDEX(Data_Sales!$C$5:$C$65,MATCH($A12,Data_Sales!$A$5:$A$65,0))*INDEX(Survival!$C$55:$T$100,(P$4-$A12)+1,MATCH(P$4,Survival!$C$3:$T$3,0))))</f>
        <v/>
      </c>
      <c r="Q12" s="27">
        <f>IF(Q$4&lt;$A12,"",IF((Q$4-$A12)&gt;45,0,INDEX(Data_Sales!$B$5:$B$65,MATCH($A12,Data_Sales!$A$5:$A$65,0))*INDEX(Survival!$C$6:$T$51,(Q$4-$A12)+1,MATCH(Q$4,Survival!$C$3:$T$3,0))+INDEX(Data_Sales!$C$5:$C$65,MATCH($A12,Data_Sales!$A$5:$A$65,0))*INDEX(Survival!$C$55:$T$100,(Q$4-$A12)+1,MATCH(Q$4,Survival!$C$3:$T$3,0))))</f>
        <v/>
      </c>
      <c r="R12" s="27">
        <f>IF(R$4&lt;$A12,"",IF((R$4-$A12)&gt;45,0,INDEX(Data_Sales!$B$5:$B$65,MATCH($A12,Data_Sales!$A$5:$A$65,0))*INDEX(Survival!$C$6:$T$51,(R$4-$A12)+1,MATCH(R$4,Survival!$C$3:$T$3,0))+INDEX(Data_Sales!$C$5:$C$65,MATCH($A12,Data_Sales!$A$5:$A$65,0))*INDEX(Survival!$C$55:$T$100,(R$4-$A12)+1,MATCH(R$4,Survival!$C$3:$T$3,0))))</f>
        <v/>
      </c>
      <c r="S12" s="27">
        <f>IF(S$4&lt;$A12,"",IF((S$4-$A12)&gt;45,0,INDEX(Data_Sales!$B$5:$B$65,MATCH($A12,Data_Sales!$A$5:$A$65,0))*INDEX(Survival!$C$6:$T$51,(S$4-$A12)+1,MATCH(S$4,Survival!$C$3:$T$3,0))+INDEX(Data_Sales!$C$5:$C$65,MATCH($A12,Data_Sales!$A$5:$A$65,0))*INDEX(Survival!$C$55:$T$100,(S$4-$A12)+1,MATCH(S$4,Survival!$C$3:$T$3,0))))</f>
        <v/>
      </c>
      <c r="T12" s="27">
        <f>IF(T$4&lt;$A12,"",IF((T$4-$A12)&gt;45,0,INDEX(Data_Sales!$B$5:$B$65,MATCH($A12,Data_Sales!$A$5:$A$65,0))*INDEX(Survival!$C$6:$T$51,(T$4-$A12)+1,MATCH(T$4,Survival!$C$3:$T$3,0))+INDEX(Data_Sales!$C$5:$C$65,MATCH($A12,Data_Sales!$A$5:$A$65,0))*INDEX(Survival!$C$55:$T$100,(T$4-$A12)+1,MATCH(T$4,Survival!$C$3:$T$3,0))))</f>
        <v/>
      </c>
    </row>
    <row r="13">
      <c r="A13" s="9" t="n">
        <v>1977</v>
      </c>
      <c r="C13" s="27">
        <f>IF(C$4&lt;$A13,"",IF((C$4-$A13)&gt;45,0,INDEX(Data_Sales!$B$5:$B$65,MATCH($A13,Data_Sales!$A$5:$A$65,0))*INDEX(Survival!$C$6:$T$51,(C$4-$A13)+1,MATCH(C$4,Survival!$C$3:$T$3,0))+INDEX(Data_Sales!$C$5:$C$65,MATCH($A13,Data_Sales!$A$5:$A$65,0))*INDEX(Survival!$C$55:$T$100,(C$4-$A13)+1,MATCH(C$4,Survival!$C$3:$T$3,0))))</f>
        <v/>
      </c>
      <c r="D13" s="27">
        <f>IF(D$4&lt;$A13,"",IF((D$4-$A13)&gt;45,0,INDEX(Data_Sales!$B$5:$B$65,MATCH($A13,Data_Sales!$A$5:$A$65,0))*INDEX(Survival!$C$6:$T$51,(D$4-$A13)+1,MATCH(D$4,Survival!$C$3:$T$3,0))+INDEX(Data_Sales!$C$5:$C$65,MATCH($A13,Data_Sales!$A$5:$A$65,0))*INDEX(Survival!$C$55:$T$100,(D$4-$A13)+1,MATCH(D$4,Survival!$C$3:$T$3,0))))</f>
        <v/>
      </c>
      <c r="E13" s="27">
        <f>IF(E$4&lt;$A13,"",IF((E$4-$A13)&gt;45,0,INDEX(Data_Sales!$B$5:$B$65,MATCH($A13,Data_Sales!$A$5:$A$65,0))*INDEX(Survival!$C$6:$T$51,(E$4-$A13)+1,MATCH(E$4,Survival!$C$3:$T$3,0))+INDEX(Data_Sales!$C$5:$C$65,MATCH($A13,Data_Sales!$A$5:$A$65,0))*INDEX(Survival!$C$55:$T$100,(E$4-$A13)+1,MATCH(E$4,Survival!$C$3:$T$3,0))))</f>
        <v/>
      </c>
      <c r="F13" s="27">
        <f>IF(F$4&lt;$A13,"",IF((F$4-$A13)&gt;45,0,INDEX(Data_Sales!$B$5:$B$65,MATCH($A13,Data_Sales!$A$5:$A$65,0))*INDEX(Survival!$C$6:$T$51,(F$4-$A13)+1,MATCH(F$4,Survival!$C$3:$T$3,0))+INDEX(Data_Sales!$C$5:$C$65,MATCH($A13,Data_Sales!$A$5:$A$65,0))*INDEX(Survival!$C$55:$T$100,(F$4-$A13)+1,MATCH(F$4,Survival!$C$3:$T$3,0))))</f>
        <v/>
      </c>
      <c r="G13" s="27">
        <f>IF(G$4&lt;$A13,"",IF((G$4-$A13)&gt;45,0,INDEX(Data_Sales!$B$5:$B$65,MATCH($A13,Data_Sales!$A$5:$A$65,0))*INDEX(Survival!$C$6:$T$51,(G$4-$A13)+1,MATCH(G$4,Survival!$C$3:$T$3,0))+INDEX(Data_Sales!$C$5:$C$65,MATCH($A13,Data_Sales!$A$5:$A$65,0))*INDEX(Survival!$C$55:$T$100,(G$4-$A13)+1,MATCH(G$4,Survival!$C$3:$T$3,0))))</f>
        <v/>
      </c>
      <c r="H13" s="27">
        <f>IF(H$4&lt;$A13,"",IF((H$4-$A13)&gt;45,0,INDEX(Data_Sales!$B$5:$B$65,MATCH($A13,Data_Sales!$A$5:$A$65,0))*INDEX(Survival!$C$6:$T$51,(H$4-$A13)+1,MATCH(H$4,Survival!$C$3:$T$3,0))+INDEX(Data_Sales!$C$5:$C$65,MATCH($A13,Data_Sales!$A$5:$A$65,0))*INDEX(Survival!$C$55:$T$100,(H$4-$A13)+1,MATCH(H$4,Survival!$C$3:$T$3,0))))</f>
        <v/>
      </c>
      <c r="I13" s="27">
        <f>IF(I$4&lt;$A13,"",IF((I$4-$A13)&gt;45,0,INDEX(Data_Sales!$B$5:$B$65,MATCH($A13,Data_Sales!$A$5:$A$65,0))*INDEX(Survival!$C$6:$T$51,(I$4-$A13)+1,MATCH(I$4,Survival!$C$3:$T$3,0))+INDEX(Data_Sales!$C$5:$C$65,MATCH($A13,Data_Sales!$A$5:$A$65,0))*INDEX(Survival!$C$55:$T$100,(I$4-$A13)+1,MATCH(I$4,Survival!$C$3:$T$3,0))))</f>
        <v/>
      </c>
      <c r="J13" s="27">
        <f>IF(J$4&lt;$A13,"",IF((J$4-$A13)&gt;45,0,INDEX(Data_Sales!$B$5:$B$65,MATCH($A13,Data_Sales!$A$5:$A$65,0))*INDEX(Survival!$C$6:$T$51,(J$4-$A13)+1,MATCH(J$4,Survival!$C$3:$T$3,0))+INDEX(Data_Sales!$C$5:$C$65,MATCH($A13,Data_Sales!$A$5:$A$65,0))*INDEX(Survival!$C$55:$T$100,(J$4-$A13)+1,MATCH(J$4,Survival!$C$3:$T$3,0))))</f>
        <v/>
      </c>
      <c r="K13" s="27">
        <f>IF(K$4&lt;$A13,"",IF((K$4-$A13)&gt;45,0,INDEX(Data_Sales!$B$5:$B$65,MATCH($A13,Data_Sales!$A$5:$A$65,0))*INDEX(Survival!$C$6:$T$51,(K$4-$A13)+1,MATCH(K$4,Survival!$C$3:$T$3,0))+INDEX(Data_Sales!$C$5:$C$65,MATCH($A13,Data_Sales!$A$5:$A$65,0))*INDEX(Survival!$C$55:$T$100,(K$4-$A13)+1,MATCH(K$4,Survival!$C$3:$T$3,0))))</f>
        <v/>
      </c>
      <c r="L13" s="27">
        <f>IF(L$4&lt;$A13,"",IF((L$4-$A13)&gt;45,0,INDEX(Data_Sales!$B$5:$B$65,MATCH($A13,Data_Sales!$A$5:$A$65,0))*INDEX(Survival!$C$6:$T$51,(L$4-$A13)+1,MATCH(L$4,Survival!$C$3:$T$3,0))+INDEX(Data_Sales!$C$5:$C$65,MATCH($A13,Data_Sales!$A$5:$A$65,0))*INDEX(Survival!$C$55:$T$100,(L$4-$A13)+1,MATCH(L$4,Survival!$C$3:$T$3,0))))</f>
        <v/>
      </c>
      <c r="M13" s="27">
        <f>IF(M$4&lt;$A13,"",IF((M$4-$A13)&gt;45,0,INDEX(Data_Sales!$B$5:$B$65,MATCH($A13,Data_Sales!$A$5:$A$65,0))*INDEX(Survival!$C$6:$T$51,(M$4-$A13)+1,MATCH(M$4,Survival!$C$3:$T$3,0))+INDEX(Data_Sales!$C$5:$C$65,MATCH($A13,Data_Sales!$A$5:$A$65,0))*INDEX(Survival!$C$55:$T$100,(M$4-$A13)+1,MATCH(M$4,Survival!$C$3:$T$3,0))))</f>
        <v/>
      </c>
      <c r="N13" s="27">
        <f>IF(N$4&lt;$A13,"",IF((N$4-$A13)&gt;45,0,INDEX(Data_Sales!$B$5:$B$65,MATCH($A13,Data_Sales!$A$5:$A$65,0))*INDEX(Survival!$C$6:$T$51,(N$4-$A13)+1,MATCH(N$4,Survival!$C$3:$T$3,0))+INDEX(Data_Sales!$C$5:$C$65,MATCH($A13,Data_Sales!$A$5:$A$65,0))*INDEX(Survival!$C$55:$T$100,(N$4-$A13)+1,MATCH(N$4,Survival!$C$3:$T$3,0))))</f>
        <v/>
      </c>
      <c r="O13" s="27">
        <f>IF(O$4&lt;$A13,"",IF((O$4-$A13)&gt;45,0,INDEX(Data_Sales!$B$5:$B$65,MATCH($A13,Data_Sales!$A$5:$A$65,0))*INDEX(Survival!$C$6:$T$51,(O$4-$A13)+1,MATCH(O$4,Survival!$C$3:$T$3,0))+INDEX(Data_Sales!$C$5:$C$65,MATCH($A13,Data_Sales!$A$5:$A$65,0))*INDEX(Survival!$C$55:$T$100,(O$4-$A13)+1,MATCH(O$4,Survival!$C$3:$T$3,0))))</f>
        <v/>
      </c>
      <c r="P13" s="27">
        <f>IF(P$4&lt;$A13,"",IF((P$4-$A13)&gt;45,0,INDEX(Data_Sales!$B$5:$B$65,MATCH($A13,Data_Sales!$A$5:$A$65,0))*INDEX(Survival!$C$6:$T$51,(P$4-$A13)+1,MATCH(P$4,Survival!$C$3:$T$3,0))+INDEX(Data_Sales!$C$5:$C$65,MATCH($A13,Data_Sales!$A$5:$A$65,0))*INDEX(Survival!$C$55:$T$100,(P$4-$A13)+1,MATCH(P$4,Survival!$C$3:$T$3,0))))</f>
        <v/>
      </c>
      <c r="Q13" s="27">
        <f>IF(Q$4&lt;$A13,"",IF((Q$4-$A13)&gt;45,0,INDEX(Data_Sales!$B$5:$B$65,MATCH($A13,Data_Sales!$A$5:$A$65,0))*INDEX(Survival!$C$6:$T$51,(Q$4-$A13)+1,MATCH(Q$4,Survival!$C$3:$T$3,0))+INDEX(Data_Sales!$C$5:$C$65,MATCH($A13,Data_Sales!$A$5:$A$65,0))*INDEX(Survival!$C$55:$T$100,(Q$4-$A13)+1,MATCH(Q$4,Survival!$C$3:$T$3,0))))</f>
        <v/>
      </c>
      <c r="R13" s="27">
        <f>IF(R$4&lt;$A13,"",IF((R$4-$A13)&gt;45,0,INDEX(Data_Sales!$B$5:$B$65,MATCH($A13,Data_Sales!$A$5:$A$65,0))*INDEX(Survival!$C$6:$T$51,(R$4-$A13)+1,MATCH(R$4,Survival!$C$3:$T$3,0))+INDEX(Data_Sales!$C$5:$C$65,MATCH($A13,Data_Sales!$A$5:$A$65,0))*INDEX(Survival!$C$55:$T$100,(R$4-$A13)+1,MATCH(R$4,Survival!$C$3:$T$3,0))))</f>
        <v/>
      </c>
      <c r="S13" s="27">
        <f>IF(S$4&lt;$A13,"",IF((S$4-$A13)&gt;45,0,INDEX(Data_Sales!$B$5:$B$65,MATCH($A13,Data_Sales!$A$5:$A$65,0))*INDEX(Survival!$C$6:$T$51,(S$4-$A13)+1,MATCH(S$4,Survival!$C$3:$T$3,0))+INDEX(Data_Sales!$C$5:$C$65,MATCH($A13,Data_Sales!$A$5:$A$65,0))*INDEX(Survival!$C$55:$T$100,(S$4-$A13)+1,MATCH(S$4,Survival!$C$3:$T$3,0))))</f>
        <v/>
      </c>
      <c r="T13" s="27">
        <f>IF(T$4&lt;$A13,"",IF((T$4-$A13)&gt;45,0,INDEX(Data_Sales!$B$5:$B$65,MATCH($A13,Data_Sales!$A$5:$A$65,0))*INDEX(Survival!$C$6:$T$51,(T$4-$A13)+1,MATCH(T$4,Survival!$C$3:$T$3,0))+INDEX(Data_Sales!$C$5:$C$65,MATCH($A13,Data_Sales!$A$5:$A$65,0))*INDEX(Survival!$C$55:$T$100,(T$4-$A13)+1,MATCH(T$4,Survival!$C$3:$T$3,0))))</f>
        <v/>
      </c>
    </row>
    <row r="14">
      <c r="A14" s="9" t="n">
        <v>1978</v>
      </c>
      <c r="C14" s="27">
        <f>IF(C$4&lt;$A14,"",IF((C$4-$A14)&gt;45,0,INDEX(Data_Sales!$B$5:$B$65,MATCH($A14,Data_Sales!$A$5:$A$65,0))*INDEX(Survival!$C$6:$T$51,(C$4-$A14)+1,MATCH(C$4,Survival!$C$3:$T$3,0))+INDEX(Data_Sales!$C$5:$C$65,MATCH($A14,Data_Sales!$A$5:$A$65,0))*INDEX(Survival!$C$55:$T$100,(C$4-$A14)+1,MATCH(C$4,Survival!$C$3:$T$3,0))))</f>
        <v/>
      </c>
      <c r="D14" s="27">
        <f>IF(D$4&lt;$A14,"",IF((D$4-$A14)&gt;45,0,INDEX(Data_Sales!$B$5:$B$65,MATCH($A14,Data_Sales!$A$5:$A$65,0))*INDEX(Survival!$C$6:$T$51,(D$4-$A14)+1,MATCH(D$4,Survival!$C$3:$T$3,0))+INDEX(Data_Sales!$C$5:$C$65,MATCH($A14,Data_Sales!$A$5:$A$65,0))*INDEX(Survival!$C$55:$T$100,(D$4-$A14)+1,MATCH(D$4,Survival!$C$3:$T$3,0))))</f>
        <v/>
      </c>
      <c r="E14" s="27">
        <f>IF(E$4&lt;$A14,"",IF((E$4-$A14)&gt;45,0,INDEX(Data_Sales!$B$5:$B$65,MATCH($A14,Data_Sales!$A$5:$A$65,0))*INDEX(Survival!$C$6:$T$51,(E$4-$A14)+1,MATCH(E$4,Survival!$C$3:$T$3,0))+INDEX(Data_Sales!$C$5:$C$65,MATCH($A14,Data_Sales!$A$5:$A$65,0))*INDEX(Survival!$C$55:$T$100,(E$4-$A14)+1,MATCH(E$4,Survival!$C$3:$T$3,0))))</f>
        <v/>
      </c>
      <c r="F14" s="27">
        <f>IF(F$4&lt;$A14,"",IF((F$4-$A14)&gt;45,0,INDEX(Data_Sales!$B$5:$B$65,MATCH($A14,Data_Sales!$A$5:$A$65,0))*INDEX(Survival!$C$6:$T$51,(F$4-$A14)+1,MATCH(F$4,Survival!$C$3:$T$3,0))+INDEX(Data_Sales!$C$5:$C$65,MATCH($A14,Data_Sales!$A$5:$A$65,0))*INDEX(Survival!$C$55:$T$100,(F$4-$A14)+1,MATCH(F$4,Survival!$C$3:$T$3,0))))</f>
        <v/>
      </c>
      <c r="G14" s="27">
        <f>IF(G$4&lt;$A14,"",IF((G$4-$A14)&gt;45,0,INDEX(Data_Sales!$B$5:$B$65,MATCH($A14,Data_Sales!$A$5:$A$65,0))*INDEX(Survival!$C$6:$T$51,(G$4-$A14)+1,MATCH(G$4,Survival!$C$3:$T$3,0))+INDEX(Data_Sales!$C$5:$C$65,MATCH($A14,Data_Sales!$A$5:$A$65,0))*INDEX(Survival!$C$55:$T$100,(G$4-$A14)+1,MATCH(G$4,Survival!$C$3:$T$3,0))))</f>
        <v/>
      </c>
      <c r="H14" s="27">
        <f>IF(H$4&lt;$A14,"",IF((H$4-$A14)&gt;45,0,INDEX(Data_Sales!$B$5:$B$65,MATCH($A14,Data_Sales!$A$5:$A$65,0))*INDEX(Survival!$C$6:$T$51,(H$4-$A14)+1,MATCH(H$4,Survival!$C$3:$T$3,0))+INDEX(Data_Sales!$C$5:$C$65,MATCH($A14,Data_Sales!$A$5:$A$65,0))*INDEX(Survival!$C$55:$T$100,(H$4-$A14)+1,MATCH(H$4,Survival!$C$3:$T$3,0))))</f>
        <v/>
      </c>
      <c r="I14" s="27">
        <f>IF(I$4&lt;$A14,"",IF((I$4-$A14)&gt;45,0,INDEX(Data_Sales!$B$5:$B$65,MATCH($A14,Data_Sales!$A$5:$A$65,0))*INDEX(Survival!$C$6:$T$51,(I$4-$A14)+1,MATCH(I$4,Survival!$C$3:$T$3,0))+INDEX(Data_Sales!$C$5:$C$65,MATCH($A14,Data_Sales!$A$5:$A$65,0))*INDEX(Survival!$C$55:$T$100,(I$4-$A14)+1,MATCH(I$4,Survival!$C$3:$T$3,0))))</f>
        <v/>
      </c>
      <c r="J14" s="27">
        <f>IF(J$4&lt;$A14,"",IF((J$4-$A14)&gt;45,0,INDEX(Data_Sales!$B$5:$B$65,MATCH($A14,Data_Sales!$A$5:$A$65,0))*INDEX(Survival!$C$6:$T$51,(J$4-$A14)+1,MATCH(J$4,Survival!$C$3:$T$3,0))+INDEX(Data_Sales!$C$5:$C$65,MATCH($A14,Data_Sales!$A$5:$A$65,0))*INDEX(Survival!$C$55:$T$100,(J$4-$A14)+1,MATCH(J$4,Survival!$C$3:$T$3,0))))</f>
        <v/>
      </c>
      <c r="K14" s="27">
        <f>IF(K$4&lt;$A14,"",IF((K$4-$A14)&gt;45,0,INDEX(Data_Sales!$B$5:$B$65,MATCH($A14,Data_Sales!$A$5:$A$65,0))*INDEX(Survival!$C$6:$T$51,(K$4-$A14)+1,MATCH(K$4,Survival!$C$3:$T$3,0))+INDEX(Data_Sales!$C$5:$C$65,MATCH($A14,Data_Sales!$A$5:$A$65,0))*INDEX(Survival!$C$55:$T$100,(K$4-$A14)+1,MATCH(K$4,Survival!$C$3:$T$3,0))))</f>
        <v/>
      </c>
      <c r="L14" s="27">
        <f>IF(L$4&lt;$A14,"",IF((L$4-$A14)&gt;45,0,INDEX(Data_Sales!$B$5:$B$65,MATCH($A14,Data_Sales!$A$5:$A$65,0))*INDEX(Survival!$C$6:$T$51,(L$4-$A14)+1,MATCH(L$4,Survival!$C$3:$T$3,0))+INDEX(Data_Sales!$C$5:$C$65,MATCH($A14,Data_Sales!$A$5:$A$65,0))*INDEX(Survival!$C$55:$T$100,(L$4-$A14)+1,MATCH(L$4,Survival!$C$3:$T$3,0))))</f>
        <v/>
      </c>
      <c r="M14" s="27">
        <f>IF(M$4&lt;$A14,"",IF((M$4-$A14)&gt;45,0,INDEX(Data_Sales!$B$5:$B$65,MATCH($A14,Data_Sales!$A$5:$A$65,0))*INDEX(Survival!$C$6:$T$51,(M$4-$A14)+1,MATCH(M$4,Survival!$C$3:$T$3,0))+INDEX(Data_Sales!$C$5:$C$65,MATCH($A14,Data_Sales!$A$5:$A$65,0))*INDEX(Survival!$C$55:$T$100,(M$4-$A14)+1,MATCH(M$4,Survival!$C$3:$T$3,0))))</f>
        <v/>
      </c>
      <c r="N14" s="27">
        <f>IF(N$4&lt;$A14,"",IF((N$4-$A14)&gt;45,0,INDEX(Data_Sales!$B$5:$B$65,MATCH($A14,Data_Sales!$A$5:$A$65,0))*INDEX(Survival!$C$6:$T$51,(N$4-$A14)+1,MATCH(N$4,Survival!$C$3:$T$3,0))+INDEX(Data_Sales!$C$5:$C$65,MATCH($A14,Data_Sales!$A$5:$A$65,0))*INDEX(Survival!$C$55:$T$100,(N$4-$A14)+1,MATCH(N$4,Survival!$C$3:$T$3,0))))</f>
        <v/>
      </c>
      <c r="O14" s="27">
        <f>IF(O$4&lt;$A14,"",IF((O$4-$A14)&gt;45,0,INDEX(Data_Sales!$B$5:$B$65,MATCH($A14,Data_Sales!$A$5:$A$65,0))*INDEX(Survival!$C$6:$T$51,(O$4-$A14)+1,MATCH(O$4,Survival!$C$3:$T$3,0))+INDEX(Data_Sales!$C$5:$C$65,MATCH($A14,Data_Sales!$A$5:$A$65,0))*INDEX(Survival!$C$55:$T$100,(O$4-$A14)+1,MATCH(O$4,Survival!$C$3:$T$3,0))))</f>
        <v/>
      </c>
      <c r="P14" s="27">
        <f>IF(P$4&lt;$A14,"",IF((P$4-$A14)&gt;45,0,INDEX(Data_Sales!$B$5:$B$65,MATCH($A14,Data_Sales!$A$5:$A$65,0))*INDEX(Survival!$C$6:$T$51,(P$4-$A14)+1,MATCH(P$4,Survival!$C$3:$T$3,0))+INDEX(Data_Sales!$C$5:$C$65,MATCH($A14,Data_Sales!$A$5:$A$65,0))*INDEX(Survival!$C$55:$T$100,(P$4-$A14)+1,MATCH(P$4,Survival!$C$3:$T$3,0))))</f>
        <v/>
      </c>
      <c r="Q14" s="27">
        <f>IF(Q$4&lt;$A14,"",IF((Q$4-$A14)&gt;45,0,INDEX(Data_Sales!$B$5:$B$65,MATCH($A14,Data_Sales!$A$5:$A$65,0))*INDEX(Survival!$C$6:$T$51,(Q$4-$A14)+1,MATCH(Q$4,Survival!$C$3:$T$3,0))+INDEX(Data_Sales!$C$5:$C$65,MATCH($A14,Data_Sales!$A$5:$A$65,0))*INDEX(Survival!$C$55:$T$100,(Q$4-$A14)+1,MATCH(Q$4,Survival!$C$3:$T$3,0))))</f>
        <v/>
      </c>
      <c r="R14" s="27">
        <f>IF(R$4&lt;$A14,"",IF((R$4-$A14)&gt;45,0,INDEX(Data_Sales!$B$5:$B$65,MATCH($A14,Data_Sales!$A$5:$A$65,0))*INDEX(Survival!$C$6:$T$51,(R$4-$A14)+1,MATCH(R$4,Survival!$C$3:$T$3,0))+INDEX(Data_Sales!$C$5:$C$65,MATCH($A14,Data_Sales!$A$5:$A$65,0))*INDEX(Survival!$C$55:$T$100,(R$4-$A14)+1,MATCH(R$4,Survival!$C$3:$T$3,0))))</f>
        <v/>
      </c>
      <c r="S14" s="27">
        <f>IF(S$4&lt;$A14,"",IF((S$4-$A14)&gt;45,0,INDEX(Data_Sales!$B$5:$B$65,MATCH($A14,Data_Sales!$A$5:$A$65,0))*INDEX(Survival!$C$6:$T$51,(S$4-$A14)+1,MATCH(S$4,Survival!$C$3:$T$3,0))+INDEX(Data_Sales!$C$5:$C$65,MATCH($A14,Data_Sales!$A$5:$A$65,0))*INDEX(Survival!$C$55:$T$100,(S$4-$A14)+1,MATCH(S$4,Survival!$C$3:$T$3,0))))</f>
        <v/>
      </c>
      <c r="T14" s="27">
        <f>IF(T$4&lt;$A14,"",IF((T$4-$A14)&gt;45,0,INDEX(Data_Sales!$B$5:$B$65,MATCH($A14,Data_Sales!$A$5:$A$65,0))*INDEX(Survival!$C$6:$T$51,(T$4-$A14)+1,MATCH(T$4,Survival!$C$3:$T$3,0))+INDEX(Data_Sales!$C$5:$C$65,MATCH($A14,Data_Sales!$A$5:$A$65,0))*INDEX(Survival!$C$55:$T$100,(T$4-$A14)+1,MATCH(T$4,Survival!$C$3:$T$3,0))))</f>
        <v/>
      </c>
    </row>
    <row r="15">
      <c r="A15" s="9" t="n">
        <v>1979</v>
      </c>
      <c r="C15" s="27">
        <f>IF(C$4&lt;$A15,"",IF((C$4-$A15)&gt;45,0,INDEX(Data_Sales!$B$5:$B$65,MATCH($A15,Data_Sales!$A$5:$A$65,0))*INDEX(Survival!$C$6:$T$51,(C$4-$A15)+1,MATCH(C$4,Survival!$C$3:$T$3,0))+INDEX(Data_Sales!$C$5:$C$65,MATCH($A15,Data_Sales!$A$5:$A$65,0))*INDEX(Survival!$C$55:$T$100,(C$4-$A15)+1,MATCH(C$4,Survival!$C$3:$T$3,0))))</f>
        <v/>
      </c>
      <c r="D15" s="27">
        <f>IF(D$4&lt;$A15,"",IF((D$4-$A15)&gt;45,0,INDEX(Data_Sales!$B$5:$B$65,MATCH($A15,Data_Sales!$A$5:$A$65,0))*INDEX(Survival!$C$6:$T$51,(D$4-$A15)+1,MATCH(D$4,Survival!$C$3:$T$3,0))+INDEX(Data_Sales!$C$5:$C$65,MATCH($A15,Data_Sales!$A$5:$A$65,0))*INDEX(Survival!$C$55:$T$100,(D$4-$A15)+1,MATCH(D$4,Survival!$C$3:$T$3,0))))</f>
        <v/>
      </c>
      <c r="E15" s="27">
        <f>IF(E$4&lt;$A15,"",IF((E$4-$A15)&gt;45,0,INDEX(Data_Sales!$B$5:$B$65,MATCH($A15,Data_Sales!$A$5:$A$65,0))*INDEX(Survival!$C$6:$T$51,(E$4-$A15)+1,MATCH(E$4,Survival!$C$3:$T$3,0))+INDEX(Data_Sales!$C$5:$C$65,MATCH($A15,Data_Sales!$A$5:$A$65,0))*INDEX(Survival!$C$55:$T$100,(E$4-$A15)+1,MATCH(E$4,Survival!$C$3:$T$3,0))))</f>
        <v/>
      </c>
      <c r="F15" s="27">
        <f>IF(F$4&lt;$A15,"",IF((F$4-$A15)&gt;45,0,INDEX(Data_Sales!$B$5:$B$65,MATCH($A15,Data_Sales!$A$5:$A$65,0))*INDEX(Survival!$C$6:$T$51,(F$4-$A15)+1,MATCH(F$4,Survival!$C$3:$T$3,0))+INDEX(Data_Sales!$C$5:$C$65,MATCH($A15,Data_Sales!$A$5:$A$65,0))*INDEX(Survival!$C$55:$T$100,(F$4-$A15)+1,MATCH(F$4,Survival!$C$3:$T$3,0))))</f>
        <v/>
      </c>
      <c r="G15" s="27">
        <f>IF(G$4&lt;$A15,"",IF((G$4-$A15)&gt;45,0,INDEX(Data_Sales!$B$5:$B$65,MATCH($A15,Data_Sales!$A$5:$A$65,0))*INDEX(Survival!$C$6:$T$51,(G$4-$A15)+1,MATCH(G$4,Survival!$C$3:$T$3,0))+INDEX(Data_Sales!$C$5:$C$65,MATCH($A15,Data_Sales!$A$5:$A$65,0))*INDEX(Survival!$C$55:$T$100,(G$4-$A15)+1,MATCH(G$4,Survival!$C$3:$T$3,0))))</f>
        <v/>
      </c>
      <c r="H15" s="27">
        <f>IF(H$4&lt;$A15,"",IF((H$4-$A15)&gt;45,0,INDEX(Data_Sales!$B$5:$B$65,MATCH($A15,Data_Sales!$A$5:$A$65,0))*INDEX(Survival!$C$6:$T$51,(H$4-$A15)+1,MATCH(H$4,Survival!$C$3:$T$3,0))+INDEX(Data_Sales!$C$5:$C$65,MATCH($A15,Data_Sales!$A$5:$A$65,0))*INDEX(Survival!$C$55:$T$100,(H$4-$A15)+1,MATCH(H$4,Survival!$C$3:$T$3,0))))</f>
        <v/>
      </c>
      <c r="I15" s="27">
        <f>IF(I$4&lt;$A15,"",IF((I$4-$A15)&gt;45,0,INDEX(Data_Sales!$B$5:$B$65,MATCH($A15,Data_Sales!$A$5:$A$65,0))*INDEX(Survival!$C$6:$T$51,(I$4-$A15)+1,MATCH(I$4,Survival!$C$3:$T$3,0))+INDEX(Data_Sales!$C$5:$C$65,MATCH($A15,Data_Sales!$A$5:$A$65,0))*INDEX(Survival!$C$55:$T$100,(I$4-$A15)+1,MATCH(I$4,Survival!$C$3:$T$3,0))))</f>
        <v/>
      </c>
      <c r="J15" s="27">
        <f>IF(J$4&lt;$A15,"",IF((J$4-$A15)&gt;45,0,INDEX(Data_Sales!$B$5:$B$65,MATCH($A15,Data_Sales!$A$5:$A$65,0))*INDEX(Survival!$C$6:$T$51,(J$4-$A15)+1,MATCH(J$4,Survival!$C$3:$T$3,0))+INDEX(Data_Sales!$C$5:$C$65,MATCH($A15,Data_Sales!$A$5:$A$65,0))*INDEX(Survival!$C$55:$T$100,(J$4-$A15)+1,MATCH(J$4,Survival!$C$3:$T$3,0))))</f>
        <v/>
      </c>
      <c r="K15" s="27">
        <f>IF(K$4&lt;$A15,"",IF((K$4-$A15)&gt;45,0,INDEX(Data_Sales!$B$5:$B$65,MATCH($A15,Data_Sales!$A$5:$A$65,0))*INDEX(Survival!$C$6:$T$51,(K$4-$A15)+1,MATCH(K$4,Survival!$C$3:$T$3,0))+INDEX(Data_Sales!$C$5:$C$65,MATCH($A15,Data_Sales!$A$5:$A$65,0))*INDEX(Survival!$C$55:$T$100,(K$4-$A15)+1,MATCH(K$4,Survival!$C$3:$T$3,0))))</f>
        <v/>
      </c>
      <c r="L15" s="27">
        <f>IF(L$4&lt;$A15,"",IF((L$4-$A15)&gt;45,0,INDEX(Data_Sales!$B$5:$B$65,MATCH($A15,Data_Sales!$A$5:$A$65,0))*INDEX(Survival!$C$6:$T$51,(L$4-$A15)+1,MATCH(L$4,Survival!$C$3:$T$3,0))+INDEX(Data_Sales!$C$5:$C$65,MATCH($A15,Data_Sales!$A$5:$A$65,0))*INDEX(Survival!$C$55:$T$100,(L$4-$A15)+1,MATCH(L$4,Survival!$C$3:$T$3,0))))</f>
        <v/>
      </c>
      <c r="M15" s="27">
        <f>IF(M$4&lt;$A15,"",IF((M$4-$A15)&gt;45,0,INDEX(Data_Sales!$B$5:$B$65,MATCH($A15,Data_Sales!$A$5:$A$65,0))*INDEX(Survival!$C$6:$T$51,(M$4-$A15)+1,MATCH(M$4,Survival!$C$3:$T$3,0))+INDEX(Data_Sales!$C$5:$C$65,MATCH($A15,Data_Sales!$A$5:$A$65,0))*INDEX(Survival!$C$55:$T$100,(M$4-$A15)+1,MATCH(M$4,Survival!$C$3:$T$3,0))))</f>
        <v/>
      </c>
      <c r="N15" s="27">
        <f>IF(N$4&lt;$A15,"",IF((N$4-$A15)&gt;45,0,INDEX(Data_Sales!$B$5:$B$65,MATCH($A15,Data_Sales!$A$5:$A$65,0))*INDEX(Survival!$C$6:$T$51,(N$4-$A15)+1,MATCH(N$4,Survival!$C$3:$T$3,0))+INDEX(Data_Sales!$C$5:$C$65,MATCH($A15,Data_Sales!$A$5:$A$65,0))*INDEX(Survival!$C$55:$T$100,(N$4-$A15)+1,MATCH(N$4,Survival!$C$3:$T$3,0))))</f>
        <v/>
      </c>
      <c r="O15" s="27">
        <f>IF(O$4&lt;$A15,"",IF((O$4-$A15)&gt;45,0,INDEX(Data_Sales!$B$5:$B$65,MATCH($A15,Data_Sales!$A$5:$A$65,0))*INDEX(Survival!$C$6:$T$51,(O$4-$A15)+1,MATCH(O$4,Survival!$C$3:$T$3,0))+INDEX(Data_Sales!$C$5:$C$65,MATCH($A15,Data_Sales!$A$5:$A$65,0))*INDEX(Survival!$C$55:$T$100,(O$4-$A15)+1,MATCH(O$4,Survival!$C$3:$T$3,0))))</f>
        <v/>
      </c>
      <c r="P15" s="27">
        <f>IF(P$4&lt;$A15,"",IF((P$4-$A15)&gt;45,0,INDEX(Data_Sales!$B$5:$B$65,MATCH($A15,Data_Sales!$A$5:$A$65,0))*INDEX(Survival!$C$6:$T$51,(P$4-$A15)+1,MATCH(P$4,Survival!$C$3:$T$3,0))+INDEX(Data_Sales!$C$5:$C$65,MATCH($A15,Data_Sales!$A$5:$A$65,0))*INDEX(Survival!$C$55:$T$100,(P$4-$A15)+1,MATCH(P$4,Survival!$C$3:$T$3,0))))</f>
        <v/>
      </c>
      <c r="Q15" s="27">
        <f>IF(Q$4&lt;$A15,"",IF((Q$4-$A15)&gt;45,0,INDEX(Data_Sales!$B$5:$B$65,MATCH($A15,Data_Sales!$A$5:$A$65,0))*INDEX(Survival!$C$6:$T$51,(Q$4-$A15)+1,MATCH(Q$4,Survival!$C$3:$T$3,0))+INDEX(Data_Sales!$C$5:$C$65,MATCH($A15,Data_Sales!$A$5:$A$65,0))*INDEX(Survival!$C$55:$T$100,(Q$4-$A15)+1,MATCH(Q$4,Survival!$C$3:$T$3,0))))</f>
        <v/>
      </c>
      <c r="R15" s="27">
        <f>IF(R$4&lt;$A15,"",IF((R$4-$A15)&gt;45,0,INDEX(Data_Sales!$B$5:$B$65,MATCH($A15,Data_Sales!$A$5:$A$65,0))*INDEX(Survival!$C$6:$T$51,(R$4-$A15)+1,MATCH(R$4,Survival!$C$3:$T$3,0))+INDEX(Data_Sales!$C$5:$C$65,MATCH($A15,Data_Sales!$A$5:$A$65,0))*INDEX(Survival!$C$55:$T$100,(R$4-$A15)+1,MATCH(R$4,Survival!$C$3:$T$3,0))))</f>
        <v/>
      </c>
      <c r="S15" s="27">
        <f>IF(S$4&lt;$A15,"",IF((S$4-$A15)&gt;45,0,INDEX(Data_Sales!$B$5:$B$65,MATCH($A15,Data_Sales!$A$5:$A$65,0))*INDEX(Survival!$C$6:$T$51,(S$4-$A15)+1,MATCH(S$4,Survival!$C$3:$T$3,0))+INDEX(Data_Sales!$C$5:$C$65,MATCH($A15,Data_Sales!$A$5:$A$65,0))*INDEX(Survival!$C$55:$T$100,(S$4-$A15)+1,MATCH(S$4,Survival!$C$3:$T$3,0))))</f>
        <v/>
      </c>
      <c r="T15" s="27">
        <f>IF(T$4&lt;$A15,"",IF((T$4-$A15)&gt;45,0,INDEX(Data_Sales!$B$5:$B$65,MATCH($A15,Data_Sales!$A$5:$A$65,0))*INDEX(Survival!$C$6:$T$51,(T$4-$A15)+1,MATCH(T$4,Survival!$C$3:$T$3,0))+INDEX(Data_Sales!$C$5:$C$65,MATCH($A15,Data_Sales!$A$5:$A$65,0))*INDEX(Survival!$C$55:$T$100,(T$4-$A15)+1,MATCH(T$4,Survival!$C$3:$T$3,0))))</f>
        <v/>
      </c>
    </row>
    <row r="16">
      <c r="A16" s="9" t="n">
        <v>1980</v>
      </c>
      <c r="C16" s="27">
        <f>IF(C$4&lt;$A16,"",IF((C$4-$A16)&gt;45,0,INDEX(Data_Sales!$B$5:$B$65,MATCH($A16,Data_Sales!$A$5:$A$65,0))*INDEX(Survival!$C$6:$T$51,(C$4-$A16)+1,MATCH(C$4,Survival!$C$3:$T$3,0))+INDEX(Data_Sales!$C$5:$C$65,MATCH($A16,Data_Sales!$A$5:$A$65,0))*INDEX(Survival!$C$55:$T$100,(C$4-$A16)+1,MATCH(C$4,Survival!$C$3:$T$3,0))))</f>
        <v/>
      </c>
      <c r="D16" s="27">
        <f>IF(D$4&lt;$A16,"",IF((D$4-$A16)&gt;45,0,INDEX(Data_Sales!$B$5:$B$65,MATCH($A16,Data_Sales!$A$5:$A$65,0))*INDEX(Survival!$C$6:$T$51,(D$4-$A16)+1,MATCH(D$4,Survival!$C$3:$T$3,0))+INDEX(Data_Sales!$C$5:$C$65,MATCH($A16,Data_Sales!$A$5:$A$65,0))*INDEX(Survival!$C$55:$T$100,(D$4-$A16)+1,MATCH(D$4,Survival!$C$3:$T$3,0))))</f>
        <v/>
      </c>
      <c r="E16" s="27">
        <f>IF(E$4&lt;$A16,"",IF((E$4-$A16)&gt;45,0,INDEX(Data_Sales!$B$5:$B$65,MATCH($A16,Data_Sales!$A$5:$A$65,0))*INDEX(Survival!$C$6:$T$51,(E$4-$A16)+1,MATCH(E$4,Survival!$C$3:$T$3,0))+INDEX(Data_Sales!$C$5:$C$65,MATCH($A16,Data_Sales!$A$5:$A$65,0))*INDEX(Survival!$C$55:$T$100,(E$4-$A16)+1,MATCH(E$4,Survival!$C$3:$T$3,0))))</f>
        <v/>
      </c>
      <c r="F16" s="27">
        <f>IF(F$4&lt;$A16,"",IF((F$4-$A16)&gt;45,0,INDEX(Data_Sales!$B$5:$B$65,MATCH($A16,Data_Sales!$A$5:$A$65,0))*INDEX(Survival!$C$6:$T$51,(F$4-$A16)+1,MATCH(F$4,Survival!$C$3:$T$3,0))+INDEX(Data_Sales!$C$5:$C$65,MATCH($A16,Data_Sales!$A$5:$A$65,0))*INDEX(Survival!$C$55:$T$100,(F$4-$A16)+1,MATCH(F$4,Survival!$C$3:$T$3,0))))</f>
        <v/>
      </c>
      <c r="G16" s="27">
        <f>IF(G$4&lt;$A16,"",IF((G$4-$A16)&gt;45,0,INDEX(Data_Sales!$B$5:$B$65,MATCH($A16,Data_Sales!$A$5:$A$65,0))*INDEX(Survival!$C$6:$T$51,(G$4-$A16)+1,MATCH(G$4,Survival!$C$3:$T$3,0))+INDEX(Data_Sales!$C$5:$C$65,MATCH($A16,Data_Sales!$A$5:$A$65,0))*INDEX(Survival!$C$55:$T$100,(G$4-$A16)+1,MATCH(G$4,Survival!$C$3:$T$3,0))))</f>
        <v/>
      </c>
      <c r="H16" s="27">
        <f>IF(H$4&lt;$A16,"",IF((H$4-$A16)&gt;45,0,INDEX(Data_Sales!$B$5:$B$65,MATCH($A16,Data_Sales!$A$5:$A$65,0))*INDEX(Survival!$C$6:$T$51,(H$4-$A16)+1,MATCH(H$4,Survival!$C$3:$T$3,0))+INDEX(Data_Sales!$C$5:$C$65,MATCH($A16,Data_Sales!$A$5:$A$65,0))*INDEX(Survival!$C$55:$T$100,(H$4-$A16)+1,MATCH(H$4,Survival!$C$3:$T$3,0))))</f>
        <v/>
      </c>
      <c r="I16" s="27">
        <f>IF(I$4&lt;$A16,"",IF((I$4-$A16)&gt;45,0,INDEX(Data_Sales!$B$5:$B$65,MATCH($A16,Data_Sales!$A$5:$A$65,0))*INDEX(Survival!$C$6:$T$51,(I$4-$A16)+1,MATCH(I$4,Survival!$C$3:$T$3,0))+INDEX(Data_Sales!$C$5:$C$65,MATCH($A16,Data_Sales!$A$5:$A$65,0))*INDEX(Survival!$C$55:$T$100,(I$4-$A16)+1,MATCH(I$4,Survival!$C$3:$T$3,0))))</f>
        <v/>
      </c>
      <c r="J16" s="27">
        <f>IF(J$4&lt;$A16,"",IF((J$4-$A16)&gt;45,0,INDEX(Data_Sales!$B$5:$B$65,MATCH($A16,Data_Sales!$A$5:$A$65,0))*INDEX(Survival!$C$6:$T$51,(J$4-$A16)+1,MATCH(J$4,Survival!$C$3:$T$3,0))+INDEX(Data_Sales!$C$5:$C$65,MATCH($A16,Data_Sales!$A$5:$A$65,0))*INDEX(Survival!$C$55:$T$100,(J$4-$A16)+1,MATCH(J$4,Survival!$C$3:$T$3,0))))</f>
        <v/>
      </c>
      <c r="K16" s="27">
        <f>IF(K$4&lt;$A16,"",IF((K$4-$A16)&gt;45,0,INDEX(Data_Sales!$B$5:$B$65,MATCH($A16,Data_Sales!$A$5:$A$65,0))*INDEX(Survival!$C$6:$T$51,(K$4-$A16)+1,MATCH(K$4,Survival!$C$3:$T$3,0))+INDEX(Data_Sales!$C$5:$C$65,MATCH($A16,Data_Sales!$A$5:$A$65,0))*INDEX(Survival!$C$55:$T$100,(K$4-$A16)+1,MATCH(K$4,Survival!$C$3:$T$3,0))))</f>
        <v/>
      </c>
      <c r="L16" s="27">
        <f>IF(L$4&lt;$A16,"",IF((L$4-$A16)&gt;45,0,INDEX(Data_Sales!$B$5:$B$65,MATCH($A16,Data_Sales!$A$5:$A$65,0))*INDEX(Survival!$C$6:$T$51,(L$4-$A16)+1,MATCH(L$4,Survival!$C$3:$T$3,0))+INDEX(Data_Sales!$C$5:$C$65,MATCH($A16,Data_Sales!$A$5:$A$65,0))*INDEX(Survival!$C$55:$T$100,(L$4-$A16)+1,MATCH(L$4,Survival!$C$3:$T$3,0))))</f>
        <v/>
      </c>
      <c r="M16" s="27">
        <f>IF(M$4&lt;$A16,"",IF((M$4-$A16)&gt;45,0,INDEX(Data_Sales!$B$5:$B$65,MATCH($A16,Data_Sales!$A$5:$A$65,0))*INDEX(Survival!$C$6:$T$51,(M$4-$A16)+1,MATCH(M$4,Survival!$C$3:$T$3,0))+INDEX(Data_Sales!$C$5:$C$65,MATCH($A16,Data_Sales!$A$5:$A$65,0))*INDEX(Survival!$C$55:$T$100,(M$4-$A16)+1,MATCH(M$4,Survival!$C$3:$T$3,0))))</f>
        <v/>
      </c>
      <c r="N16" s="27">
        <f>IF(N$4&lt;$A16,"",IF((N$4-$A16)&gt;45,0,INDEX(Data_Sales!$B$5:$B$65,MATCH($A16,Data_Sales!$A$5:$A$65,0))*INDEX(Survival!$C$6:$T$51,(N$4-$A16)+1,MATCH(N$4,Survival!$C$3:$T$3,0))+INDEX(Data_Sales!$C$5:$C$65,MATCH($A16,Data_Sales!$A$5:$A$65,0))*INDEX(Survival!$C$55:$T$100,(N$4-$A16)+1,MATCH(N$4,Survival!$C$3:$T$3,0))))</f>
        <v/>
      </c>
      <c r="O16" s="27">
        <f>IF(O$4&lt;$A16,"",IF((O$4-$A16)&gt;45,0,INDEX(Data_Sales!$B$5:$B$65,MATCH($A16,Data_Sales!$A$5:$A$65,0))*INDEX(Survival!$C$6:$T$51,(O$4-$A16)+1,MATCH(O$4,Survival!$C$3:$T$3,0))+INDEX(Data_Sales!$C$5:$C$65,MATCH($A16,Data_Sales!$A$5:$A$65,0))*INDEX(Survival!$C$55:$T$100,(O$4-$A16)+1,MATCH(O$4,Survival!$C$3:$T$3,0))))</f>
        <v/>
      </c>
      <c r="P16" s="27">
        <f>IF(P$4&lt;$A16,"",IF((P$4-$A16)&gt;45,0,INDEX(Data_Sales!$B$5:$B$65,MATCH($A16,Data_Sales!$A$5:$A$65,0))*INDEX(Survival!$C$6:$T$51,(P$4-$A16)+1,MATCH(P$4,Survival!$C$3:$T$3,0))+INDEX(Data_Sales!$C$5:$C$65,MATCH($A16,Data_Sales!$A$5:$A$65,0))*INDEX(Survival!$C$55:$T$100,(P$4-$A16)+1,MATCH(P$4,Survival!$C$3:$T$3,0))))</f>
        <v/>
      </c>
      <c r="Q16" s="27">
        <f>IF(Q$4&lt;$A16,"",IF((Q$4-$A16)&gt;45,0,INDEX(Data_Sales!$B$5:$B$65,MATCH($A16,Data_Sales!$A$5:$A$65,0))*INDEX(Survival!$C$6:$T$51,(Q$4-$A16)+1,MATCH(Q$4,Survival!$C$3:$T$3,0))+INDEX(Data_Sales!$C$5:$C$65,MATCH($A16,Data_Sales!$A$5:$A$65,0))*INDEX(Survival!$C$55:$T$100,(Q$4-$A16)+1,MATCH(Q$4,Survival!$C$3:$T$3,0))))</f>
        <v/>
      </c>
      <c r="R16" s="27">
        <f>IF(R$4&lt;$A16,"",IF((R$4-$A16)&gt;45,0,INDEX(Data_Sales!$B$5:$B$65,MATCH($A16,Data_Sales!$A$5:$A$65,0))*INDEX(Survival!$C$6:$T$51,(R$4-$A16)+1,MATCH(R$4,Survival!$C$3:$T$3,0))+INDEX(Data_Sales!$C$5:$C$65,MATCH($A16,Data_Sales!$A$5:$A$65,0))*INDEX(Survival!$C$55:$T$100,(R$4-$A16)+1,MATCH(R$4,Survival!$C$3:$T$3,0))))</f>
        <v/>
      </c>
      <c r="S16" s="27">
        <f>IF(S$4&lt;$A16,"",IF((S$4-$A16)&gt;45,0,INDEX(Data_Sales!$B$5:$B$65,MATCH($A16,Data_Sales!$A$5:$A$65,0))*INDEX(Survival!$C$6:$T$51,(S$4-$A16)+1,MATCH(S$4,Survival!$C$3:$T$3,0))+INDEX(Data_Sales!$C$5:$C$65,MATCH($A16,Data_Sales!$A$5:$A$65,0))*INDEX(Survival!$C$55:$T$100,(S$4-$A16)+1,MATCH(S$4,Survival!$C$3:$T$3,0))))</f>
        <v/>
      </c>
      <c r="T16" s="27">
        <f>IF(T$4&lt;$A16,"",IF((T$4-$A16)&gt;45,0,INDEX(Data_Sales!$B$5:$B$65,MATCH($A16,Data_Sales!$A$5:$A$65,0))*INDEX(Survival!$C$6:$T$51,(T$4-$A16)+1,MATCH(T$4,Survival!$C$3:$T$3,0))+INDEX(Data_Sales!$C$5:$C$65,MATCH($A16,Data_Sales!$A$5:$A$65,0))*INDEX(Survival!$C$55:$T$100,(T$4-$A16)+1,MATCH(T$4,Survival!$C$3:$T$3,0))))</f>
        <v/>
      </c>
    </row>
    <row r="17">
      <c r="A17" s="9" t="n">
        <v>1981</v>
      </c>
      <c r="C17" s="27">
        <f>IF(C$4&lt;$A17,"",IF((C$4-$A17)&gt;45,0,INDEX(Data_Sales!$B$5:$B$65,MATCH($A17,Data_Sales!$A$5:$A$65,0))*INDEX(Survival!$C$6:$T$51,(C$4-$A17)+1,MATCH(C$4,Survival!$C$3:$T$3,0))+INDEX(Data_Sales!$C$5:$C$65,MATCH($A17,Data_Sales!$A$5:$A$65,0))*INDEX(Survival!$C$55:$T$100,(C$4-$A17)+1,MATCH(C$4,Survival!$C$3:$T$3,0))))</f>
        <v/>
      </c>
      <c r="D17" s="27">
        <f>IF(D$4&lt;$A17,"",IF((D$4-$A17)&gt;45,0,INDEX(Data_Sales!$B$5:$B$65,MATCH($A17,Data_Sales!$A$5:$A$65,0))*INDEX(Survival!$C$6:$T$51,(D$4-$A17)+1,MATCH(D$4,Survival!$C$3:$T$3,0))+INDEX(Data_Sales!$C$5:$C$65,MATCH($A17,Data_Sales!$A$5:$A$65,0))*INDEX(Survival!$C$55:$T$100,(D$4-$A17)+1,MATCH(D$4,Survival!$C$3:$T$3,0))))</f>
        <v/>
      </c>
      <c r="E17" s="27">
        <f>IF(E$4&lt;$A17,"",IF((E$4-$A17)&gt;45,0,INDEX(Data_Sales!$B$5:$B$65,MATCH($A17,Data_Sales!$A$5:$A$65,0))*INDEX(Survival!$C$6:$T$51,(E$4-$A17)+1,MATCH(E$4,Survival!$C$3:$T$3,0))+INDEX(Data_Sales!$C$5:$C$65,MATCH($A17,Data_Sales!$A$5:$A$65,0))*INDEX(Survival!$C$55:$T$100,(E$4-$A17)+1,MATCH(E$4,Survival!$C$3:$T$3,0))))</f>
        <v/>
      </c>
      <c r="F17" s="27">
        <f>IF(F$4&lt;$A17,"",IF((F$4-$A17)&gt;45,0,INDEX(Data_Sales!$B$5:$B$65,MATCH($A17,Data_Sales!$A$5:$A$65,0))*INDEX(Survival!$C$6:$T$51,(F$4-$A17)+1,MATCH(F$4,Survival!$C$3:$T$3,0))+INDEX(Data_Sales!$C$5:$C$65,MATCH($A17,Data_Sales!$A$5:$A$65,0))*INDEX(Survival!$C$55:$T$100,(F$4-$A17)+1,MATCH(F$4,Survival!$C$3:$T$3,0))))</f>
        <v/>
      </c>
      <c r="G17" s="27">
        <f>IF(G$4&lt;$A17,"",IF((G$4-$A17)&gt;45,0,INDEX(Data_Sales!$B$5:$B$65,MATCH($A17,Data_Sales!$A$5:$A$65,0))*INDEX(Survival!$C$6:$T$51,(G$4-$A17)+1,MATCH(G$4,Survival!$C$3:$T$3,0))+INDEX(Data_Sales!$C$5:$C$65,MATCH($A17,Data_Sales!$A$5:$A$65,0))*INDEX(Survival!$C$55:$T$100,(G$4-$A17)+1,MATCH(G$4,Survival!$C$3:$T$3,0))))</f>
        <v/>
      </c>
      <c r="H17" s="27">
        <f>IF(H$4&lt;$A17,"",IF((H$4-$A17)&gt;45,0,INDEX(Data_Sales!$B$5:$B$65,MATCH($A17,Data_Sales!$A$5:$A$65,0))*INDEX(Survival!$C$6:$T$51,(H$4-$A17)+1,MATCH(H$4,Survival!$C$3:$T$3,0))+INDEX(Data_Sales!$C$5:$C$65,MATCH($A17,Data_Sales!$A$5:$A$65,0))*INDEX(Survival!$C$55:$T$100,(H$4-$A17)+1,MATCH(H$4,Survival!$C$3:$T$3,0))))</f>
        <v/>
      </c>
      <c r="I17" s="27">
        <f>IF(I$4&lt;$A17,"",IF((I$4-$A17)&gt;45,0,INDEX(Data_Sales!$B$5:$B$65,MATCH($A17,Data_Sales!$A$5:$A$65,0))*INDEX(Survival!$C$6:$T$51,(I$4-$A17)+1,MATCH(I$4,Survival!$C$3:$T$3,0))+INDEX(Data_Sales!$C$5:$C$65,MATCH($A17,Data_Sales!$A$5:$A$65,0))*INDEX(Survival!$C$55:$T$100,(I$4-$A17)+1,MATCH(I$4,Survival!$C$3:$T$3,0))))</f>
        <v/>
      </c>
      <c r="J17" s="27">
        <f>IF(J$4&lt;$A17,"",IF((J$4-$A17)&gt;45,0,INDEX(Data_Sales!$B$5:$B$65,MATCH($A17,Data_Sales!$A$5:$A$65,0))*INDEX(Survival!$C$6:$T$51,(J$4-$A17)+1,MATCH(J$4,Survival!$C$3:$T$3,0))+INDEX(Data_Sales!$C$5:$C$65,MATCH($A17,Data_Sales!$A$5:$A$65,0))*INDEX(Survival!$C$55:$T$100,(J$4-$A17)+1,MATCH(J$4,Survival!$C$3:$T$3,0))))</f>
        <v/>
      </c>
      <c r="K17" s="27">
        <f>IF(K$4&lt;$A17,"",IF((K$4-$A17)&gt;45,0,INDEX(Data_Sales!$B$5:$B$65,MATCH($A17,Data_Sales!$A$5:$A$65,0))*INDEX(Survival!$C$6:$T$51,(K$4-$A17)+1,MATCH(K$4,Survival!$C$3:$T$3,0))+INDEX(Data_Sales!$C$5:$C$65,MATCH($A17,Data_Sales!$A$5:$A$65,0))*INDEX(Survival!$C$55:$T$100,(K$4-$A17)+1,MATCH(K$4,Survival!$C$3:$T$3,0))))</f>
        <v/>
      </c>
      <c r="L17" s="27">
        <f>IF(L$4&lt;$A17,"",IF((L$4-$A17)&gt;45,0,INDEX(Data_Sales!$B$5:$B$65,MATCH($A17,Data_Sales!$A$5:$A$65,0))*INDEX(Survival!$C$6:$T$51,(L$4-$A17)+1,MATCH(L$4,Survival!$C$3:$T$3,0))+INDEX(Data_Sales!$C$5:$C$65,MATCH($A17,Data_Sales!$A$5:$A$65,0))*INDEX(Survival!$C$55:$T$100,(L$4-$A17)+1,MATCH(L$4,Survival!$C$3:$T$3,0))))</f>
        <v/>
      </c>
      <c r="M17" s="27">
        <f>IF(M$4&lt;$A17,"",IF((M$4-$A17)&gt;45,0,INDEX(Data_Sales!$B$5:$B$65,MATCH($A17,Data_Sales!$A$5:$A$65,0))*INDEX(Survival!$C$6:$T$51,(M$4-$A17)+1,MATCH(M$4,Survival!$C$3:$T$3,0))+INDEX(Data_Sales!$C$5:$C$65,MATCH($A17,Data_Sales!$A$5:$A$65,0))*INDEX(Survival!$C$55:$T$100,(M$4-$A17)+1,MATCH(M$4,Survival!$C$3:$T$3,0))))</f>
        <v/>
      </c>
      <c r="N17" s="27">
        <f>IF(N$4&lt;$A17,"",IF((N$4-$A17)&gt;45,0,INDEX(Data_Sales!$B$5:$B$65,MATCH($A17,Data_Sales!$A$5:$A$65,0))*INDEX(Survival!$C$6:$T$51,(N$4-$A17)+1,MATCH(N$4,Survival!$C$3:$T$3,0))+INDEX(Data_Sales!$C$5:$C$65,MATCH($A17,Data_Sales!$A$5:$A$65,0))*INDEX(Survival!$C$55:$T$100,(N$4-$A17)+1,MATCH(N$4,Survival!$C$3:$T$3,0))))</f>
        <v/>
      </c>
      <c r="O17" s="27">
        <f>IF(O$4&lt;$A17,"",IF((O$4-$A17)&gt;45,0,INDEX(Data_Sales!$B$5:$B$65,MATCH($A17,Data_Sales!$A$5:$A$65,0))*INDEX(Survival!$C$6:$T$51,(O$4-$A17)+1,MATCH(O$4,Survival!$C$3:$T$3,0))+INDEX(Data_Sales!$C$5:$C$65,MATCH($A17,Data_Sales!$A$5:$A$65,0))*INDEX(Survival!$C$55:$T$100,(O$4-$A17)+1,MATCH(O$4,Survival!$C$3:$T$3,0))))</f>
        <v/>
      </c>
      <c r="P17" s="27">
        <f>IF(P$4&lt;$A17,"",IF((P$4-$A17)&gt;45,0,INDEX(Data_Sales!$B$5:$B$65,MATCH($A17,Data_Sales!$A$5:$A$65,0))*INDEX(Survival!$C$6:$T$51,(P$4-$A17)+1,MATCH(P$4,Survival!$C$3:$T$3,0))+INDEX(Data_Sales!$C$5:$C$65,MATCH($A17,Data_Sales!$A$5:$A$65,0))*INDEX(Survival!$C$55:$T$100,(P$4-$A17)+1,MATCH(P$4,Survival!$C$3:$T$3,0))))</f>
        <v/>
      </c>
      <c r="Q17" s="27">
        <f>IF(Q$4&lt;$A17,"",IF((Q$4-$A17)&gt;45,0,INDEX(Data_Sales!$B$5:$B$65,MATCH($A17,Data_Sales!$A$5:$A$65,0))*INDEX(Survival!$C$6:$T$51,(Q$4-$A17)+1,MATCH(Q$4,Survival!$C$3:$T$3,0))+INDEX(Data_Sales!$C$5:$C$65,MATCH($A17,Data_Sales!$A$5:$A$65,0))*INDEX(Survival!$C$55:$T$100,(Q$4-$A17)+1,MATCH(Q$4,Survival!$C$3:$T$3,0))))</f>
        <v/>
      </c>
      <c r="R17" s="27">
        <f>IF(R$4&lt;$A17,"",IF((R$4-$A17)&gt;45,0,INDEX(Data_Sales!$B$5:$B$65,MATCH($A17,Data_Sales!$A$5:$A$65,0))*INDEX(Survival!$C$6:$T$51,(R$4-$A17)+1,MATCH(R$4,Survival!$C$3:$T$3,0))+INDEX(Data_Sales!$C$5:$C$65,MATCH($A17,Data_Sales!$A$5:$A$65,0))*INDEX(Survival!$C$55:$T$100,(R$4-$A17)+1,MATCH(R$4,Survival!$C$3:$T$3,0))))</f>
        <v/>
      </c>
      <c r="S17" s="27">
        <f>IF(S$4&lt;$A17,"",IF((S$4-$A17)&gt;45,0,INDEX(Data_Sales!$B$5:$B$65,MATCH($A17,Data_Sales!$A$5:$A$65,0))*INDEX(Survival!$C$6:$T$51,(S$4-$A17)+1,MATCH(S$4,Survival!$C$3:$T$3,0))+INDEX(Data_Sales!$C$5:$C$65,MATCH($A17,Data_Sales!$A$5:$A$65,0))*INDEX(Survival!$C$55:$T$100,(S$4-$A17)+1,MATCH(S$4,Survival!$C$3:$T$3,0))))</f>
        <v/>
      </c>
      <c r="T17" s="27">
        <f>IF(T$4&lt;$A17,"",IF((T$4-$A17)&gt;45,0,INDEX(Data_Sales!$B$5:$B$65,MATCH($A17,Data_Sales!$A$5:$A$65,0))*INDEX(Survival!$C$6:$T$51,(T$4-$A17)+1,MATCH(T$4,Survival!$C$3:$T$3,0))+INDEX(Data_Sales!$C$5:$C$65,MATCH($A17,Data_Sales!$A$5:$A$65,0))*INDEX(Survival!$C$55:$T$100,(T$4-$A17)+1,MATCH(T$4,Survival!$C$3:$T$3,0))))</f>
        <v/>
      </c>
    </row>
    <row r="18">
      <c r="A18" s="9" t="n">
        <v>1982</v>
      </c>
      <c r="C18" s="27">
        <f>IF(C$4&lt;$A18,"",IF((C$4-$A18)&gt;45,0,INDEX(Data_Sales!$B$5:$B$65,MATCH($A18,Data_Sales!$A$5:$A$65,0))*INDEX(Survival!$C$6:$T$51,(C$4-$A18)+1,MATCH(C$4,Survival!$C$3:$T$3,0))+INDEX(Data_Sales!$C$5:$C$65,MATCH($A18,Data_Sales!$A$5:$A$65,0))*INDEX(Survival!$C$55:$T$100,(C$4-$A18)+1,MATCH(C$4,Survival!$C$3:$T$3,0))))</f>
        <v/>
      </c>
      <c r="D18" s="27">
        <f>IF(D$4&lt;$A18,"",IF((D$4-$A18)&gt;45,0,INDEX(Data_Sales!$B$5:$B$65,MATCH($A18,Data_Sales!$A$5:$A$65,0))*INDEX(Survival!$C$6:$T$51,(D$4-$A18)+1,MATCH(D$4,Survival!$C$3:$T$3,0))+INDEX(Data_Sales!$C$5:$C$65,MATCH($A18,Data_Sales!$A$5:$A$65,0))*INDEX(Survival!$C$55:$T$100,(D$4-$A18)+1,MATCH(D$4,Survival!$C$3:$T$3,0))))</f>
        <v/>
      </c>
      <c r="E18" s="27">
        <f>IF(E$4&lt;$A18,"",IF((E$4-$A18)&gt;45,0,INDEX(Data_Sales!$B$5:$B$65,MATCH($A18,Data_Sales!$A$5:$A$65,0))*INDEX(Survival!$C$6:$T$51,(E$4-$A18)+1,MATCH(E$4,Survival!$C$3:$T$3,0))+INDEX(Data_Sales!$C$5:$C$65,MATCH($A18,Data_Sales!$A$5:$A$65,0))*INDEX(Survival!$C$55:$T$100,(E$4-$A18)+1,MATCH(E$4,Survival!$C$3:$T$3,0))))</f>
        <v/>
      </c>
      <c r="F18" s="27">
        <f>IF(F$4&lt;$A18,"",IF((F$4-$A18)&gt;45,0,INDEX(Data_Sales!$B$5:$B$65,MATCH($A18,Data_Sales!$A$5:$A$65,0))*INDEX(Survival!$C$6:$T$51,(F$4-$A18)+1,MATCH(F$4,Survival!$C$3:$T$3,0))+INDEX(Data_Sales!$C$5:$C$65,MATCH($A18,Data_Sales!$A$5:$A$65,0))*INDEX(Survival!$C$55:$T$100,(F$4-$A18)+1,MATCH(F$4,Survival!$C$3:$T$3,0))))</f>
        <v/>
      </c>
      <c r="G18" s="27">
        <f>IF(G$4&lt;$A18,"",IF((G$4-$A18)&gt;45,0,INDEX(Data_Sales!$B$5:$B$65,MATCH($A18,Data_Sales!$A$5:$A$65,0))*INDEX(Survival!$C$6:$T$51,(G$4-$A18)+1,MATCH(G$4,Survival!$C$3:$T$3,0))+INDEX(Data_Sales!$C$5:$C$65,MATCH($A18,Data_Sales!$A$5:$A$65,0))*INDEX(Survival!$C$55:$T$100,(G$4-$A18)+1,MATCH(G$4,Survival!$C$3:$T$3,0))))</f>
        <v/>
      </c>
      <c r="H18" s="27">
        <f>IF(H$4&lt;$A18,"",IF((H$4-$A18)&gt;45,0,INDEX(Data_Sales!$B$5:$B$65,MATCH($A18,Data_Sales!$A$5:$A$65,0))*INDEX(Survival!$C$6:$T$51,(H$4-$A18)+1,MATCH(H$4,Survival!$C$3:$T$3,0))+INDEX(Data_Sales!$C$5:$C$65,MATCH($A18,Data_Sales!$A$5:$A$65,0))*INDEX(Survival!$C$55:$T$100,(H$4-$A18)+1,MATCH(H$4,Survival!$C$3:$T$3,0))))</f>
        <v/>
      </c>
      <c r="I18" s="27">
        <f>IF(I$4&lt;$A18,"",IF((I$4-$A18)&gt;45,0,INDEX(Data_Sales!$B$5:$B$65,MATCH($A18,Data_Sales!$A$5:$A$65,0))*INDEX(Survival!$C$6:$T$51,(I$4-$A18)+1,MATCH(I$4,Survival!$C$3:$T$3,0))+INDEX(Data_Sales!$C$5:$C$65,MATCH($A18,Data_Sales!$A$5:$A$65,0))*INDEX(Survival!$C$55:$T$100,(I$4-$A18)+1,MATCH(I$4,Survival!$C$3:$T$3,0))))</f>
        <v/>
      </c>
      <c r="J18" s="27">
        <f>IF(J$4&lt;$A18,"",IF((J$4-$A18)&gt;45,0,INDEX(Data_Sales!$B$5:$B$65,MATCH($A18,Data_Sales!$A$5:$A$65,0))*INDEX(Survival!$C$6:$T$51,(J$4-$A18)+1,MATCH(J$4,Survival!$C$3:$T$3,0))+INDEX(Data_Sales!$C$5:$C$65,MATCH($A18,Data_Sales!$A$5:$A$65,0))*INDEX(Survival!$C$55:$T$100,(J$4-$A18)+1,MATCH(J$4,Survival!$C$3:$T$3,0))))</f>
        <v/>
      </c>
      <c r="K18" s="27">
        <f>IF(K$4&lt;$A18,"",IF((K$4-$A18)&gt;45,0,INDEX(Data_Sales!$B$5:$B$65,MATCH($A18,Data_Sales!$A$5:$A$65,0))*INDEX(Survival!$C$6:$T$51,(K$4-$A18)+1,MATCH(K$4,Survival!$C$3:$T$3,0))+INDEX(Data_Sales!$C$5:$C$65,MATCH($A18,Data_Sales!$A$5:$A$65,0))*INDEX(Survival!$C$55:$T$100,(K$4-$A18)+1,MATCH(K$4,Survival!$C$3:$T$3,0))))</f>
        <v/>
      </c>
      <c r="L18" s="27">
        <f>IF(L$4&lt;$A18,"",IF((L$4-$A18)&gt;45,0,INDEX(Data_Sales!$B$5:$B$65,MATCH($A18,Data_Sales!$A$5:$A$65,0))*INDEX(Survival!$C$6:$T$51,(L$4-$A18)+1,MATCH(L$4,Survival!$C$3:$T$3,0))+INDEX(Data_Sales!$C$5:$C$65,MATCH($A18,Data_Sales!$A$5:$A$65,0))*INDEX(Survival!$C$55:$T$100,(L$4-$A18)+1,MATCH(L$4,Survival!$C$3:$T$3,0))))</f>
        <v/>
      </c>
      <c r="M18" s="27">
        <f>IF(M$4&lt;$A18,"",IF((M$4-$A18)&gt;45,0,INDEX(Data_Sales!$B$5:$B$65,MATCH($A18,Data_Sales!$A$5:$A$65,0))*INDEX(Survival!$C$6:$T$51,(M$4-$A18)+1,MATCH(M$4,Survival!$C$3:$T$3,0))+INDEX(Data_Sales!$C$5:$C$65,MATCH($A18,Data_Sales!$A$5:$A$65,0))*INDEX(Survival!$C$55:$T$100,(M$4-$A18)+1,MATCH(M$4,Survival!$C$3:$T$3,0))))</f>
        <v/>
      </c>
      <c r="N18" s="27">
        <f>IF(N$4&lt;$A18,"",IF((N$4-$A18)&gt;45,0,INDEX(Data_Sales!$B$5:$B$65,MATCH($A18,Data_Sales!$A$5:$A$65,0))*INDEX(Survival!$C$6:$T$51,(N$4-$A18)+1,MATCH(N$4,Survival!$C$3:$T$3,0))+INDEX(Data_Sales!$C$5:$C$65,MATCH($A18,Data_Sales!$A$5:$A$65,0))*INDEX(Survival!$C$55:$T$100,(N$4-$A18)+1,MATCH(N$4,Survival!$C$3:$T$3,0))))</f>
        <v/>
      </c>
      <c r="O18" s="27">
        <f>IF(O$4&lt;$A18,"",IF((O$4-$A18)&gt;45,0,INDEX(Data_Sales!$B$5:$B$65,MATCH($A18,Data_Sales!$A$5:$A$65,0))*INDEX(Survival!$C$6:$T$51,(O$4-$A18)+1,MATCH(O$4,Survival!$C$3:$T$3,0))+INDEX(Data_Sales!$C$5:$C$65,MATCH($A18,Data_Sales!$A$5:$A$65,0))*INDEX(Survival!$C$55:$T$100,(O$4-$A18)+1,MATCH(O$4,Survival!$C$3:$T$3,0))))</f>
        <v/>
      </c>
      <c r="P18" s="27">
        <f>IF(P$4&lt;$A18,"",IF((P$4-$A18)&gt;45,0,INDEX(Data_Sales!$B$5:$B$65,MATCH($A18,Data_Sales!$A$5:$A$65,0))*INDEX(Survival!$C$6:$T$51,(P$4-$A18)+1,MATCH(P$4,Survival!$C$3:$T$3,0))+INDEX(Data_Sales!$C$5:$C$65,MATCH($A18,Data_Sales!$A$5:$A$65,0))*INDEX(Survival!$C$55:$T$100,(P$4-$A18)+1,MATCH(P$4,Survival!$C$3:$T$3,0))))</f>
        <v/>
      </c>
      <c r="Q18" s="27">
        <f>IF(Q$4&lt;$A18,"",IF((Q$4-$A18)&gt;45,0,INDEX(Data_Sales!$B$5:$B$65,MATCH($A18,Data_Sales!$A$5:$A$65,0))*INDEX(Survival!$C$6:$T$51,(Q$4-$A18)+1,MATCH(Q$4,Survival!$C$3:$T$3,0))+INDEX(Data_Sales!$C$5:$C$65,MATCH($A18,Data_Sales!$A$5:$A$65,0))*INDEX(Survival!$C$55:$T$100,(Q$4-$A18)+1,MATCH(Q$4,Survival!$C$3:$T$3,0))))</f>
        <v/>
      </c>
      <c r="R18" s="27">
        <f>IF(R$4&lt;$A18,"",IF((R$4-$A18)&gt;45,0,INDEX(Data_Sales!$B$5:$B$65,MATCH($A18,Data_Sales!$A$5:$A$65,0))*INDEX(Survival!$C$6:$T$51,(R$4-$A18)+1,MATCH(R$4,Survival!$C$3:$T$3,0))+INDEX(Data_Sales!$C$5:$C$65,MATCH($A18,Data_Sales!$A$5:$A$65,0))*INDEX(Survival!$C$55:$T$100,(R$4-$A18)+1,MATCH(R$4,Survival!$C$3:$T$3,0))))</f>
        <v/>
      </c>
      <c r="S18" s="27">
        <f>IF(S$4&lt;$A18,"",IF((S$4-$A18)&gt;45,0,INDEX(Data_Sales!$B$5:$B$65,MATCH($A18,Data_Sales!$A$5:$A$65,0))*INDEX(Survival!$C$6:$T$51,(S$4-$A18)+1,MATCH(S$4,Survival!$C$3:$T$3,0))+INDEX(Data_Sales!$C$5:$C$65,MATCH($A18,Data_Sales!$A$5:$A$65,0))*INDEX(Survival!$C$55:$T$100,(S$4-$A18)+1,MATCH(S$4,Survival!$C$3:$T$3,0))))</f>
        <v/>
      </c>
      <c r="T18" s="27">
        <f>IF(T$4&lt;$A18,"",IF((T$4-$A18)&gt;45,0,INDEX(Data_Sales!$B$5:$B$65,MATCH($A18,Data_Sales!$A$5:$A$65,0))*INDEX(Survival!$C$6:$T$51,(T$4-$A18)+1,MATCH(T$4,Survival!$C$3:$T$3,0))+INDEX(Data_Sales!$C$5:$C$65,MATCH($A18,Data_Sales!$A$5:$A$65,0))*INDEX(Survival!$C$55:$T$100,(T$4-$A18)+1,MATCH(T$4,Survival!$C$3:$T$3,0))))</f>
        <v/>
      </c>
    </row>
    <row r="19">
      <c r="A19" s="9" t="n">
        <v>1983</v>
      </c>
      <c r="C19" s="27">
        <f>IF(C$4&lt;$A19,"",IF((C$4-$A19)&gt;45,0,INDEX(Data_Sales!$B$5:$B$65,MATCH($A19,Data_Sales!$A$5:$A$65,0))*INDEX(Survival!$C$6:$T$51,(C$4-$A19)+1,MATCH(C$4,Survival!$C$3:$T$3,0))+INDEX(Data_Sales!$C$5:$C$65,MATCH($A19,Data_Sales!$A$5:$A$65,0))*INDEX(Survival!$C$55:$T$100,(C$4-$A19)+1,MATCH(C$4,Survival!$C$3:$T$3,0))))</f>
        <v/>
      </c>
      <c r="D19" s="27">
        <f>IF(D$4&lt;$A19,"",IF((D$4-$A19)&gt;45,0,INDEX(Data_Sales!$B$5:$B$65,MATCH($A19,Data_Sales!$A$5:$A$65,0))*INDEX(Survival!$C$6:$T$51,(D$4-$A19)+1,MATCH(D$4,Survival!$C$3:$T$3,0))+INDEX(Data_Sales!$C$5:$C$65,MATCH($A19,Data_Sales!$A$5:$A$65,0))*INDEX(Survival!$C$55:$T$100,(D$4-$A19)+1,MATCH(D$4,Survival!$C$3:$T$3,0))))</f>
        <v/>
      </c>
      <c r="E19" s="27">
        <f>IF(E$4&lt;$A19,"",IF((E$4-$A19)&gt;45,0,INDEX(Data_Sales!$B$5:$B$65,MATCH($A19,Data_Sales!$A$5:$A$65,0))*INDEX(Survival!$C$6:$T$51,(E$4-$A19)+1,MATCH(E$4,Survival!$C$3:$T$3,0))+INDEX(Data_Sales!$C$5:$C$65,MATCH($A19,Data_Sales!$A$5:$A$65,0))*INDEX(Survival!$C$55:$T$100,(E$4-$A19)+1,MATCH(E$4,Survival!$C$3:$T$3,0))))</f>
        <v/>
      </c>
      <c r="F19" s="27">
        <f>IF(F$4&lt;$A19,"",IF((F$4-$A19)&gt;45,0,INDEX(Data_Sales!$B$5:$B$65,MATCH($A19,Data_Sales!$A$5:$A$65,0))*INDEX(Survival!$C$6:$T$51,(F$4-$A19)+1,MATCH(F$4,Survival!$C$3:$T$3,0))+INDEX(Data_Sales!$C$5:$C$65,MATCH($A19,Data_Sales!$A$5:$A$65,0))*INDEX(Survival!$C$55:$T$100,(F$4-$A19)+1,MATCH(F$4,Survival!$C$3:$T$3,0))))</f>
        <v/>
      </c>
      <c r="G19" s="27">
        <f>IF(G$4&lt;$A19,"",IF((G$4-$A19)&gt;45,0,INDEX(Data_Sales!$B$5:$B$65,MATCH($A19,Data_Sales!$A$5:$A$65,0))*INDEX(Survival!$C$6:$T$51,(G$4-$A19)+1,MATCH(G$4,Survival!$C$3:$T$3,0))+INDEX(Data_Sales!$C$5:$C$65,MATCH($A19,Data_Sales!$A$5:$A$65,0))*INDEX(Survival!$C$55:$T$100,(G$4-$A19)+1,MATCH(G$4,Survival!$C$3:$T$3,0))))</f>
        <v/>
      </c>
      <c r="H19" s="27">
        <f>IF(H$4&lt;$A19,"",IF((H$4-$A19)&gt;45,0,INDEX(Data_Sales!$B$5:$B$65,MATCH($A19,Data_Sales!$A$5:$A$65,0))*INDEX(Survival!$C$6:$T$51,(H$4-$A19)+1,MATCH(H$4,Survival!$C$3:$T$3,0))+INDEX(Data_Sales!$C$5:$C$65,MATCH($A19,Data_Sales!$A$5:$A$65,0))*INDEX(Survival!$C$55:$T$100,(H$4-$A19)+1,MATCH(H$4,Survival!$C$3:$T$3,0))))</f>
        <v/>
      </c>
      <c r="I19" s="27">
        <f>IF(I$4&lt;$A19,"",IF((I$4-$A19)&gt;45,0,INDEX(Data_Sales!$B$5:$B$65,MATCH($A19,Data_Sales!$A$5:$A$65,0))*INDEX(Survival!$C$6:$T$51,(I$4-$A19)+1,MATCH(I$4,Survival!$C$3:$T$3,0))+INDEX(Data_Sales!$C$5:$C$65,MATCH($A19,Data_Sales!$A$5:$A$65,0))*INDEX(Survival!$C$55:$T$100,(I$4-$A19)+1,MATCH(I$4,Survival!$C$3:$T$3,0))))</f>
        <v/>
      </c>
      <c r="J19" s="27">
        <f>IF(J$4&lt;$A19,"",IF((J$4-$A19)&gt;45,0,INDEX(Data_Sales!$B$5:$B$65,MATCH($A19,Data_Sales!$A$5:$A$65,0))*INDEX(Survival!$C$6:$T$51,(J$4-$A19)+1,MATCH(J$4,Survival!$C$3:$T$3,0))+INDEX(Data_Sales!$C$5:$C$65,MATCH($A19,Data_Sales!$A$5:$A$65,0))*INDEX(Survival!$C$55:$T$100,(J$4-$A19)+1,MATCH(J$4,Survival!$C$3:$T$3,0))))</f>
        <v/>
      </c>
      <c r="K19" s="27">
        <f>IF(K$4&lt;$A19,"",IF((K$4-$A19)&gt;45,0,INDEX(Data_Sales!$B$5:$B$65,MATCH($A19,Data_Sales!$A$5:$A$65,0))*INDEX(Survival!$C$6:$T$51,(K$4-$A19)+1,MATCH(K$4,Survival!$C$3:$T$3,0))+INDEX(Data_Sales!$C$5:$C$65,MATCH($A19,Data_Sales!$A$5:$A$65,0))*INDEX(Survival!$C$55:$T$100,(K$4-$A19)+1,MATCH(K$4,Survival!$C$3:$T$3,0))))</f>
        <v/>
      </c>
      <c r="L19" s="27">
        <f>IF(L$4&lt;$A19,"",IF((L$4-$A19)&gt;45,0,INDEX(Data_Sales!$B$5:$B$65,MATCH($A19,Data_Sales!$A$5:$A$65,0))*INDEX(Survival!$C$6:$T$51,(L$4-$A19)+1,MATCH(L$4,Survival!$C$3:$T$3,0))+INDEX(Data_Sales!$C$5:$C$65,MATCH($A19,Data_Sales!$A$5:$A$65,0))*INDEX(Survival!$C$55:$T$100,(L$4-$A19)+1,MATCH(L$4,Survival!$C$3:$T$3,0))))</f>
        <v/>
      </c>
      <c r="M19" s="27">
        <f>IF(M$4&lt;$A19,"",IF((M$4-$A19)&gt;45,0,INDEX(Data_Sales!$B$5:$B$65,MATCH($A19,Data_Sales!$A$5:$A$65,0))*INDEX(Survival!$C$6:$T$51,(M$4-$A19)+1,MATCH(M$4,Survival!$C$3:$T$3,0))+INDEX(Data_Sales!$C$5:$C$65,MATCH($A19,Data_Sales!$A$5:$A$65,0))*INDEX(Survival!$C$55:$T$100,(M$4-$A19)+1,MATCH(M$4,Survival!$C$3:$T$3,0))))</f>
        <v/>
      </c>
      <c r="N19" s="27">
        <f>IF(N$4&lt;$A19,"",IF((N$4-$A19)&gt;45,0,INDEX(Data_Sales!$B$5:$B$65,MATCH($A19,Data_Sales!$A$5:$A$65,0))*INDEX(Survival!$C$6:$T$51,(N$4-$A19)+1,MATCH(N$4,Survival!$C$3:$T$3,0))+INDEX(Data_Sales!$C$5:$C$65,MATCH($A19,Data_Sales!$A$5:$A$65,0))*INDEX(Survival!$C$55:$T$100,(N$4-$A19)+1,MATCH(N$4,Survival!$C$3:$T$3,0))))</f>
        <v/>
      </c>
      <c r="O19" s="27">
        <f>IF(O$4&lt;$A19,"",IF((O$4-$A19)&gt;45,0,INDEX(Data_Sales!$B$5:$B$65,MATCH($A19,Data_Sales!$A$5:$A$65,0))*INDEX(Survival!$C$6:$T$51,(O$4-$A19)+1,MATCH(O$4,Survival!$C$3:$T$3,0))+INDEX(Data_Sales!$C$5:$C$65,MATCH($A19,Data_Sales!$A$5:$A$65,0))*INDEX(Survival!$C$55:$T$100,(O$4-$A19)+1,MATCH(O$4,Survival!$C$3:$T$3,0))))</f>
        <v/>
      </c>
      <c r="P19" s="27">
        <f>IF(P$4&lt;$A19,"",IF((P$4-$A19)&gt;45,0,INDEX(Data_Sales!$B$5:$B$65,MATCH($A19,Data_Sales!$A$5:$A$65,0))*INDEX(Survival!$C$6:$T$51,(P$4-$A19)+1,MATCH(P$4,Survival!$C$3:$T$3,0))+INDEX(Data_Sales!$C$5:$C$65,MATCH($A19,Data_Sales!$A$5:$A$65,0))*INDEX(Survival!$C$55:$T$100,(P$4-$A19)+1,MATCH(P$4,Survival!$C$3:$T$3,0))))</f>
        <v/>
      </c>
      <c r="Q19" s="27">
        <f>IF(Q$4&lt;$A19,"",IF((Q$4-$A19)&gt;45,0,INDEX(Data_Sales!$B$5:$B$65,MATCH($A19,Data_Sales!$A$5:$A$65,0))*INDEX(Survival!$C$6:$T$51,(Q$4-$A19)+1,MATCH(Q$4,Survival!$C$3:$T$3,0))+INDEX(Data_Sales!$C$5:$C$65,MATCH($A19,Data_Sales!$A$5:$A$65,0))*INDEX(Survival!$C$55:$T$100,(Q$4-$A19)+1,MATCH(Q$4,Survival!$C$3:$T$3,0))))</f>
        <v/>
      </c>
      <c r="R19" s="27">
        <f>IF(R$4&lt;$A19,"",IF((R$4-$A19)&gt;45,0,INDEX(Data_Sales!$B$5:$B$65,MATCH($A19,Data_Sales!$A$5:$A$65,0))*INDEX(Survival!$C$6:$T$51,(R$4-$A19)+1,MATCH(R$4,Survival!$C$3:$T$3,0))+INDEX(Data_Sales!$C$5:$C$65,MATCH($A19,Data_Sales!$A$5:$A$65,0))*INDEX(Survival!$C$55:$T$100,(R$4-$A19)+1,MATCH(R$4,Survival!$C$3:$T$3,0))))</f>
        <v/>
      </c>
      <c r="S19" s="27">
        <f>IF(S$4&lt;$A19,"",IF((S$4-$A19)&gt;45,0,INDEX(Data_Sales!$B$5:$B$65,MATCH($A19,Data_Sales!$A$5:$A$65,0))*INDEX(Survival!$C$6:$T$51,(S$4-$A19)+1,MATCH(S$4,Survival!$C$3:$T$3,0))+INDEX(Data_Sales!$C$5:$C$65,MATCH($A19,Data_Sales!$A$5:$A$65,0))*INDEX(Survival!$C$55:$T$100,(S$4-$A19)+1,MATCH(S$4,Survival!$C$3:$T$3,0))))</f>
        <v/>
      </c>
      <c r="T19" s="27">
        <f>IF(T$4&lt;$A19,"",IF((T$4-$A19)&gt;45,0,INDEX(Data_Sales!$B$5:$B$65,MATCH($A19,Data_Sales!$A$5:$A$65,0))*INDEX(Survival!$C$6:$T$51,(T$4-$A19)+1,MATCH(T$4,Survival!$C$3:$T$3,0))+INDEX(Data_Sales!$C$5:$C$65,MATCH($A19,Data_Sales!$A$5:$A$65,0))*INDEX(Survival!$C$55:$T$100,(T$4-$A19)+1,MATCH(T$4,Survival!$C$3:$T$3,0))))</f>
        <v/>
      </c>
    </row>
    <row r="20">
      <c r="A20" s="9" t="n">
        <v>1984</v>
      </c>
      <c r="C20" s="27">
        <f>IF(C$4&lt;$A20,"",IF((C$4-$A20)&gt;45,0,INDEX(Data_Sales!$B$5:$B$65,MATCH($A20,Data_Sales!$A$5:$A$65,0))*INDEX(Survival!$C$6:$T$51,(C$4-$A20)+1,MATCH(C$4,Survival!$C$3:$T$3,0))+INDEX(Data_Sales!$C$5:$C$65,MATCH($A20,Data_Sales!$A$5:$A$65,0))*INDEX(Survival!$C$55:$T$100,(C$4-$A20)+1,MATCH(C$4,Survival!$C$3:$T$3,0))))</f>
        <v/>
      </c>
      <c r="D20" s="27">
        <f>IF(D$4&lt;$A20,"",IF((D$4-$A20)&gt;45,0,INDEX(Data_Sales!$B$5:$B$65,MATCH($A20,Data_Sales!$A$5:$A$65,0))*INDEX(Survival!$C$6:$T$51,(D$4-$A20)+1,MATCH(D$4,Survival!$C$3:$T$3,0))+INDEX(Data_Sales!$C$5:$C$65,MATCH($A20,Data_Sales!$A$5:$A$65,0))*INDEX(Survival!$C$55:$T$100,(D$4-$A20)+1,MATCH(D$4,Survival!$C$3:$T$3,0))))</f>
        <v/>
      </c>
      <c r="E20" s="27">
        <f>IF(E$4&lt;$A20,"",IF((E$4-$A20)&gt;45,0,INDEX(Data_Sales!$B$5:$B$65,MATCH($A20,Data_Sales!$A$5:$A$65,0))*INDEX(Survival!$C$6:$T$51,(E$4-$A20)+1,MATCH(E$4,Survival!$C$3:$T$3,0))+INDEX(Data_Sales!$C$5:$C$65,MATCH($A20,Data_Sales!$A$5:$A$65,0))*INDEX(Survival!$C$55:$T$100,(E$4-$A20)+1,MATCH(E$4,Survival!$C$3:$T$3,0))))</f>
        <v/>
      </c>
      <c r="F20" s="27">
        <f>IF(F$4&lt;$A20,"",IF((F$4-$A20)&gt;45,0,INDEX(Data_Sales!$B$5:$B$65,MATCH($A20,Data_Sales!$A$5:$A$65,0))*INDEX(Survival!$C$6:$T$51,(F$4-$A20)+1,MATCH(F$4,Survival!$C$3:$T$3,0))+INDEX(Data_Sales!$C$5:$C$65,MATCH($A20,Data_Sales!$A$5:$A$65,0))*INDEX(Survival!$C$55:$T$100,(F$4-$A20)+1,MATCH(F$4,Survival!$C$3:$T$3,0))))</f>
        <v/>
      </c>
      <c r="G20" s="27">
        <f>IF(G$4&lt;$A20,"",IF((G$4-$A20)&gt;45,0,INDEX(Data_Sales!$B$5:$B$65,MATCH($A20,Data_Sales!$A$5:$A$65,0))*INDEX(Survival!$C$6:$T$51,(G$4-$A20)+1,MATCH(G$4,Survival!$C$3:$T$3,0))+INDEX(Data_Sales!$C$5:$C$65,MATCH($A20,Data_Sales!$A$5:$A$65,0))*INDEX(Survival!$C$55:$T$100,(G$4-$A20)+1,MATCH(G$4,Survival!$C$3:$T$3,0))))</f>
        <v/>
      </c>
      <c r="H20" s="27">
        <f>IF(H$4&lt;$A20,"",IF((H$4-$A20)&gt;45,0,INDEX(Data_Sales!$B$5:$B$65,MATCH($A20,Data_Sales!$A$5:$A$65,0))*INDEX(Survival!$C$6:$T$51,(H$4-$A20)+1,MATCH(H$4,Survival!$C$3:$T$3,0))+INDEX(Data_Sales!$C$5:$C$65,MATCH($A20,Data_Sales!$A$5:$A$65,0))*INDEX(Survival!$C$55:$T$100,(H$4-$A20)+1,MATCH(H$4,Survival!$C$3:$T$3,0))))</f>
        <v/>
      </c>
      <c r="I20" s="27">
        <f>IF(I$4&lt;$A20,"",IF((I$4-$A20)&gt;45,0,INDEX(Data_Sales!$B$5:$B$65,MATCH($A20,Data_Sales!$A$5:$A$65,0))*INDEX(Survival!$C$6:$T$51,(I$4-$A20)+1,MATCH(I$4,Survival!$C$3:$T$3,0))+INDEX(Data_Sales!$C$5:$C$65,MATCH($A20,Data_Sales!$A$5:$A$65,0))*INDEX(Survival!$C$55:$T$100,(I$4-$A20)+1,MATCH(I$4,Survival!$C$3:$T$3,0))))</f>
        <v/>
      </c>
      <c r="J20" s="27">
        <f>IF(J$4&lt;$A20,"",IF((J$4-$A20)&gt;45,0,INDEX(Data_Sales!$B$5:$B$65,MATCH($A20,Data_Sales!$A$5:$A$65,0))*INDEX(Survival!$C$6:$T$51,(J$4-$A20)+1,MATCH(J$4,Survival!$C$3:$T$3,0))+INDEX(Data_Sales!$C$5:$C$65,MATCH($A20,Data_Sales!$A$5:$A$65,0))*INDEX(Survival!$C$55:$T$100,(J$4-$A20)+1,MATCH(J$4,Survival!$C$3:$T$3,0))))</f>
        <v/>
      </c>
      <c r="K20" s="27">
        <f>IF(K$4&lt;$A20,"",IF((K$4-$A20)&gt;45,0,INDEX(Data_Sales!$B$5:$B$65,MATCH($A20,Data_Sales!$A$5:$A$65,0))*INDEX(Survival!$C$6:$T$51,(K$4-$A20)+1,MATCH(K$4,Survival!$C$3:$T$3,0))+INDEX(Data_Sales!$C$5:$C$65,MATCH($A20,Data_Sales!$A$5:$A$65,0))*INDEX(Survival!$C$55:$T$100,(K$4-$A20)+1,MATCH(K$4,Survival!$C$3:$T$3,0))))</f>
        <v/>
      </c>
      <c r="L20" s="27">
        <f>IF(L$4&lt;$A20,"",IF((L$4-$A20)&gt;45,0,INDEX(Data_Sales!$B$5:$B$65,MATCH($A20,Data_Sales!$A$5:$A$65,0))*INDEX(Survival!$C$6:$T$51,(L$4-$A20)+1,MATCH(L$4,Survival!$C$3:$T$3,0))+INDEX(Data_Sales!$C$5:$C$65,MATCH($A20,Data_Sales!$A$5:$A$65,0))*INDEX(Survival!$C$55:$T$100,(L$4-$A20)+1,MATCH(L$4,Survival!$C$3:$T$3,0))))</f>
        <v/>
      </c>
      <c r="M20" s="27">
        <f>IF(M$4&lt;$A20,"",IF((M$4-$A20)&gt;45,0,INDEX(Data_Sales!$B$5:$B$65,MATCH($A20,Data_Sales!$A$5:$A$65,0))*INDEX(Survival!$C$6:$T$51,(M$4-$A20)+1,MATCH(M$4,Survival!$C$3:$T$3,0))+INDEX(Data_Sales!$C$5:$C$65,MATCH($A20,Data_Sales!$A$5:$A$65,0))*INDEX(Survival!$C$55:$T$100,(M$4-$A20)+1,MATCH(M$4,Survival!$C$3:$T$3,0))))</f>
        <v/>
      </c>
      <c r="N20" s="27">
        <f>IF(N$4&lt;$A20,"",IF((N$4-$A20)&gt;45,0,INDEX(Data_Sales!$B$5:$B$65,MATCH($A20,Data_Sales!$A$5:$A$65,0))*INDEX(Survival!$C$6:$T$51,(N$4-$A20)+1,MATCH(N$4,Survival!$C$3:$T$3,0))+INDEX(Data_Sales!$C$5:$C$65,MATCH($A20,Data_Sales!$A$5:$A$65,0))*INDEX(Survival!$C$55:$T$100,(N$4-$A20)+1,MATCH(N$4,Survival!$C$3:$T$3,0))))</f>
        <v/>
      </c>
      <c r="O20" s="27">
        <f>IF(O$4&lt;$A20,"",IF((O$4-$A20)&gt;45,0,INDEX(Data_Sales!$B$5:$B$65,MATCH($A20,Data_Sales!$A$5:$A$65,0))*INDEX(Survival!$C$6:$T$51,(O$4-$A20)+1,MATCH(O$4,Survival!$C$3:$T$3,0))+INDEX(Data_Sales!$C$5:$C$65,MATCH($A20,Data_Sales!$A$5:$A$65,0))*INDEX(Survival!$C$55:$T$100,(O$4-$A20)+1,MATCH(O$4,Survival!$C$3:$T$3,0))))</f>
        <v/>
      </c>
      <c r="P20" s="27">
        <f>IF(P$4&lt;$A20,"",IF((P$4-$A20)&gt;45,0,INDEX(Data_Sales!$B$5:$B$65,MATCH($A20,Data_Sales!$A$5:$A$65,0))*INDEX(Survival!$C$6:$T$51,(P$4-$A20)+1,MATCH(P$4,Survival!$C$3:$T$3,0))+INDEX(Data_Sales!$C$5:$C$65,MATCH($A20,Data_Sales!$A$5:$A$65,0))*INDEX(Survival!$C$55:$T$100,(P$4-$A20)+1,MATCH(P$4,Survival!$C$3:$T$3,0))))</f>
        <v/>
      </c>
      <c r="Q20" s="27">
        <f>IF(Q$4&lt;$A20,"",IF((Q$4-$A20)&gt;45,0,INDEX(Data_Sales!$B$5:$B$65,MATCH($A20,Data_Sales!$A$5:$A$65,0))*INDEX(Survival!$C$6:$T$51,(Q$4-$A20)+1,MATCH(Q$4,Survival!$C$3:$T$3,0))+INDEX(Data_Sales!$C$5:$C$65,MATCH($A20,Data_Sales!$A$5:$A$65,0))*INDEX(Survival!$C$55:$T$100,(Q$4-$A20)+1,MATCH(Q$4,Survival!$C$3:$T$3,0))))</f>
        <v/>
      </c>
      <c r="R20" s="27">
        <f>IF(R$4&lt;$A20,"",IF((R$4-$A20)&gt;45,0,INDEX(Data_Sales!$B$5:$B$65,MATCH($A20,Data_Sales!$A$5:$A$65,0))*INDEX(Survival!$C$6:$T$51,(R$4-$A20)+1,MATCH(R$4,Survival!$C$3:$T$3,0))+INDEX(Data_Sales!$C$5:$C$65,MATCH($A20,Data_Sales!$A$5:$A$65,0))*INDEX(Survival!$C$55:$T$100,(R$4-$A20)+1,MATCH(R$4,Survival!$C$3:$T$3,0))))</f>
        <v/>
      </c>
      <c r="S20" s="27">
        <f>IF(S$4&lt;$A20,"",IF((S$4-$A20)&gt;45,0,INDEX(Data_Sales!$B$5:$B$65,MATCH($A20,Data_Sales!$A$5:$A$65,0))*INDEX(Survival!$C$6:$T$51,(S$4-$A20)+1,MATCH(S$4,Survival!$C$3:$T$3,0))+INDEX(Data_Sales!$C$5:$C$65,MATCH($A20,Data_Sales!$A$5:$A$65,0))*INDEX(Survival!$C$55:$T$100,(S$4-$A20)+1,MATCH(S$4,Survival!$C$3:$T$3,0))))</f>
        <v/>
      </c>
      <c r="T20" s="27">
        <f>IF(T$4&lt;$A20,"",IF((T$4-$A20)&gt;45,0,INDEX(Data_Sales!$B$5:$B$65,MATCH($A20,Data_Sales!$A$5:$A$65,0))*INDEX(Survival!$C$6:$T$51,(T$4-$A20)+1,MATCH(T$4,Survival!$C$3:$T$3,0))+INDEX(Data_Sales!$C$5:$C$65,MATCH($A20,Data_Sales!$A$5:$A$65,0))*INDEX(Survival!$C$55:$T$100,(T$4-$A20)+1,MATCH(T$4,Survival!$C$3:$T$3,0))))</f>
        <v/>
      </c>
    </row>
    <row r="21">
      <c r="A21" s="9" t="n">
        <v>1985</v>
      </c>
      <c r="C21" s="27">
        <f>IF(C$4&lt;$A21,"",IF((C$4-$A21)&gt;45,0,INDEX(Data_Sales!$B$5:$B$65,MATCH($A21,Data_Sales!$A$5:$A$65,0))*INDEX(Survival!$C$6:$T$51,(C$4-$A21)+1,MATCH(C$4,Survival!$C$3:$T$3,0))+INDEX(Data_Sales!$C$5:$C$65,MATCH($A21,Data_Sales!$A$5:$A$65,0))*INDEX(Survival!$C$55:$T$100,(C$4-$A21)+1,MATCH(C$4,Survival!$C$3:$T$3,0))))</f>
        <v/>
      </c>
      <c r="D21" s="27">
        <f>IF(D$4&lt;$A21,"",IF((D$4-$A21)&gt;45,0,INDEX(Data_Sales!$B$5:$B$65,MATCH($A21,Data_Sales!$A$5:$A$65,0))*INDEX(Survival!$C$6:$T$51,(D$4-$A21)+1,MATCH(D$4,Survival!$C$3:$T$3,0))+INDEX(Data_Sales!$C$5:$C$65,MATCH($A21,Data_Sales!$A$5:$A$65,0))*INDEX(Survival!$C$55:$T$100,(D$4-$A21)+1,MATCH(D$4,Survival!$C$3:$T$3,0))))</f>
        <v/>
      </c>
      <c r="E21" s="27">
        <f>IF(E$4&lt;$A21,"",IF((E$4-$A21)&gt;45,0,INDEX(Data_Sales!$B$5:$B$65,MATCH($A21,Data_Sales!$A$5:$A$65,0))*INDEX(Survival!$C$6:$T$51,(E$4-$A21)+1,MATCH(E$4,Survival!$C$3:$T$3,0))+INDEX(Data_Sales!$C$5:$C$65,MATCH($A21,Data_Sales!$A$5:$A$65,0))*INDEX(Survival!$C$55:$T$100,(E$4-$A21)+1,MATCH(E$4,Survival!$C$3:$T$3,0))))</f>
        <v/>
      </c>
      <c r="F21" s="27">
        <f>IF(F$4&lt;$A21,"",IF((F$4-$A21)&gt;45,0,INDEX(Data_Sales!$B$5:$B$65,MATCH($A21,Data_Sales!$A$5:$A$65,0))*INDEX(Survival!$C$6:$T$51,(F$4-$A21)+1,MATCH(F$4,Survival!$C$3:$T$3,0))+INDEX(Data_Sales!$C$5:$C$65,MATCH($A21,Data_Sales!$A$5:$A$65,0))*INDEX(Survival!$C$55:$T$100,(F$4-$A21)+1,MATCH(F$4,Survival!$C$3:$T$3,0))))</f>
        <v/>
      </c>
      <c r="G21" s="27">
        <f>IF(G$4&lt;$A21,"",IF((G$4-$A21)&gt;45,0,INDEX(Data_Sales!$B$5:$B$65,MATCH($A21,Data_Sales!$A$5:$A$65,0))*INDEX(Survival!$C$6:$T$51,(G$4-$A21)+1,MATCH(G$4,Survival!$C$3:$T$3,0))+INDEX(Data_Sales!$C$5:$C$65,MATCH($A21,Data_Sales!$A$5:$A$65,0))*INDEX(Survival!$C$55:$T$100,(G$4-$A21)+1,MATCH(G$4,Survival!$C$3:$T$3,0))))</f>
        <v/>
      </c>
      <c r="H21" s="27">
        <f>IF(H$4&lt;$A21,"",IF((H$4-$A21)&gt;45,0,INDEX(Data_Sales!$B$5:$B$65,MATCH($A21,Data_Sales!$A$5:$A$65,0))*INDEX(Survival!$C$6:$T$51,(H$4-$A21)+1,MATCH(H$4,Survival!$C$3:$T$3,0))+INDEX(Data_Sales!$C$5:$C$65,MATCH($A21,Data_Sales!$A$5:$A$65,0))*INDEX(Survival!$C$55:$T$100,(H$4-$A21)+1,MATCH(H$4,Survival!$C$3:$T$3,0))))</f>
        <v/>
      </c>
      <c r="I21" s="27">
        <f>IF(I$4&lt;$A21,"",IF((I$4-$A21)&gt;45,0,INDEX(Data_Sales!$B$5:$B$65,MATCH($A21,Data_Sales!$A$5:$A$65,0))*INDEX(Survival!$C$6:$T$51,(I$4-$A21)+1,MATCH(I$4,Survival!$C$3:$T$3,0))+INDEX(Data_Sales!$C$5:$C$65,MATCH($A21,Data_Sales!$A$5:$A$65,0))*INDEX(Survival!$C$55:$T$100,(I$4-$A21)+1,MATCH(I$4,Survival!$C$3:$T$3,0))))</f>
        <v/>
      </c>
      <c r="J21" s="27">
        <f>IF(J$4&lt;$A21,"",IF((J$4-$A21)&gt;45,0,INDEX(Data_Sales!$B$5:$B$65,MATCH($A21,Data_Sales!$A$5:$A$65,0))*INDEX(Survival!$C$6:$T$51,(J$4-$A21)+1,MATCH(J$4,Survival!$C$3:$T$3,0))+INDEX(Data_Sales!$C$5:$C$65,MATCH($A21,Data_Sales!$A$5:$A$65,0))*INDEX(Survival!$C$55:$T$100,(J$4-$A21)+1,MATCH(J$4,Survival!$C$3:$T$3,0))))</f>
        <v/>
      </c>
      <c r="K21" s="27">
        <f>IF(K$4&lt;$A21,"",IF((K$4-$A21)&gt;45,0,INDEX(Data_Sales!$B$5:$B$65,MATCH($A21,Data_Sales!$A$5:$A$65,0))*INDEX(Survival!$C$6:$T$51,(K$4-$A21)+1,MATCH(K$4,Survival!$C$3:$T$3,0))+INDEX(Data_Sales!$C$5:$C$65,MATCH($A21,Data_Sales!$A$5:$A$65,0))*INDEX(Survival!$C$55:$T$100,(K$4-$A21)+1,MATCH(K$4,Survival!$C$3:$T$3,0))))</f>
        <v/>
      </c>
      <c r="L21" s="27">
        <f>IF(L$4&lt;$A21,"",IF((L$4-$A21)&gt;45,0,INDEX(Data_Sales!$B$5:$B$65,MATCH($A21,Data_Sales!$A$5:$A$65,0))*INDEX(Survival!$C$6:$T$51,(L$4-$A21)+1,MATCH(L$4,Survival!$C$3:$T$3,0))+INDEX(Data_Sales!$C$5:$C$65,MATCH($A21,Data_Sales!$A$5:$A$65,0))*INDEX(Survival!$C$55:$T$100,(L$4-$A21)+1,MATCH(L$4,Survival!$C$3:$T$3,0))))</f>
        <v/>
      </c>
      <c r="M21" s="27">
        <f>IF(M$4&lt;$A21,"",IF((M$4-$A21)&gt;45,0,INDEX(Data_Sales!$B$5:$B$65,MATCH($A21,Data_Sales!$A$5:$A$65,0))*INDEX(Survival!$C$6:$T$51,(M$4-$A21)+1,MATCH(M$4,Survival!$C$3:$T$3,0))+INDEX(Data_Sales!$C$5:$C$65,MATCH($A21,Data_Sales!$A$5:$A$65,0))*INDEX(Survival!$C$55:$T$100,(M$4-$A21)+1,MATCH(M$4,Survival!$C$3:$T$3,0))))</f>
        <v/>
      </c>
      <c r="N21" s="27">
        <f>IF(N$4&lt;$A21,"",IF((N$4-$A21)&gt;45,0,INDEX(Data_Sales!$B$5:$B$65,MATCH($A21,Data_Sales!$A$5:$A$65,0))*INDEX(Survival!$C$6:$T$51,(N$4-$A21)+1,MATCH(N$4,Survival!$C$3:$T$3,0))+INDEX(Data_Sales!$C$5:$C$65,MATCH($A21,Data_Sales!$A$5:$A$65,0))*INDEX(Survival!$C$55:$T$100,(N$4-$A21)+1,MATCH(N$4,Survival!$C$3:$T$3,0))))</f>
        <v/>
      </c>
      <c r="O21" s="27">
        <f>IF(O$4&lt;$A21,"",IF((O$4-$A21)&gt;45,0,INDEX(Data_Sales!$B$5:$B$65,MATCH($A21,Data_Sales!$A$5:$A$65,0))*INDEX(Survival!$C$6:$T$51,(O$4-$A21)+1,MATCH(O$4,Survival!$C$3:$T$3,0))+INDEX(Data_Sales!$C$5:$C$65,MATCH($A21,Data_Sales!$A$5:$A$65,0))*INDEX(Survival!$C$55:$T$100,(O$4-$A21)+1,MATCH(O$4,Survival!$C$3:$T$3,0))))</f>
        <v/>
      </c>
      <c r="P21" s="27">
        <f>IF(P$4&lt;$A21,"",IF((P$4-$A21)&gt;45,0,INDEX(Data_Sales!$B$5:$B$65,MATCH($A21,Data_Sales!$A$5:$A$65,0))*INDEX(Survival!$C$6:$T$51,(P$4-$A21)+1,MATCH(P$4,Survival!$C$3:$T$3,0))+INDEX(Data_Sales!$C$5:$C$65,MATCH($A21,Data_Sales!$A$5:$A$65,0))*INDEX(Survival!$C$55:$T$100,(P$4-$A21)+1,MATCH(P$4,Survival!$C$3:$T$3,0))))</f>
        <v/>
      </c>
      <c r="Q21" s="27">
        <f>IF(Q$4&lt;$A21,"",IF((Q$4-$A21)&gt;45,0,INDEX(Data_Sales!$B$5:$B$65,MATCH($A21,Data_Sales!$A$5:$A$65,0))*INDEX(Survival!$C$6:$T$51,(Q$4-$A21)+1,MATCH(Q$4,Survival!$C$3:$T$3,0))+INDEX(Data_Sales!$C$5:$C$65,MATCH($A21,Data_Sales!$A$5:$A$65,0))*INDEX(Survival!$C$55:$T$100,(Q$4-$A21)+1,MATCH(Q$4,Survival!$C$3:$T$3,0))))</f>
        <v/>
      </c>
      <c r="R21" s="27">
        <f>IF(R$4&lt;$A21,"",IF((R$4-$A21)&gt;45,0,INDEX(Data_Sales!$B$5:$B$65,MATCH($A21,Data_Sales!$A$5:$A$65,0))*INDEX(Survival!$C$6:$T$51,(R$4-$A21)+1,MATCH(R$4,Survival!$C$3:$T$3,0))+INDEX(Data_Sales!$C$5:$C$65,MATCH($A21,Data_Sales!$A$5:$A$65,0))*INDEX(Survival!$C$55:$T$100,(R$4-$A21)+1,MATCH(R$4,Survival!$C$3:$T$3,0))))</f>
        <v/>
      </c>
      <c r="S21" s="27">
        <f>IF(S$4&lt;$A21,"",IF((S$4-$A21)&gt;45,0,INDEX(Data_Sales!$B$5:$B$65,MATCH($A21,Data_Sales!$A$5:$A$65,0))*INDEX(Survival!$C$6:$T$51,(S$4-$A21)+1,MATCH(S$4,Survival!$C$3:$T$3,0))+INDEX(Data_Sales!$C$5:$C$65,MATCH($A21,Data_Sales!$A$5:$A$65,0))*INDEX(Survival!$C$55:$T$100,(S$4-$A21)+1,MATCH(S$4,Survival!$C$3:$T$3,0))))</f>
        <v/>
      </c>
      <c r="T21" s="27">
        <f>IF(T$4&lt;$A21,"",IF((T$4-$A21)&gt;45,0,INDEX(Data_Sales!$B$5:$B$65,MATCH($A21,Data_Sales!$A$5:$A$65,0))*INDEX(Survival!$C$6:$T$51,(T$4-$A21)+1,MATCH(T$4,Survival!$C$3:$T$3,0))+INDEX(Data_Sales!$C$5:$C$65,MATCH($A21,Data_Sales!$A$5:$A$65,0))*INDEX(Survival!$C$55:$T$100,(T$4-$A21)+1,MATCH(T$4,Survival!$C$3:$T$3,0))))</f>
        <v/>
      </c>
    </row>
    <row r="22">
      <c r="A22" s="9" t="n">
        <v>1986</v>
      </c>
      <c r="C22" s="27">
        <f>IF(C$4&lt;$A22,"",IF((C$4-$A22)&gt;45,0,INDEX(Data_Sales!$B$5:$B$65,MATCH($A22,Data_Sales!$A$5:$A$65,0))*INDEX(Survival!$C$6:$T$51,(C$4-$A22)+1,MATCH(C$4,Survival!$C$3:$T$3,0))+INDEX(Data_Sales!$C$5:$C$65,MATCH($A22,Data_Sales!$A$5:$A$65,0))*INDEX(Survival!$C$55:$T$100,(C$4-$A22)+1,MATCH(C$4,Survival!$C$3:$T$3,0))))</f>
        <v/>
      </c>
      <c r="D22" s="27">
        <f>IF(D$4&lt;$A22,"",IF((D$4-$A22)&gt;45,0,INDEX(Data_Sales!$B$5:$B$65,MATCH($A22,Data_Sales!$A$5:$A$65,0))*INDEX(Survival!$C$6:$T$51,(D$4-$A22)+1,MATCH(D$4,Survival!$C$3:$T$3,0))+INDEX(Data_Sales!$C$5:$C$65,MATCH($A22,Data_Sales!$A$5:$A$65,0))*INDEX(Survival!$C$55:$T$100,(D$4-$A22)+1,MATCH(D$4,Survival!$C$3:$T$3,0))))</f>
        <v/>
      </c>
      <c r="E22" s="27">
        <f>IF(E$4&lt;$A22,"",IF((E$4-$A22)&gt;45,0,INDEX(Data_Sales!$B$5:$B$65,MATCH($A22,Data_Sales!$A$5:$A$65,0))*INDEX(Survival!$C$6:$T$51,(E$4-$A22)+1,MATCH(E$4,Survival!$C$3:$T$3,0))+INDEX(Data_Sales!$C$5:$C$65,MATCH($A22,Data_Sales!$A$5:$A$65,0))*INDEX(Survival!$C$55:$T$100,(E$4-$A22)+1,MATCH(E$4,Survival!$C$3:$T$3,0))))</f>
        <v/>
      </c>
      <c r="F22" s="27">
        <f>IF(F$4&lt;$A22,"",IF((F$4-$A22)&gt;45,0,INDEX(Data_Sales!$B$5:$B$65,MATCH($A22,Data_Sales!$A$5:$A$65,0))*INDEX(Survival!$C$6:$T$51,(F$4-$A22)+1,MATCH(F$4,Survival!$C$3:$T$3,0))+INDEX(Data_Sales!$C$5:$C$65,MATCH($A22,Data_Sales!$A$5:$A$65,0))*INDEX(Survival!$C$55:$T$100,(F$4-$A22)+1,MATCH(F$4,Survival!$C$3:$T$3,0))))</f>
        <v/>
      </c>
      <c r="G22" s="27">
        <f>IF(G$4&lt;$A22,"",IF((G$4-$A22)&gt;45,0,INDEX(Data_Sales!$B$5:$B$65,MATCH($A22,Data_Sales!$A$5:$A$65,0))*INDEX(Survival!$C$6:$T$51,(G$4-$A22)+1,MATCH(G$4,Survival!$C$3:$T$3,0))+INDEX(Data_Sales!$C$5:$C$65,MATCH($A22,Data_Sales!$A$5:$A$65,0))*INDEX(Survival!$C$55:$T$100,(G$4-$A22)+1,MATCH(G$4,Survival!$C$3:$T$3,0))))</f>
        <v/>
      </c>
      <c r="H22" s="27">
        <f>IF(H$4&lt;$A22,"",IF((H$4-$A22)&gt;45,0,INDEX(Data_Sales!$B$5:$B$65,MATCH($A22,Data_Sales!$A$5:$A$65,0))*INDEX(Survival!$C$6:$T$51,(H$4-$A22)+1,MATCH(H$4,Survival!$C$3:$T$3,0))+INDEX(Data_Sales!$C$5:$C$65,MATCH($A22,Data_Sales!$A$5:$A$65,0))*INDEX(Survival!$C$55:$T$100,(H$4-$A22)+1,MATCH(H$4,Survival!$C$3:$T$3,0))))</f>
        <v/>
      </c>
      <c r="I22" s="27">
        <f>IF(I$4&lt;$A22,"",IF((I$4-$A22)&gt;45,0,INDEX(Data_Sales!$B$5:$B$65,MATCH($A22,Data_Sales!$A$5:$A$65,0))*INDEX(Survival!$C$6:$T$51,(I$4-$A22)+1,MATCH(I$4,Survival!$C$3:$T$3,0))+INDEX(Data_Sales!$C$5:$C$65,MATCH($A22,Data_Sales!$A$5:$A$65,0))*INDEX(Survival!$C$55:$T$100,(I$4-$A22)+1,MATCH(I$4,Survival!$C$3:$T$3,0))))</f>
        <v/>
      </c>
      <c r="J22" s="27">
        <f>IF(J$4&lt;$A22,"",IF((J$4-$A22)&gt;45,0,INDEX(Data_Sales!$B$5:$B$65,MATCH($A22,Data_Sales!$A$5:$A$65,0))*INDEX(Survival!$C$6:$T$51,(J$4-$A22)+1,MATCH(J$4,Survival!$C$3:$T$3,0))+INDEX(Data_Sales!$C$5:$C$65,MATCH($A22,Data_Sales!$A$5:$A$65,0))*INDEX(Survival!$C$55:$T$100,(J$4-$A22)+1,MATCH(J$4,Survival!$C$3:$T$3,0))))</f>
        <v/>
      </c>
      <c r="K22" s="27">
        <f>IF(K$4&lt;$A22,"",IF((K$4-$A22)&gt;45,0,INDEX(Data_Sales!$B$5:$B$65,MATCH($A22,Data_Sales!$A$5:$A$65,0))*INDEX(Survival!$C$6:$T$51,(K$4-$A22)+1,MATCH(K$4,Survival!$C$3:$T$3,0))+INDEX(Data_Sales!$C$5:$C$65,MATCH($A22,Data_Sales!$A$5:$A$65,0))*INDEX(Survival!$C$55:$T$100,(K$4-$A22)+1,MATCH(K$4,Survival!$C$3:$T$3,0))))</f>
        <v/>
      </c>
      <c r="L22" s="27">
        <f>IF(L$4&lt;$A22,"",IF((L$4-$A22)&gt;45,0,INDEX(Data_Sales!$B$5:$B$65,MATCH($A22,Data_Sales!$A$5:$A$65,0))*INDEX(Survival!$C$6:$T$51,(L$4-$A22)+1,MATCH(L$4,Survival!$C$3:$T$3,0))+INDEX(Data_Sales!$C$5:$C$65,MATCH($A22,Data_Sales!$A$5:$A$65,0))*INDEX(Survival!$C$55:$T$100,(L$4-$A22)+1,MATCH(L$4,Survival!$C$3:$T$3,0))))</f>
        <v/>
      </c>
      <c r="M22" s="27">
        <f>IF(M$4&lt;$A22,"",IF((M$4-$A22)&gt;45,0,INDEX(Data_Sales!$B$5:$B$65,MATCH($A22,Data_Sales!$A$5:$A$65,0))*INDEX(Survival!$C$6:$T$51,(M$4-$A22)+1,MATCH(M$4,Survival!$C$3:$T$3,0))+INDEX(Data_Sales!$C$5:$C$65,MATCH($A22,Data_Sales!$A$5:$A$65,0))*INDEX(Survival!$C$55:$T$100,(M$4-$A22)+1,MATCH(M$4,Survival!$C$3:$T$3,0))))</f>
        <v/>
      </c>
      <c r="N22" s="27">
        <f>IF(N$4&lt;$A22,"",IF((N$4-$A22)&gt;45,0,INDEX(Data_Sales!$B$5:$B$65,MATCH($A22,Data_Sales!$A$5:$A$65,0))*INDEX(Survival!$C$6:$T$51,(N$4-$A22)+1,MATCH(N$4,Survival!$C$3:$T$3,0))+INDEX(Data_Sales!$C$5:$C$65,MATCH($A22,Data_Sales!$A$5:$A$65,0))*INDEX(Survival!$C$55:$T$100,(N$4-$A22)+1,MATCH(N$4,Survival!$C$3:$T$3,0))))</f>
        <v/>
      </c>
      <c r="O22" s="27">
        <f>IF(O$4&lt;$A22,"",IF((O$4-$A22)&gt;45,0,INDEX(Data_Sales!$B$5:$B$65,MATCH($A22,Data_Sales!$A$5:$A$65,0))*INDEX(Survival!$C$6:$T$51,(O$4-$A22)+1,MATCH(O$4,Survival!$C$3:$T$3,0))+INDEX(Data_Sales!$C$5:$C$65,MATCH($A22,Data_Sales!$A$5:$A$65,0))*INDEX(Survival!$C$55:$T$100,(O$4-$A22)+1,MATCH(O$4,Survival!$C$3:$T$3,0))))</f>
        <v/>
      </c>
      <c r="P22" s="27">
        <f>IF(P$4&lt;$A22,"",IF((P$4-$A22)&gt;45,0,INDEX(Data_Sales!$B$5:$B$65,MATCH($A22,Data_Sales!$A$5:$A$65,0))*INDEX(Survival!$C$6:$T$51,(P$4-$A22)+1,MATCH(P$4,Survival!$C$3:$T$3,0))+INDEX(Data_Sales!$C$5:$C$65,MATCH($A22,Data_Sales!$A$5:$A$65,0))*INDEX(Survival!$C$55:$T$100,(P$4-$A22)+1,MATCH(P$4,Survival!$C$3:$T$3,0))))</f>
        <v/>
      </c>
      <c r="Q22" s="27">
        <f>IF(Q$4&lt;$A22,"",IF((Q$4-$A22)&gt;45,0,INDEX(Data_Sales!$B$5:$B$65,MATCH($A22,Data_Sales!$A$5:$A$65,0))*INDEX(Survival!$C$6:$T$51,(Q$4-$A22)+1,MATCH(Q$4,Survival!$C$3:$T$3,0))+INDEX(Data_Sales!$C$5:$C$65,MATCH($A22,Data_Sales!$A$5:$A$65,0))*INDEX(Survival!$C$55:$T$100,(Q$4-$A22)+1,MATCH(Q$4,Survival!$C$3:$T$3,0))))</f>
        <v/>
      </c>
      <c r="R22" s="27">
        <f>IF(R$4&lt;$A22,"",IF((R$4-$A22)&gt;45,0,INDEX(Data_Sales!$B$5:$B$65,MATCH($A22,Data_Sales!$A$5:$A$65,0))*INDEX(Survival!$C$6:$T$51,(R$4-$A22)+1,MATCH(R$4,Survival!$C$3:$T$3,0))+INDEX(Data_Sales!$C$5:$C$65,MATCH($A22,Data_Sales!$A$5:$A$65,0))*INDEX(Survival!$C$55:$T$100,(R$4-$A22)+1,MATCH(R$4,Survival!$C$3:$T$3,0))))</f>
        <v/>
      </c>
      <c r="S22" s="27">
        <f>IF(S$4&lt;$A22,"",IF((S$4-$A22)&gt;45,0,INDEX(Data_Sales!$B$5:$B$65,MATCH($A22,Data_Sales!$A$5:$A$65,0))*INDEX(Survival!$C$6:$T$51,(S$4-$A22)+1,MATCH(S$4,Survival!$C$3:$T$3,0))+INDEX(Data_Sales!$C$5:$C$65,MATCH($A22,Data_Sales!$A$5:$A$65,0))*INDEX(Survival!$C$55:$T$100,(S$4-$A22)+1,MATCH(S$4,Survival!$C$3:$T$3,0))))</f>
        <v/>
      </c>
      <c r="T22" s="27">
        <f>IF(T$4&lt;$A22,"",IF((T$4-$A22)&gt;45,0,INDEX(Data_Sales!$B$5:$B$65,MATCH($A22,Data_Sales!$A$5:$A$65,0))*INDEX(Survival!$C$6:$T$51,(T$4-$A22)+1,MATCH(T$4,Survival!$C$3:$T$3,0))+INDEX(Data_Sales!$C$5:$C$65,MATCH($A22,Data_Sales!$A$5:$A$65,0))*INDEX(Survival!$C$55:$T$100,(T$4-$A22)+1,MATCH(T$4,Survival!$C$3:$T$3,0))))</f>
        <v/>
      </c>
    </row>
    <row r="23">
      <c r="A23" s="9" t="n">
        <v>1987</v>
      </c>
      <c r="C23" s="27">
        <f>IF(C$4&lt;$A23,"",IF((C$4-$A23)&gt;45,0,INDEX(Data_Sales!$B$5:$B$65,MATCH($A23,Data_Sales!$A$5:$A$65,0))*INDEX(Survival!$C$6:$T$51,(C$4-$A23)+1,MATCH(C$4,Survival!$C$3:$T$3,0))+INDEX(Data_Sales!$C$5:$C$65,MATCH($A23,Data_Sales!$A$5:$A$65,0))*INDEX(Survival!$C$55:$T$100,(C$4-$A23)+1,MATCH(C$4,Survival!$C$3:$T$3,0))))</f>
        <v/>
      </c>
      <c r="D23" s="27">
        <f>IF(D$4&lt;$A23,"",IF((D$4-$A23)&gt;45,0,INDEX(Data_Sales!$B$5:$B$65,MATCH($A23,Data_Sales!$A$5:$A$65,0))*INDEX(Survival!$C$6:$T$51,(D$4-$A23)+1,MATCH(D$4,Survival!$C$3:$T$3,0))+INDEX(Data_Sales!$C$5:$C$65,MATCH($A23,Data_Sales!$A$5:$A$65,0))*INDEX(Survival!$C$55:$T$100,(D$4-$A23)+1,MATCH(D$4,Survival!$C$3:$T$3,0))))</f>
        <v/>
      </c>
      <c r="E23" s="27">
        <f>IF(E$4&lt;$A23,"",IF((E$4-$A23)&gt;45,0,INDEX(Data_Sales!$B$5:$B$65,MATCH($A23,Data_Sales!$A$5:$A$65,0))*INDEX(Survival!$C$6:$T$51,(E$4-$A23)+1,MATCH(E$4,Survival!$C$3:$T$3,0))+INDEX(Data_Sales!$C$5:$C$65,MATCH($A23,Data_Sales!$A$5:$A$65,0))*INDEX(Survival!$C$55:$T$100,(E$4-$A23)+1,MATCH(E$4,Survival!$C$3:$T$3,0))))</f>
        <v/>
      </c>
      <c r="F23" s="27">
        <f>IF(F$4&lt;$A23,"",IF((F$4-$A23)&gt;45,0,INDEX(Data_Sales!$B$5:$B$65,MATCH($A23,Data_Sales!$A$5:$A$65,0))*INDEX(Survival!$C$6:$T$51,(F$4-$A23)+1,MATCH(F$4,Survival!$C$3:$T$3,0))+INDEX(Data_Sales!$C$5:$C$65,MATCH($A23,Data_Sales!$A$5:$A$65,0))*INDEX(Survival!$C$55:$T$100,(F$4-$A23)+1,MATCH(F$4,Survival!$C$3:$T$3,0))))</f>
        <v/>
      </c>
      <c r="G23" s="27">
        <f>IF(G$4&lt;$A23,"",IF((G$4-$A23)&gt;45,0,INDEX(Data_Sales!$B$5:$B$65,MATCH($A23,Data_Sales!$A$5:$A$65,0))*INDEX(Survival!$C$6:$T$51,(G$4-$A23)+1,MATCH(G$4,Survival!$C$3:$T$3,0))+INDEX(Data_Sales!$C$5:$C$65,MATCH($A23,Data_Sales!$A$5:$A$65,0))*INDEX(Survival!$C$55:$T$100,(G$4-$A23)+1,MATCH(G$4,Survival!$C$3:$T$3,0))))</f>
        <v/>
      </c>
      <c r="H23" s="27">
        <f>IF(H$4&lt;$A23,"",IF((H$4-$A23)&gt;45,0,INDEX(Data_Sales!$B$5:$B$65,MATCH($A23,Data_Sales!$A$5:$A$65,0))*INDEX(Survival!$C$6:$T$51,(H$4-$A23)+1,MATCH(H$4,Survival!$C$3:$T$3,0))+INDEX(Data_Sales!$C$5:$C$65,MATCH($A23,Data_Sales!$A$5:$A$65,0))*INDEX(Survival!$C$55:$T$100,(H$4-$A23)+1,MATCH(H$4,Survival!$C$3:$T$3,0))))</f>
        <v/>
      </c>
      <c r="I23" s="27">
        <f>IF(I$4&lt;$A23,"",IF((I$4-$A23)&gt;45,0,INDEX(Data_Sales!$B$5:$B$65,MATCH($A23,Data_Sales!$A$5:$A$65,0))*INDEX(Survival!$C$6:$T$51,(I$4-$A23)+1,MATCH(I$4,Survival!$C$3:$T$3,0))+INDEX(Data_Sales!$C$5:$C$65,MATCH($A23,Data_Sales!$A$5:$A$65,0))*INDEX(Survival!$C$55:$T$100,(I$4-$A23)+1,MATCH(I$4,Survival!$C$3:$T$3,0))))</f>
        <v/>
      </c>
      <c r="J23" s="27">
        <f>IF(J$4&lt;$A23,"",IF((J$4-$A23)&gt;45,0,INDEX(Data_Sales!$B$5:$B$65,MATCH($A23,Data_Sales!$A$5:$A$65,0))*INDEX(Survival!$C$6:$T$51,(J$4-$A23)+1,MATCH(J$4,Survival!$C$3:$T$3,0))+INDEX(Data_Sales!$C$5:$C$65,MATCH($A23,Data_Sales!$A$5:$A$65,0))*INDEX(Survival!$C$55:$T$100,(J$4-$A23)+1,MATCH(J$4,Survival!$C$3:$T$3,0))))</f>
        <v/>
      </c>
      <c r="K23" s="27">
        <f>IF(K$4&lt;$A23,"",IF((K$4-$A23)&gt;45,0,INDEX(Data_Sales!$B$5:$B$65,MATCH($A23,Data_Sales!$A$5:$A$65,0))*INDEX(Survival!$C$6:$T$51,(K$4-$A23)+1,MATCH(K$4,Survival!$C$3:$T$3,0))+INDEX(Data_Sales!$C$5:$C$65,MATCH($A23,Data_Sales!$A$5:$A$65,0))*INDEX(Survival!$C$55:$T$100,(K$4-$A23)+1,MATCH(K$4,Survival!$C$3:$T$3,0))))</f>
        <v/>
      </c>
      <c r="L23" s="27">
        <f>IF(L$4&lt;$A23,"",IF((L$4-$A23)&gt;45,0,INDEX(Data_Sales!$B$5:$B$65,MATCH($A23,Data_Sales!$A$5:$A$65,0))*INDEX(Survival!$C$6:$T$51,(L$4-$A23)+1,MATCH(L$4,Survival!$C$3:$T$3,0))+INDEX(Data_Sales!$C$5:$C$65,MATCH($A23,Data_Sales!$A$5:$A$65,0))*INDEX(Survival!$C$55:$T$100,(L$4-$A23)+1,MATCH(L$4,Survival!$C$3:$T$3,0))))</f>
        <v/>
      </c>
      <c r="M23" s="27">
        <f>IF(M$4&lt;$A23,"",IF((M$4-$A23)&gt;45,0,INDEX(Data_Sales!$B$5:$B$65,MATCH($A23,Data_Sales!$A$5:$A$65,0))*INDEX(Survival!$C$6:$T$51,(M$4-$A23)+1,MATCH(M$4,Survival!$C$3:$T$3,0))+INDEX(Data_Sales!$C$5:$C$65,MATCH($A23,Data_Sales!$A$5:$A$65,0))*INDEX(Survival!$C$55:$T$100,(M$4-$A23)+1,MATCH(M$4,Survival!$C$3:$T$3,0))))</f>
        <v/>
      </c>
      <c r="N23" s="27">
        <f>IF(N$4&lt;$A23,"",IF((N$4-$A23)&gt;45,0,INDEX(Data_Sales!$B$5:$B$65,MATCH($A23,Data_Sales!$A$5:$A$65,0))*INDEX(Survival!$C$6:$T$51,(N$4-$A23)+1,MATCH(N$4,Survival!$C$3:$T$3,0))+INDEX(Data_Sales!$C$5:$C$65,MATCH($A23,Data_Sales!$A$5:$A$65,0))*INDEX(Survival!$C$55:$T$100,(N$4-$A23)+1,MATCH(N$4,Survival!$C$3:$T$3,0))))</f>
        <v/>
      </c>
      <c r="O23" s="27">
        <f>IF(O$4&lt;$A23,"",IF((O$4-$A23)&gt;45,0,INDEX(Data_Sales!$B$5:$B$65,MATCH($A23,Data_Sales!$A$5:$A$65,0))*INDEX(Survival!$C$6:$T$51,(O$4-$A23)+1,MATCH(O$4,Survival!$C$3:$T$3,0))+INDEX(Data_Sales!$C$5:$C$65,MATCH($A23,Data_Sales!$A$5:$A$65,0))*INDEX(Survival!$C$55:$T$100,(O$4-$A23)+1,MATCH(O$4,Survival!$C$3:$T$3,0))))</f>
        <v/>
      </c>
      <c r="P23" s="27">
        <f>IF(P$4&lt;$A23,"",IF((P$4-$A23)&gt;45,0,INDEX(Data_Sales!$B$5:$B$65,MATCH($A23,Data_Sales!$A$5:$A$65,0))*INDEX(Survival!$C$6:$T$51,(P$4-$A23)+1,MATCH(P$4,Survival!$C$3:$T$3,0))+INDEX(Data_Sales!$C$5:$C$65,MATCH($A23,Data_Sales!$A$5:$A$65,0))*INDEX(Survival!$C$55:$T$100,(P$4-$A23)+1,MATCH(P$4,Survival!$C$3:$T$3,0))))</f>
        <v/>
      </c>
      <c r="Q23" s="27">
        <f>IF(Q$4&lt;$A23,"",IF((Q$4-$A23)&gt;45,0,INDEX(Data_Sales!$B$5:$B$65,MATCH($A23,Data_Sales!$A$5:$A$65,0))*INDEX(Survival!$C$6:$T$51,(Q$4-$A23)+1,MATCH(Q$4,Survival!$C$3:$T$3,0))+INDEX(Data_Sales!$C$5:$C$65,MATCH($A23,Data_Sales!$A$5:$A$65,0))*INDEX(Survival!$C$55:$T$100,(Q$4-$A23)+1,MATCH(Q$4,Survival!$C$3:$T$3,0))))</f>
        <v/>
      </c>
      <c r="R23" s="27">
        <f>IF(R$4&lt;$A23,"",IF((R$4-$A23)&gt;45,0,INDEX(Data_Sales!$B$5:$B$65,MATCH($A23,Data_Sales!$A$5:$A$65,0))*INDEX(Survival!$C$6:$T$51,(R$4-$A23)+1,MATCH(R$4,Survival!$C$3:$T$3,0))+INDEX(Data_Sales!$C$5:$C$65,MATCH($A23,Data_Sales!$A$5:$A$65,0))*INDEX(Survival!$C$55:$T$100,(R$4-$A23)+1,MATCH(R$4,Survival!$C$3:$T$3,0))))</f>
        <v/>
      </c>
      <c r="S23" s="27">
        <f>IF(S$4&lt;$A23,"",IF((S$4-$A23)&gt;45,0,INDEX(Data_Sales!$B$5:$B$65,MATCH($A23,Data_Sales!$A$5:$A$65,0))*INDEX(Survival!$C$6:$T$51,(S$4-$A23)+1,MATCH(S$4,Survival!$C$3:$T$3,0))+INDEX(Data_Sales!$C$5:$C$65,MATCH($A23,Data_Sales!$A$5:$A$65,0))*INDEX(Survival!$C$55:$T$100,(S$4-$A23)+1,MATCH(S$4,Survival!$C$3:$T$3,0))))</f>
        <v/>
      </c>
      <c r="T23" s="27">
        <f>IF(T$4&lt;$A23,"",IF((T$4-$A23)&gt;45,0,INDEX(Data_Sales!$B$5:$B$65,MATCH($A23,Data_Sales!$A$5:$A$65,0))*INDEX(Survival!$C$6:$T$51,(T$4-$A23)+1,MATCH(T$4,Survival!$C$3:$T$3,0))+INDEX(Data_Sales!$C$5:$C$65,MATCH($A23,Data_Sales!$A$5:$A$65,0))*INDEX(Survival!$C$55:$T$100,(T$4-$A23)+1,MATCH(T$4,Survival!$C$3:$T$3,0))))</f>
        <v/>
      </c>
    </row>
    <row r="24">
      <c r="A24" s="9" t="n">
        <v>1988</v>
      </c>
      <c r="C24" s="27">
        <f>IF(C$4&lt;$A24,"",IF((C$4-$A24)&gt;45,0,INDEX(Data_Sales!$B$5:$B$65,MATCH($A24,Data_Sales!$A$5:$A$65,0))*INDEX(Survival!$C$6:$T$51,(C$4-$A24)+1,MATCH(C$4,Survival!$C$3:$T$3,0))+INDEX(Data_Sales!$C$5:$C$65,MATCH($A24,Data_Sales!$A$5:$A$65,0))*INDEX(Survival!$C$55:$T$100,(C$4-$A24)+1,MATCH(C$4,Survival!$C$3:$T$3,0))))</f>
        <v/>
      </c>
      <c r="D24" s="27">
        <f>IF(D$4&lt;$A24,"",IF((D$4-$A24)&gt;45,0,INDEX(Data_Sales!$B$5:$B$65,MATCH($A24,Data_Sales!$A$5:$A$65,0))*INDEX(Survival!$C$6:$T$51,(D$4-$A24)+1,MATCH(D$4,Survival!$C$3:$T$3,0))+INDEX(Data_Sales!$C$5:$C$65,MATCH($A24,Data_Sales!$A$5:$A$65,0))*INDEX(Survival!$C$55:$T$100,(D$4-$A24)+1,MATCH(D$4,Survival!$C$3:$T$3,0))))</f>
        <v/>
      </c>
      <c r="E24" s="27">
        <f>IF(E$4&lt;$A24,"",IF((E$4-$A24)&gt;45,0,INDEX(Data_Sales!$B$5:$B$65,MATCH($A24,Data_Sales!$A$5:$A$65,0))*INDEX(Survival!$C$6:$T$51,(E$4-$A24)+1,MATCH(E$4,Survival!$C$3:$T$3,0))+INDEX(Data_Sales!$C$5:$C$65,MATCH($A24,Data_Sales!$A$5:$A$65,0))*INDEX(Survival!$C$55:$T$100,(E$4-$A24)+1,MATCH(E$4,Survival!$C$3:$T$3,0))))</f>
        <v/>
      </c>
      <c r="F24" s="27">
        <f>IF(F$4&lt;$A24,"",IF((F$4-$A24)&gt;45,0,INDEX(Data_Sales!$B$5:$B$65,MATCH($A24,Data_Sales!$A$5:$A$65,0))*INDEX(Survival!$C$6:$T$51,(F$4-$A24)+1,MATCH(F$4,Survival!$C$3:$T$3,0))+INDEX(Data_Sales!$C$5:$C$65,MATCH($A24,Data_Sales!$A$5:$A$65,0))*INDEX(Survival!$C$55:$T$100,(F$4-$A24)+1,MATCH(F$4,Survival!$C$3:$T$3,0))))</f>
        <v/>
      </c>
      <c r="G24" s="27">
        <f>IF(G$4&lt;$A24,"",IF((G$4-$A24)&gt;45,0,INDEX(Data_Sales!$B$5:$B$65,MATCH($A24,Data_Sales!$A$5:$A$65,0))*INDEX(Survival!$C$6:$T$51,(G$4-$A24)+1,MATCH(G$4,Survival!$C$3:$T$3,0))+INDEX(Data_Sales!$C$5:$C$65,MATCH($A24,Data_Sales!$A$5:$A$65,0))*INDEX(Survival!$C$55:$T$100,(G$4-$A24)+1,MATCH(G$4,Survival!$C$3:$T$3,0))))</f>
        <v/>
      </c>
      <c r="H24" s="27">
        <f>IF(H$4&lt;$A24,"",IF((H$4-$A24)&gt;45,0,INDEX(Data_Sales!$B$5:$B$65,MATCH($A24,Data_Sales!$A$5:$A$65,0))*INDEX(Survival!$C$6:$T$51,(H$4-$A24)+1,MATCH(H$4,Survival!$C$3:$T$3,0))+INDEX(Data_Sales!$C$5:$C$65,MATCH($A24,Data_Sales!$A$5:$A$65,0))*INDEX(Survival!$C$55:$T$100,(H$4-$A24)+1,MATCH(H$4,Survival!$C$3:$T$3,0))))</f>
        <v/>
      </c>
      <c r="I24" s="27">
        <f>IF(I$4&lt;$A24,"",IF((I$4-$A24)&gt;45,0,INDEX(Data_Sales!$B$5:$B$65,MATCH($A24,Data_Sales!$A$5:$A$65,0))*INDEX(Survival!$C$6:$T$51,(I$4-$A24)+1,MATCH(I$4,Survival!$C$3:$T$3,0))+INDEX(Data_Sales!$C$5:$C$65,MATCH($A24,Data_Sales!$A$5:$A$65,0))*INDEX(Survival!$C$55:$T$100,(I$4-$A24)+1,MATCH(I$4,Survival!$C$3:$T$3,0))))</f>
        <v/>
      </c>
      <c r="J24" s="27">
        <f>IF(J$4&lt;$A24,"",IF((J$4-$A24)&gt;45,0,INDEX(Data_Sales!$B$5:$B$65,MATCH($A24,Data_Sales!$A$5:$A$65,0))*INDEX(Survival!$C$6:$T$51,(J$4-$A24)+1,MATCH(J$4,Survival!$C$3:$T$3,0))+INDEX(Data_Sales!$C$5:$C$65,MATCH($A24,Data_Sales!$A$5:$A$65,0))*INDEX(Survival!$C$55:$T$100,(J$4-$A24)+1,MATCH(J$4,Survival!$C$3:$T$3,0))))</f>
        <v/>
      </c>
      <c r="K24" s="27">
        <f>IF(K$4&lt;$A24,"",IF((K$4-$A24)&gt;45,0,INDEX(Data_Sales!$B$5:$B$65,MATCH($A24,Data_Sales!$A$5:$A$65,0))*INDEX(Survival!$C$6:$T$51,(K$4-$A24)+1,MATCH(K$4,Survival!$C$3:$T$3,0))+INDEX(Data_Sales!$C$5:$C$65,MATCH($A24,Data_Sales!$A$5:$A$65,0))*INDEX(Survival!$C$55:$T$100,(K$4-$A24)+1,MATCH(K$4,Survival!$C$3:$T$3,0))))</f>
        <v/>
      </c>
      <c r="L24" s="27">
        <f>IF(L$4&lt;$A24,"",IF((L$4-$A24)&gt;45,0,INDEX(Data_Sales!$B$5:$B$65,MATCH($A24,Data_Sales!$A$5:$A$65,0))*INDEX(Survival!$C$6:$T$51,(L$4-$A24)+1,MATCH(L$4,Survival!$C$3:$T$3,0))+INDEX(Data_Sales!$C$5:$C$65,MATCH($A24,Data_Sales!$A$5:$A$65,0))*INDEX(Survival!$C$55:$T$100,(L$4-$A24)+1,MATCH(L$4,Survival!$C$3:$T$3,0))))</f>
        <v/>
      </c>
      <c r="M24" s="27">
        <f>IF(M$4&lt;$A24,"",IF((M$4-$A24)&gt;45,0,INDEX(Data_Sales!$B$5:$B$65,MATCH($A24,Data_Sales!$A$5:$A$65,0))*INDEX(Survival!$C$6:$T$51,(M$4-$A24)+1,MATCH(M$4,Survival!$C$3:$T$3,0))+INDEX(Data_Sales!$C$5:$C$65,MATCH($A24,Data_Sales!$A$5:$A$65,0))*INDEX(Survival!$C$55:$T$100,(M$4-$A24)+1,MATCH(M$4,Survival!$C$3:$T$3,0))))</f>
        <v/>
      </c>
      <c r="N24" s="27">
        <f>IF(N$4&lt;$A24,"",IF((N$4-$A24)&gt;45,0,INDEX(Data_Sales!$B$5:$B$65,MATCH($A24,Data_Sales!$A$5:$A$65,0))*INDEX(Survival!$C$6:$T$51,(N$4-$A24)+1,MATCH(N$4,Survival!$C$3:$T$3,0))+INDEX(Data_Sales!$C$5:$C$65,MATCH($A24,Data_Sales!$A$5:$A$65,0))*INDEX(Survival!$C$55:$T$100,(N$4-$A24)+1,MATCH(N$4,Survival!$C$3:$T$3,0))))</f>
        <v/>
      </c>
      <c r="O24" s="27">
        <f>IF(O$4&lt;$A24,"",IF((O$4-$A24)&gt;45,0,INDEX(Data_Sales!$B$5:$B$65,MATCH($A24,Data_Sales!$A$5:$A$65,0))*INDEX(Survival!$C$6:$T$51,(O$4-$A24)+1,MATCH(O$4,Survival!$C$3:$T$3,0))+INDEX(Data_Sales!$C$5:$C$65,MATCH($A24,Data_Sales!$A$5:$A$65,0))*INDEX(Survival!$C$55:$T$100,(O$4-$A24)+1,MATCH(O$4,Survival!$C$3:$T$3,0))))</f>
        <v/>
      </c>
      <c r="P24" s="27">
        <f>IF(P$4&lt;$A24,"",IF((P$4-$A24)&gt;45,0,INDEX(Data_Sales!$B$5:$B$65,MATCH($A24,Data_Sales!$A$5:$A$65,0))*INDEX(Survival!$C$6:$T$51,(P$4-$A24)+1,MATCH(P$4,Survival!$C$3:$T$3,0))+INDEX(Data_Sales!$C$5:$C$65,MATCH($A24,Data_Sales!$A$5:$A$65,0))*INDEX(Survival!$C$55:$T$100,(P$4-$A24)+1,MATCH(P$4,Survival!$C$3:$T$3,0))))</f>
        <v/>
      </c>
      <c r="Q24" s="27">
        <f>IF(Q$4&lt;$A24,"",IF((Q$4-$A24)&gt;45,0,INDEX(Data_Sales!$B$5:$B$65,MATCH($A24,Data_Sales!$A$5:$A$65,0))*INDEX(Survival!$C$6:$T$51,(Q$4-$A24)+1,MATCH(Q$4,Survival!$C$3:$T$3,0))+INDEX(Data_Sales!$C$5:$C$65,MATCH($A24,Data_Sales!$A$5:$A$65,0))*INDEX(Survival!$C$55:$T$100,(Q$4-$A24)+1,MATCH(Q$4,Survival!$C$3:$T$3,0))))</f>
        <v/>
      </c>
      <c r="R24" s="27">
        <f>IF(R$4&lt;$A24,"",IF((R$4-$A24)&gt;45,0,INDEX(Data_Sales!$B$5:$B$65,MATCH($A24,Data_Sales!$A$5:$A$65,0))*INDEX(Survival!$C$6:$T$51,(R$4-$A24)+1,MATCH(R$4,Survival!$C$3:$T$3,0))+INDEX(Data_Sales!$C$5:$C$65,MATCH($A24,Data_Sales!$A$5:$A$65,0))*INDEX(Survival!$C$55:$T$100,(R$4-$A24)+1,MATCH(R$4,Survival!$C$3:$T$3,0))))</f>
        <v/>
      </c>
      <c r="S24" s="27">
        <f>IF(S$4&lt;$A24,"",IF((S$4-$A24)&gt;45,0,INDEX(Data_Sales!$B$5:$B$65,MATCH($A24,Data_Sales!$A$5:$A$65,0))*INDEX(Survival!$C$6:$T$51,(S$4-$A24)+1,MATCH(S$4,Survival!$C$3:$T$3,0))+INDEX(Data_Sales!$C$5:$C$65,MATCH($A24,Data_Sales!$A$5:$A$65,0))*INDEX(Survival!$C$55:$T$100,(S$4-$A24)+1,MATCH(S$4,Survival!$C$3:$T$3,0))))</f>
        <v/>
      </c>
      <c r="T24" s="27">
        <f>IF(T$4&lt;$A24,"",IF((T$4-$A24)&gt;45,0,INDEX(Data_Sales!$B$5:$B$65,MATCH($A24,Data_Sales!$A$5:$A$65,0))*INDEX(Survival!$C$6:$T$51,(T$4-$A24)+1,MATCH(T$4,Survival!$C$3:$T$3,0))+INDEX(Data_Sales!$C$5:$C$65,MATCH($A24,Data_Sales!$A$5:$A$65,0))*INDEX(Survival!$C$55:$T$100,(T$4-$A24)+1,MATCH(T$4,Survival!$C$3:$T$3,0))))</f>
        <v/>
      </c>
    </row>
    <row r="25">
      <c r="A25" s="9" t="n">
        <v>1989</v>
      </c>
      <c r="C25" s="27">
        <f>IF(C$4&lt;$A25,"",IF((C$4-$A25)&gt;45,0,INDEX(Data_Sales!$B$5:$B$65,MATCH($A25,Data_Sales!$A$5:$A$65,0))*INDEX(Survival!$C$6:$T$51,(C$4-$A25)+1,MATCH(C$4,Survival!$C$3:$T$3,0))+INDEX(Data_Sales!$C$5:$C$65,MATCH($A25,Data_Sales!$A$5:$A$65,0))*INDEX(Survival!$C$55:$T$100,(C$4-$A25)+1,MATCH(C$4,Survival!$C$3:$T$3,0))))</f>
        <v/>
      </c>
      <c r="D25" s="27">
        <f>IF(D$4&lt;$A25,"",IF((D$4-$A25)&gt;45,0,INDEX(Data_Sales!$B$5:$B$65,MATCH($A25,Data_Sales!$A$5:$A$65,0))*INDEX(Survival!$C$6:$T$51,(D$4-$A25)+1,MATCH(D$4,Survival!$C$3:$T$3,0))+INDEX(Data_Sales!$C$5:$C$65,MATCH($A25,Data_Sales!$A$5:$A$65,0))*INDEX(Survival!$C$55:$T$100,(D$4-$A25)+1,MATCH(D$4,Survival!$C$3:$T$3,0))))</f>
        <v/>
      </c>
      <c r="E25" s="27">
        <f>IF(E$4&lt;$A25,"",IF((E$4-$A25)&gt;45,0,INDEX(Data_Sales!$B$5:$B$65,MATCH($A25,Data_Sales!$A$5:$A$65,0))*INDEX(Survival!$C$6:$T$51,(E$4-$A25)+1,MATCH(E$4,Survival!$C$3:$T$3,0))+INDEX(Data_Sales!$C$5:$C$65,MATCH($A25,Data_Sales!$A$5:$A$65,0))*INDEX(Survival!$C$55:$T$100,(E$4-$A25)+1,MATCH(E$4,Survival!$C$3:$T$3,0))))</f>
        <v/>
      </c>
      <c r="F25" s="27">
        <f>IF(F$4&lt;$A25,"",IF((F$4-$A25)&gt;45,0,INDEX(Data_Sales!$B$5:$B$65,MATCH($A25,Data_Sales!$A$5:$A$65,0))*INDEX(Survival!$C$6:$T$51,(F$4-$A25)+1,MATCH(F$4,Survival!$C$3:$T$3,0))+INDEX(Data_Sales!$C$5:$C$65,MATCH($A25,Data_Sales!$A$5:$A$65,0))*INDEX(Survival!$C$55:$T$100,(F$4-$A25)+1,MATCH(F$4,Survival!$C$3:$T$3,0))))</f>
        <v/>
      </c>
      <c r="G25" s="27">
        <f>IF(G$4&lt;$A25,"",IF((G$4-$A25)&gt;45,0,INDEX(Data_Sales!$B$5:$B$65,MATCH($A25,Data_Sales!$A$5:$A$65,0))*INDEX(Survival!$C$6:$T$51,(G$4-$A25)+1,MATCH(G$4,Survival!$C$3:$T$3,0))+INDEX(Data_Sales!$C$5:$C$65,MATCH($A25,Data_Sales!$A$5:$A$65,0))*INDEX(Survival!$C$55:$T$100,(G$4-$A25)+1,MATCH(G$4,Survival!$C$3:$T$3,0))))</f>
        <v/>
      </c>
      <c r="H25" s="27">
        <f>IF(H$4&lt;$A25,"",IF((H$4-$A25)&gt;45,0,INDEX(Data_Sales!$B$5:$B$65,MATCH($A25,Data_Sales!$A$5:$A$65,0))*INDEX(Survival!$C$6:$T$51,(H$4-$A25)+1,MATCH(H$4,Survival!$C$3:$T$3,0))+INDEX(Data_Sales!$C$5:$C$65,MATCH($A25,Data_Sales!$A$5:$A$65,0))*INDEX(Survival!$C$55:$T$100,(H$4-$A25)+1,MATCH(H$4,Survival!$C$3:$T$3,0))))</f>
        <v/>
      </c>
      <c r="I25" s="27">
        <f>IF(I$4&lt;$A25,"",IF((I$4-$A25)&gt;45,0,INDEX(Data_Sales!$B$5:$B$65,MATCH($A25,Data_Sales!$A$5:$A$65,0))*INDEX(Survival!$C$6:$T$51,(I$4-$A25)+1,MATCH(I$4,Survival!$C$3:$T$3,0))+INDEX(Data_Sales!$C$5:$C$65,MATCH($A25,Data_Sales!$A$5:$A$65,0))*INDEX(Survival!$C$55:$T$100,(I$4-$A25)+1,MATCH(I$4,Survival!$C$3:$T$3,0))))</f>
        <v/>
      </c>
      <c r="J25" s="27">
        <f>IF(J$4&lt;$A25,"",IF((J$4-$A25)&gt;45,0,INDEX(Data_Sales!$B$5:$B$65,MATCH($A25,Data_Sales!$A$5:$A$65,0))*INDEX(Survival!$C$6:$T$51,(J$4-$A25)+1,MATCH(J$4,Survival!$C$3:$T$3,0))+INDEX(Data_Sales!$C$5:$C$65,MATCH($A25,Data_Sales!$A$5:$A$65,0))*INDEX(Survival!$C$55:$T$100,(J$4-$A25)+1,MATCH(J$4,Survival!$C$3:$T$3,0))))</f>
        <v/>
      </c>
      <c r="K25" s="27">
        <f>IF(K$4&lt;$A25,"",IF((K$4-$A25)&gt;45,0,INDEX(Data_Sales!$B$5:$B$65,MATCH($A25,Data_Sales!$A$5:$A$65,0))*INDEX(Survival!$C$6:$T$51,(K$4-$A25)+1,MATCH(K$4,Survival!$C$3:$T$3,0))+INDEX(Data_Sales!$C$5:$C$65,MATCH($A25,Data_Sales!$A$5:$A$65,0))*INDEX(Survival!$C$55:$T$100,(K$4-$A25)+1,MATCH(K$4,Survival!$C$3:$T$3,0))))</f>
        <v/>
      </c>
      <c r="L25" s="27">
        <f>IF(L$4&lt;$A25,"",IF((L$4-$A25)&gt;45,0,INDEX(Data_Sales!$B$5:$B$65,MATCH($A25,Data_Sales!$A$5:$A$65,0))*INDEX(Survival!$C$6:$T$51,(L$4-$A25)+1,MATCH(L$4,Survival!$C$3:$T$3,0))+INDEX(Data_Sales!$C$5:$C$65,MATCH($A25,Data_Sales!$A$5:$A$65,0))*INDEX(Survival!$C$55:$T$100,(L$4-$A25)+1,MATCH(L$4,Survival!$C$3:$T$3,0))))</f>
        <v/>
      </c>
      <c r="M25" s="27">
        <f>IF(M$4&lt;$A25,"",IF((M$4-$A25)&gt;45,0,INDEX(Data_Sales!$B$5:$B$65,MATCH($A25,Data_Sales!$A$5:$A$65,0))*INDEX(Survival!$C$6:$T$51,(M$4-$A25)+1,MATCH(M$4,Survival!$C$3:$T$3,0))+INDEX(Data_Sales!$C$5:$C$65,MATCH($A25,Data_Sales!$A$5:$A$65,0))*INDEX(Survival!$C$55:$T$100,(M$4-$A25)+1,MATCH(M$4,Survival!$C$3:$T$3,0))))</f>
        <v/>
      </c>
      <c r="N25" s="27">
        <f>IF(N$4&lt;$A25,"",IF((N$4-$A25)&gt;45,0,INDEX(Data_Sales!$B$5:$B$65,MATCH($A25,Data_Sales!$A$5:$A$65,0))*INDEX(Survival!$C$6:$T$51,(N$4-$A25)+1,MATCH(N$4,Survival!$C$3:$T$3,0))+INDEX(Data_Sales!$C$5:$C$65,MATCH($A25,Data_Sales!$A$5:$A$65,0))*INDEX(Survival!$C$55:$T$100,(N$4-$A25)+1,MATCH(N$4,Survival!$C$3:$T$3,0))))</f>
        <v/>
      </c>
      <c r="O25" s="27">
        <f>IF(O$4&lt;$A25,"",IF((O$4-$A25)&gt;45,0,INDEX(Data_Sales!$B$5:$B$65,MATCH($A25,Data_Sales!$A$5:$A$65,0))*INDEX(Survival!$C$6:$T$51,(O$4-$A25)+1,MATCH(O$4,Survival!$C$3:$T$3,0))+INDEX(Data_Sales!$C$5:$C$65,MATCH($A25,Data_Sales!$A$5:$A$65,0))*INDEX(Survival!$C$55:$T$100,(O$4-$A25)+1,MATCH(O$4,Survival!$C$3:$T$3,0))))</f>
        <v/>
      </c>
      <c r="P25" s="27">
        <f>IF(P$4&lt;$A25,"",IF((P$4-$A25)&gt;45,0,INDEX(Data_Sales!$B$5:$B$65,MATCH($A25,Data_Sales!$A$5:$A$65,0))*INDEX(Survival!$C$6:$T$51,(P$4-$A25)+1,MATCH(P$4,Survival!$C$3:$T$3,0))+INDEX(Data_Sales!$C$5:$C$65,MATCH($A25,Data_Sales!$A$5:$A$65,0))*INDEX(Survival!$C$55:$T$100,(P$4-$A25)+1,MATCH(P$4,Survival!$C$3:$T$3,0))))</f>
        <v/>
      </c>
      <c r="Q25" s="27">
        <f>IF(Q$4&lt;$A25,"",IF((Q$4-$A25)&gt;45,0,INDEX(Data_Sales!$B$5:$B$65,MATCH($A25,Data_Sales!$A$5:$A$65,0))*INDEX(Survival!$C$6:$T$51,(Q$4-$A25)+1,MATCH(Q$4,Survival!$C$3:$T$3,0))+INDEX(Data_Sales!$C$5:$C$65,MATCH($A25,Data_Sales!$A$5:$A$65,0))*INDEX(Survival!$C$55:$T$100,(Q$4-$A25)+1,MATCH(Q$4,Survival!$C$3:$T$3,0))))</f>
        <v/>
      </c>
      <c r="R25" s="27">
        <f>IF(R$4&lt;$A25,"",IF((R$4-$A25)&gt;45,0,INDEX(Data_Sales!$B$5:$B$65,MATCH($A25,Data_Sales!$A$5:$A$65,0))*INDEX(Survival!$C$6:$T$51,(R$4-$A25)+1,MATCH(R$4,Survival!$C$3:$T$3,0))+INDEX(Data_Sales!$C$5:$C$65,MATCH($A25,Data_Sales!$A$5:$A$65,0))*INDEX(Survival!$C$55:$T$100,(R$4-$A25)+1,MATCH(R$4,Survival!$C$3:$T$3,0))))</f>
        <v/>
      </c>
      <c r="S25" s="27">
        <f>IF(S$4&lt;$A25,"",IF((S$4-$A25)&gt;45,0,INDEX(Data_Sales!$B$5:$B$65,MATCH($A25,Data_Sales!$A$5:$A$65,0))*INDEX(Survival!$C$6:$T$51,(S$4-$A25)+1,MATCH(S$4,Survival!$C$3:$T$3,0))+INDEX(Data_Sales!$C$5:$C$65,MATCH($A25,Data_Sales!$A$5:$A$65,0))*INDEX(Survival!$C$55:$T$100,(S$4-$A25)+1,MATCH(S$4,Survival!$C$3:$T$3,0))))</f>
        <v/>
      </c>
      <c r="T25" s="27">
        <f>IF(T$4&lt;$A25,"",IF((T$4-$A25)&gt;45,0,INDEX(Data_Sales!$B$5:$B$65,MATCH($A25,Data_Sales!$A$5:$A$65,0))*INDEX(Survival!$C$6:$T$51,(T$4-$A25)+1,MATCH(T$4,Survival!$C$3:$T$3,0))+INDEX(Data_Sales!$C$5:$C$65,MATCH($A25,Data_Sales!$A$5:$A$65,0))*INDEX(Survival!$C$55:$T$100,(T$4-$A25)+1,MATCH(T$4,Survival!$C$3:$T$3,0))))</f>
        <v/>
      </c>
    </row>
    <row r="26">
      <c r="A26" s="9" t="n">
        <v>1990</v>
      </c>
      <c r="C26" s="27">
        <f>IF(C$4&lt;$A26,"",IF((C$4-$A26)&gt;45,0,INDEX(Data_Sales!$B$5:$B$65,MATCH($A26,Data_Sales!$A$5:$A$65,0))*INDEX(Survival!$C$6:$T$51,(C$4-$A26)+1,MATCH(C$4,Survival!$C$3:$T$3,0))+INDEX(Data_Sales!$C$5:$C$65,MATCH($A26,Data_Sales!$A$5:$A$65,0))*INDEX(Survival!$C$55:$T$100,(C$4-$A26)+1,MATCH(C$4,Survival!$C$3:$T$3,0))))</f>
        <v/>
      </c>
      <c r="D26" s="27">
        <f>IF(D$4&lt;$A26,"",IF((D$4-$A26)&gt;45,0,INDEX(Data_Sales!$B$5:$B$65,MATCH($A26,Data_Sales!$A$5:$A$65,0))*INDEX(Survival!$C$6:$T$51,(D$4-$A26)+1,MATCH(D$4,Survival!$C$3:$T$3,0))+INDEX(Data_Sales!$C$5:$C$65,MATCH($A26,Data_Sales!$A$5:$A$65,0))*INDEX(Survival!$C$55:$T$100,(D$4-$A26)+1,MATCH(D$4,Survival!$C$3:$T$3,0))))</f>
        <v/>
      </c>
      <c r="E26" s="27">
        <f>IF(E$4&lt;$A26,"",IF((E$4-$A26)&gt;45,0,INDEX(Data_Sales!$B$5:$B$65,MATCH($A26,Data_Sales!$A$5:$A$65,0))*INDEX(Survival!$C$6:$T$51,(E$4-$A26)+1,MATCH(E$4,Survival!$C$3:$T$3,0))+INDEX(Data_Sales!$C$5:$C$65,MATCH($A26,Data_Sales!$A$5:$A$65,0))*INDEX(Survival!$C$55:$T$100,(E$4-$A26)+1,MATCH(E$4,Survival!$C$3:$T$3,0))))</f>
        <v/>
      </c>
      <c r="F26" s="27">
        <f>IF(F$4&lt;$A26,"",IF((F$4-$A26)&gt;45,0,INDEX(Data_Sales!$B$5:$B$65,MATCH($A26,Data_Sales!$A$5:$A$65,0))*INDEX(Survival!$C$6:$T$51,(F$4-$A26)+1,MATCH(F$4,Survival!$C$3:$T$3,0))+INDEX(Data_Sales!$C$5:$C$65,MATCH($A26,Data_Sales!$A$5:$A$65,0))*INDEX(Survival!$C$55:$T$100,(F$4-$A26)+1,MATCH(F$4,Survival!$C$3:$T$3,0))))</f>
        <v/>
      </c>
      <c r="G26" s="27">
        <f>IF(G$4&lt;$A26,"",IF((G$4-$A26)&gt;45,0,INDEX(Data_Sales!$B$5:$B$65,MATCH($A26,Data_Sales!$A$5:$A$65,0))*INDEX(Survival!$C$6:$T$51,(G$4-$A26)+1,MATCH(G$4,Survival!$C$3:$T$3,0))+INDEX(Data_Sales!$C$5:$C$65,MATCH($A26,Data_Sales!$A$5:$A$65,0))*INDEX(Survival!$C$55:$T$100,(G$4-$A26)+1,MATCH(G$4,Survival!$C$3:$T$3,0))))</f>
        <v/>
      </c>
      <c r="H26" s="27">
        <f>IF(H$4&lt;$A26,"",IF((H$4-$A26)&gt;45,0,INDEX(Data_Sales!$B$5:$B$65,MATCH($A26,Data_Sales!$A$5:$A$65,0))*INDEX(Survival!$C$6:$T$51,(H$4-$A26)+1,MATCH(H$4,Survival!$C$3:$T$3,0))+INDEX(Data_Sales!$C$5:$C$65,MATCH($A26,Data_Sales!$A$5:$A$65,0))*INDEX(Survival!$C$55:$T$100,(H$4-$A26)+1,MATCH(H$4,Survival!$C$3:$T$3,0))))</f>
        <v/>
      </c>
      <c r="I26" s="27">
        <f>IF(I$4&lt;$A26,"",IF((I$4-$A26)&gt;45,0,INDEX(Data_Sales!$B$5:$B$65,MATCH($A26,Data_Sales!$A$5:$A$65,0))*INDEX(Survival!$C$6:$T$51,(I$4-$A26)+1,MATCH(I$4,Survival!$C$3:$T$3,0))+INDEX(Data_Sales!$C$5:$C$65,MATCH($A26,Data_Sales!$A$5:$A$65,0))*INDEX(Survival!$C$55:$T$100,(I$4-$A26)+1,MATCH(I$4,Survival!$C$3:$T$3,0))))</f>
        <v/>
      </c>
      <c r="J26" s="27">
        <f>IF(J$4&lt;$A26,"",IF((J$4-$A26)&gt;45,0,INDEX(Data_Sales!$B$5:$B$65,MATCH($A26,Data_Sales!$A$5:$A$65,0))*INDEX(Survival!$C$6:$T$51,(J$4-$A26)+1,MATCH(J$4,Survival!$C$3:$T$3,0))+INDEX(Data_Sales!$C$5:$C$65,MATCH($A26,Data_Sales!$A$5:$A$65,0))*INDEX(Survival!$C$55:$T$100,(J$4-$A26)+1,MATCH(J$4,Survival!$C$3:$T$3,0))))</f>
        <v/>
      </c>
      <c r="K26" s="27">
        <f>IF(K$4&lt;$A26,"",IF((K$4-$A26)&gt;45,0,INDEX(Data_Sales!$B$5:$B$65,MATCH($A26,Data_Sales!$A$5:$A$65,0))*INDEX(Survival!$C$6:$T$51,(K$4-$A26)+1,MATCH(K$4,Survival!$C$3:$T$3,0))+INDEX(Data_Sales!$C$5:$C$65,MATCH($A26,Data_Sales!$A$5:$A$65,0))*INDEX(Survival!$C$55:$T$100,(K$4-$A26)+1,MATCH(K$4,Survival!$C$3:$T$3,0))))</f>
        <v/>
      </c>
      <c r="L26" s="27">
        <f>IF(L$4&lt;$A26,"",IF((L$4-$A26)&gt;45,0,INDEX(Data_Sales!$B$5:$B$65,MATCH($A26,Data_Sales!$A$5:$A$65,0))*INDEX(Survival!$C$6:$T$51,(L$4-$A26)+1,MATCH(L$4,Survival!$C$3:$T$3,0))+INDEX(Data_Sales!$C$5:$C$65,MATCH($A26,Data_Sales!$A$5:$A$65,0))*INDEX(Survival!$C$55:$T$100,(L$4-$A26)+1,MATCH(L$4,Survival!$C$3:$T$3,0))))</f>
        <v/>
      </c>
      <c r="M26" s="27">
        <f>IF(M$4&lt;$A26,"",IF((M$4-$A26)&gt;45,0,INDEX(Data_Sales!$B$5:$B$65,MATCH($A26,Data_Sales!$A$5:$A$65,0))*INDEX(Survival!$C$6:$T$51,(M$4-$A26)+1,MATCH(M$4,Survival!$C$3:$T$3,0))+INDEX(Data_Sales!$C$5:$C$65,MATCH($A26,Data_Sales!$A$5:$A$65,0))*INDEX(Survival!$C$55:$T$100,(M$4-$A26)+1,MATCH(M$4,Survival!$C$3:$T$3,0))))</f>
        <v/>
      </c>
      <c r="N26" s="27">
        <f>IF(N$4&lt;$A26,"",IF((N$4-$A26)&gt;45,0,INDEX(Data_Sales!$B$5:$B$65,MATCH($A26,Data_Sales!$A$5:$A$65,0))*INDEX(Survival!$C$6:$T$51,(N$4-$A26)+1,MATCH(N$4,Survival!$C$3:$T$3,0))+INDEX(Data_Sales!$C$5:$C$65,MATCH($A26,Data_Sales!$A$5:$A$65,0))*INDEX(Survival!$C$55:$T$100,(N$4-$A26)+1,MATCH(N$4,Survival!$C$3:$T$3,0))))</f>
        <v/>
      </c>
      <c r="O26" s="27">
        <f>IF(O$4&lt;$A26,"",IF((O$4-$A26)&gt;45,0,INDEX(Data_Sales!$B$5:$B$65,MATCH($A26,Data_Sales!$A$5:$A$65,0))*INDEX(Survival!$C$6:$T$51,(O$4-$A26)+1,MATCH(O$4,Survival!$C$3:$T$3,0))+INDEX(Data_Sales!$C$5:$C$65,MATCH($A26,Data_Sales!$A$5:$A$65,0))*INDEX(Survival!$C$55:$T$100,(O$4-$A26)+1,MATCH(O$4,Survival!$C$3:$T$3,0))))</f>
        <v/>
      </c>
      <c r="P26" s="27">
        <f>IF(P$4&lt;$A26,"",IF((P$4-$A26)&gt;45,0,INDEX(Data_Sales!$B$5:$B$65,MATCH($A26,Data_Sales!$A$5:$A$65,0))*INDEX(Survival!$C$6:$T$51,(P$4-$A26)+1,MATCH(P$4,Survival!$C$3:$T$3,0))+INDEX(Data_Sales!$C$5:$C$65,MATCH($A26,Data_Sales!$A$5:$A$65,0))*INDEX(Survival!$C$55:$T$100,(P$4-$A26)+1,MATCH(P$4,Survival!$C$3:$T$3,0))))</f>
        <v/>
      </c>
      <c r="Q26" s="27">
        <f>IF(Q$4&lt;$A26,"",IF((Q$4-$A26)&gt;45,0,INDEX(Data_Sales!$B$5:$B$65,MATCH($A26,Data_Sales!$A$5:$A$65,0))*INDEX(Survival!$C$6:$T$51,(Q$4-$A26)+1,MATCH(Q$4,Survival!$C$3:$T$3,0))+INDEX(Data_Sales!$C$5:$C$65,MATCH($A26,Data_Sales!$A$5:$A$65,0))*INDEX(Survival!$C$55:$T$100,(Q$4-$A26)+1,MATCH(Q$4,Survival!$C$3:$T$3,0))))</f>
        <v/>
      </c>
      <c r="R26" s="27">
        <f>IF(R$4&lt;$A26,"",IF((R$4-$A26)&gt;45,0,INDEX(Data_Sales!$B$5:$B$65,MATCH($A26,Data_Sales!$A$5:$A$65,0))*INDEX(Survival!$C$6:$T$51,(R$4-$A26)+1,MATCH(R$4,Survival!$C$3:$T$3,0))+INDEX(Data_Sales!$C$5:$C$65,MATCH($A26,Data_Sales!$A$5:$A$65,0))*INDEX(Survival!$C$55:$T$100,(R$4-$A26)+1,MATCH(R$4,Survival!$C$3:$T$3,0))))</f>
        <v/>
      </c>
      <c r="S26" s="27">
        <f>IF(S$4&lt;$A26,"",IF((S$4-$A26)&gt;45,0,INDEX(Data_Sales!$B$5:$B$65,MATCH($A26,Data_Sales!$A$5:$A$65,0))*INDEX(Survival!$C$6:$T$51,(S$4-$A26)+1,MATCH(S$4,Survival!$C$3:$T$3,0))+INDEX(Data_Sales!$C$5:$C$65,MATCH($A26,Data_Sales!$A$5:$A$65,0))*INDEX(Survival!$C$55:$T$100,(S$4-$A26)+1,MATCH(S$4,Survival!$C$3:$T$3,0))))</f>
        <v/>
      </c>
      <c r="T26" s="27">
        <f>IF(T$4&lt;$A26,"",IF((T$4-$A26)&gt;45,0,INDEX(Data_Sales!$B$5:$B$65,MATCH($A26,Data_Sales!$A$5:$A$65,0))*INDEX(Survival!$C$6:$T$51,(T$4-$A26)+1,MATCH(T$4,Survival!$C$3:$T$3,0))+INDEX(Data_Sales!$C$5:$C$65,MATCH($A26,Data_Sales!$A$5:$A$65,0))*INDEX(Survival!$C$55:$T$100,(T$4-$A26)+1,MATCH(T$4,Survival!$C$3:$T$3,0))))</f>
        <v/>
      </c>
    </row>
    <row r="27">
      <c r="A27" s="9" t="n">
        <v>1991</v>
      </c>
      <c r="C27" s="27">
        <f>IF(C$4&lt;$A27,"",IF((C$4-$A27)&gt;45,0,INDEX(Data_Sales!$B$5:$B$65,MATCH($A27,Data_Sales!$A$5:$A$65,0))*INDEX(Survival!$C$6:$T$51,(C$4-$A27)+1,MATCH(C$4,Survival!$C$3:$T$3,0))+INDEX(Data_Sales!$C$5:$C$65,MATCH($A27,Data_Sales!$A$5:$A$65,0))*INDEX(Survival!$C$55:$T$100,(C$4-$A27)+1,MATCH(C$4,Survival!$C$3:$T$3,0))))</f>
        <v/>
      </c>
      <c r="D27" s="27">
        <f>IF(D$4&lt;$A27,"",IF((D$4-$A27)&gt;45,0,INDEX(Data_Sales!$B$5:$B$65,MATCH($A27,Data_Sales!$A$5:$A$65,0))*INDEX(Survival!$C$6:$T$51,(D$4-$A27)+1,MATCH(D$4,Survival!$C$3:$T$3,0))+INDEX(Data_Sales!$C$5:$C$65,MATCH($A27,Data_Sales!$A$5:$A$65,0))*INDEX(Survival!$C$55:$T$100,(D$4-$A27)+1,MATCH(D$4,Survival!$C$3:$T$3,0))))</f>
        <v/>
      </c>
      <c r="E27" s="27">
        <f>IF(E$4&lt;$A27,"",IF((E$4-$A27)&gt;45,0,INDEX(Data_Sales!$B$5:$B$65,MATCH($A27,Data_Sales!$A$5:$A$65,0))*INDEX(Survival!$C$6:$T$51,(E$4-$A27)+1,MATCH(E$4,Survival!$C$3:$T$3,0))+INDEX(Data_Sales!$C$5:$C$65,MATCH($A27,Data_Sales!$A$5:$A$65,0))*INDEX(Survival!$C$55:$T$100,(E$4-$A27)+1,MATCH(E$4,Survival!$C$3:$T$3,0))))</f>
        <v/>
      </c>
      <c r="F27" s="27">
        <f>IF(F$4&lt;$A27,"",IF((F$4-$A27)&gt;45,0,INDEX(Data_Sales!$B$5:$B$65,MATCH($A27,Data_Sales!$A$5:$A$65,0))*INDEX(Survival!$C$6:$T$51,(F$4-$A27)+1,MATCH(F$4,Survival!$C$3:$T$3,0))+INDEX(Data_Sales!$C$5:$C$65,MATCH($A27,Data_Sales!$A$5:$A$65,0))*INDEX(Survival!$C$55:$T$100,(F$4-$A27)+1,MATCH(F$4,Survival!$C$3:$T$3,0))))</f>
        <v/>
      </c>
      <c r="G27" s="27">
        <f>IF(G$4&lt;$A27,"",IF((G$4-$A27)&gt;45,0,INDEX(Data_Sales!$B$5:$B$65,MATCH($A27,Data_Sales!$A$5:$A$65,0))*INDEX(Survival!$C$6:$T$51,(G$4-$A27)+1,MATCH(G$4,Survival!$C$3:$T$3,0))+INDEX(Data_Sales!$C$5:$C$65,MATCH($A27,Data_Sales!$A$5:$A$65,0))*INDEX(Survival!$C$55:$T$100,(G$4-$A27)+1,MATCH(G$4,Survival!$C$3:$T$3,0))))</f>
        <v/>
      </c>
      <c r="H27" s="27">
        <f>IF(H$4&lt;$A27,"",IF((H$4-$A27)&gt;45,0,INDEX(Data_Sales!$B$5:$B$65,MATCH($A27,Data_Sales!$A$5:$A$65,0))*INDEX(Survival!$C$6:$T$51,(H$4-$A27)+1,MATCH(H$4,Survival!$C$3:$T$3,0))+INDEX(Data_Sales!$C$5:$C$65,MATCH($A27,Data_Sales!$A$5:$A$65,0))*INDEX(Survival!$C$55:$T$100,(H$4-$A27)+1,MATCH(H$4,Survival!$C$3:$T$3,0))))</f>
        <v/>
      </c>
      <c r="I27" s="27">
        <f>IF(I$4&lt;$A27,"",IF((I$4-$A27)&gt;45,0,INDEX(Data_Sales!$B$5:$B$65,MATCH($A27,Data_Sales!$A$5:$A$65,0))*INDEX(Survival!$C$6:$T$51,(I$4-$A27)+1,MATCH(I$4,Survival!$C$3:$T$3,0))+INDEX(Data_Sales!$C$5:$C$65,MATCH($A27,Data_Sales!$A$5:$A$65,0))*INDEX(Survival!$C$55:$T$100,(I$4-$A27)+1,MATCH(I$4,Survival!$C$3:$T$3,0))))</f>
        <v/>
      </c>
      <c r="J27" s="27">
        <f>IF(J$4&lt;$A27,"",IF((J$4-$A27)&gt;45,0,INDEX(Data_Sales!$B$5:$B$65,MATCH($A27,Data_Sales!$A$5:$A$65,0))*INDEX(Survival!$C$6:$T$51,(J$4-$A27)+1,MATCH(J$4,Survival!$C$3:$T$3,0))+INDEX(Data_Sales!$C$5:$C$65,MATCH($A27,Data_Sales!$A$5:$A$65,0))*INDEX(Survival!$C$55:$T$100,(J$4-$A27)+1,MATCH(J$4,Survival!$C$3:$T$3,0))))</f>
        <v/>
      </c>
      <c r="K27" s="27">
        <f>IF(K$4&lt;$A27,"",IF((K$4-$A27)&gt;45,0,INDEX(Data_Sales!$B$5:$B$65,MATCH($A27,Data_Sales!$A$5:$A$65,0))*INDEX(Survival!$C$6:$T$51,(K$4-$A27)+1,MATCH(K$4,Survival!$C$3:$T$3,0))+INDEX(Data_Sales!$C$5:$C$65,MATCH($A27,Data_Sales!$A$5:$A$65,0))*INDEX(Survival!$C$55:$T$100,(K$4-$A27)+1,MATCH(K$4,Survival!$C$3:$T$3,0))))</f>
        <v/>
      </c>
      <c r="L27" s="27">
        <f>IF(L$4&lt;$A27,"",IF((L$4-$A27)&gt;45,0,INDEX(Data_Sales!$B$5:$B$65,MATCH($A27,Data_Sales!$A$5:$A$65,0))*INDEX(Survival!$C$6:$T$51,(L$4-$A27)+1,MATCH(L$4,Survival!$C$3:$T$3,0))+INDEX(Data_Sales!$C$5:$C$65,MATCH($A27,Data_Sales!$A$5:$A$65,0))*INDEX(Survival!$C$55:$T$100,(L$4-$A27)+1,MATCH(L$4,Survival!$C$3:$T$3,0))))</f>
        <v/>
      </c>
      <c r="M27" s="27">
        <f>IF(M$4&lt;$A27,"",IF((M$4-$A27)&gt;45,0,INDEX(Data_Sales!$B$5:$B$65,MATCH($A27,Data_Sales!$A$5:$A$65,0))*INDEX(Survival!$C$6:$T$51,(M$4-$A27)+1,MATCH(M$4,Survival!$C$3:$T$3,0))+INDEX(Data_Sales!$C$5:$C$65,MATCH($A27,Data_Sales!$A$5:$A$65,0))*INDEX(Survival!$C$55:$T$100,(M$4-$A27)+1,MATCH(M$4,Survival!$C$3:$T$3,0))))</f>
        <v/>
      </c>
      <c r="N27" s="27">
        <f>IF(N$4&lt;$A27,"",IF((N$4-$A27)&gt;45,0,INDEX(Data_Sales!$B$5:$B$65,MATCH($A27,Data_Sales!$A$5:$A$65,0))*INDEX(Survival!$C$6:$T$51,(N$4-$A27)+1,MATCH(N$4,Survival!$C$3:$T$3,0))+INDEX(Data_Sales!$C$5:$C$65,MATCH($A27,Data_Sales!$A$5:$A$65,0))*INDEX(Survival!$C$55:$T$100,(N$4-$A27)+1,MATCH(N$4,Survival!$C$3:$T$3,0))))</f>
        <v/>
      </c>
      <c r="O27" s="27">
        <f>IF(O$4&lt;$A27,"",IF((O$4-$A27)&gt;45,0,INDEX(Data_Sales!$B$5:$B$65,MATCH($A27,Data_Sales!$A$5:$A$65,0))*INDEX(Survival!$C$6:$T$51,(O$4-$A27)+1,MATCH(O$4,Survival!$C$3:$T$3,0))+INDEX(Data_Sales!$C$5:$C$65,MATCH($A27,Data_Sales!$A$5:$A$65,0))*INDEX(Survival!$C$55:$T$100,(O$4-$A27)+1,MATCH(O$4,Survival!$C$3:$T$3,0))))</f>
        <v/>
      </c>
      <c r="P27" s="27">
        <f>IF(P$4&lt;$A27,"",IF((P$4-$A27)&gt;45,0,INDEX(Data_Sales!$B$5:$B$65,MATCH($A27,Data_Sales!$A$5:$A$65,0))*INDEX(Survival!$C$6:$T$51,(P$4-$A27)+1,MATCH(P$4,Survival!$C$3:$T$3,0))+INDEX(Data_Sales!$C$5:$C$65,MATCH($A27,Data_Sales!$A$5:$A$65,0))*INDEX(Survival!$C$55:$T$100,(P$4-$A27)+1,MATCH(P$4,Survival!$C$3:$T$3,0))))</f>
        <v/>
      </c>
      <c r="Q27" s="27">
        <f>IF(Q$4&lt;$A27,"",IF((Q$4-$A27)&gt;45,0,INDEX(Data_Sales!$B$5:$B$65,MATCH($A27,Data_Sales!$A$5:$A$65,0))*INDEX(Survival!$C$6:$T$51,(Q$4-$A27)+1,MATCH(Q$4,Survival!$C$3:$T$3,0))+INDEX(Data_Sales!$C$5:$C$65,MATCH($A27,Data_Sales!$A$5:$A$65,0))*INDEX(Survival!$C$55:$T$100,(Q$4-$A27)+1,MATCH(Q$4,Survival!$C$3:$T$3,0))))</f>
        <v/>
      </c>
      <c r="R27" s="27">
        <f>IF(R$4&lt;$A27,"",IF((R$4-$A27)&gt;45,0,INDEX(Data_Sales!$B$5:$B$65,MATCH($A27,Data_Sales!$A$5:$A$65,0))*INDEX(Survival!$C$6:$T$51,(R$4-$A27)+1,MATCH(R$4,Survival!$C$3:$T$3,0))+INDEX(Data_Sales!$C$5:$C$65,MATCH($A27,Data_Sales!$A$5:$A$65,0))*INDEX(Survival!$C$55:$T$100,(R$4-$A27)+1,MATCH(R$4,Survival!$C$3:$T$3,0))))</f>
        <v/>
      </c>
      <c r="S27" s="27">
        <f>IF(S$4&lt;$A27,"",IF((S$4-$A27)&gt;45,0,INDEX(Data_Sales!$B$5:$B$65,MATCH($A27,Data_Sales!$A$5:$A$65,0))*INDEX(Survival!$C$6:$T$51,(S$4-$A27)+1,MATCH(S$4,Survival!$C$3:$T$3,0))+INDEX(Data_Sales!$C$5:$C$65,MATCH($A27,Data_Sales!$A$5:$A$65,0))*INDEX(Survival!$C$55:$T$100,(S$4-$A27)+1,MATCH(S$4,Survival!$C$3:$T$3,0))))</f>
        <v/>
      </c>
      <c r="T27" s="27">
        <f>IF(T$4&lt;$A27,"",IF((T$4-$A27)&gt;45,0,INDEX(Data_Sales!$B$5:$B$65,MATCH($A27,Data_Sales!$A$5:$A$65,0))*INDEX(Survival!$C$6:$T$51,(T$4-$A27)+1,MATCH(T$4,Survival!$C$3:$T$3,0))+INDEX(Data_Sales!$C$5:$C$65,MATCH($A27,Data_Sales!$A$5:$A$65,0))*INDEX(Survival!$C$55:$T$100,(T$4-$A27)+1,MATCH(T$4,Survival!$C$3:$T$3,0))))</f>
        <v/>
      </c>
    </row>
    <row r="28">
      <c r="A28" s="9" t="n">
        <v>1992</v>
      </c>
      <c r="C28" s="27">
        <f>IF(C$4&lt;$A28,"",IF((C$4-$A28)&gt;45,0,INDEX(Data_Sales!$B$5:$B$65,MATCH($A28,Data_Sales!$A$5:$A$65,0))*INDEX(Survival!$C$6:$T$51,(C$4-$A28)+1,MATCH(C$4,Survival!$C$3:$T$3,0))+INDEX(Data_Sales!$C$5:$C$65,MATCH($A28,Data_Sales!$A$5:$A$65,0))*INDEX(Survival!$C$55:$T$100,(C$4-$A28)+1,MATCH(C$4,Survival!$C$3:$T$3,0))))</f>
        <v/>
      </c>
      <c r="D28" s="27">
        <f>IF(D$4&lt;$A28,"",IF((D$4-$A28)&gt;45,0,INDEX(Data_Sales!$B$5:$B$65,MATCH($A28,Data_Sales!$A$5:$A$65,0))*INDEX(Survival!$C$6:$T$51,(D$4-$A28)+1,MATCH(D$4,Survival!$C$3:$T$3,0))+INDEX(Data_Sales!$C$5:$C$65,MATCH($A28,Data_Sales!$A$5:$A$65,0))*INDEX(Survival!$C$55:$T$100,(D$4-$A28)+1,MATCH(D$4,Survival!$C$3:$T$3,0))))</f>
        <v/>
      </c>
      <c r="E28" s="27">
        <f>IF(E$4&lt;$A28,"",IF((E$4-$A28)&gt;45,0,INDEX(Data_Sales!$B$5:$B$65,MATCH($A28,Data_Sales!$A$5:$A$65,0))*INDEX(Survival!$C$6:$T$51,(E$4-$A28)+1,MATCH(E$4,Survival!$C$3:$T$3,0))+INDEX(Data_Sales!$C$5:$C$65,MATCH($A28,Data_Sales!$A$5:$A$65,0))*INDEX(Survival!$C$55:$T$100,(E$4-$A28)+1,MATCH(E$4,Survival!$C$3:$T$3,0))))</f>
        <v/>
      </c>
      <c r="F28" s="27">
        <f>IF(F$4&lt;$A28,"",IF((F$4-$A28)&gt;45,0,INDEX(Data_Sales!$B$5:$B$65,MATCH($A28,Data_Sales!$A$5:$A$65,0))*INDEX(Survival!$C$6:$T$51,(F$4-$A28)+1,MATCH(F$4,Survival!$C$3:$T$3,0))+INDEX(Data_Sales!$C$5:$C$65,MATCH($A28,Data_Sales!$A$5:$A$65,0))*INDEX(Survival!$C$55:$T$100,(F$4-$A28)+1,MATCH(F$4,Survival!$C$3:$T$3,0))))</f>
        <v/>
      </c>
      <c r="G28" s="27">
        <f>IF(G$4&lt;$A28,"",IF((G$4-$A28)&gt;45,0,INDEX(Data_Sales!$B$5:$B$65,MATCH($A28,Data_Sales!$A$5:$A$65,0))*INDEX(Survival!$C$6:$T$51,(G$4-$A28)+1,MATCH(G$4,Survival!$C$3:$T$3,0))+INDEX(Data_Sales!$C$5:$C$65,MATCH($A28,Data_Sales!$A$5:$A$65,0))*INDEX(Survival!$C$55:$T$100,(G$4-$A28)+1,MATCH(G$4,Survival!$C$3:$T$3,0))))</f>
        <v/>
      </c>
      <c r="H28" s="27">
        <f>IF(H$4&lt;$A28,"",IF((H$4-$A28)&gt;45,0,INDEX(Data_Sales!$B$5:$B$65,MATCH($A28,Data_Sales!$A$5:$A$65,0))*INDEX(Survival!$C$6:$T$51,(H$4-$A28)+1,MATCH(H$4,Survival!$C$3:$T$3,0))+INDEX(Data_Sales!$C$5:$C$65,MATCH($A28,Data_Sales!$A$5:$A$65,0))*INDEX(Survival!$C$55:$T$100,(H$4-$A28)+1,MATCH(H$4,Survival!$C$3:$T$3,0))))</f>
        <v/>
      </c>
      <c r="I28" s="27">
        <f>IF(I$4&lt;$A28,"",IF((I$4-$A28)&gt;45,0,INDEX(Data_Sales!$B$5:$B$65,MATCH($A28,Data_Sales!$A$5:$A$65,0))*INDEX(Survival!$C$6:$T$51,(I$4-$A28)+1,MATCH(I$4,Survival!$C$3:$T$3,0))+INDEX(Data_Sales!$C$5:$C$65,MATCH($A28,Data_Sales!$A$5:$A$65,0))*INDEX(Survival!$C$55:$T$100,(I$4-$A28)+1,MATCH(I$4,Survival!$C$3:$T$3,0))))</f>
        <v/>
      </c>
      <c r="J28" s="27">
        <f>IF(J$4&lt;$A28,"",IF((J$4-$A28)&gt;45,0,INDEX(Data_Sales!$B$5:$B$65,MATCH($A28,Data_Sales!$A$5:$A$65,0))*INDEX(Survival!$C$6:$T$51,(J$4-$A28)+1,MATCH(J$4,Survival!$C$3:$T$3,0))+INDEX(Data_Sales!$C$5:$C$65,MATCH($A28,Data_Sales!$A$5:$A$65,0))*INDEX(Survival!$C$55:$T$100,(J$4-$A28)+1,MATCH(J$4,Survival!$C$3:$T$3,0))))</f>
        <v/>
      </c>
      <c r="K28" s="27">
        <f>IF(K$4&lt;$A28,"",IF((K$4-$A28)&gt;45,0,INDEX(Data_Sales!$B$5:$B$65,MATCH($A28,Data_Sales!$A$5:$A$65,0))*INDEX(Survival!$C$6:$T$51,(K$4-$A28)+1,MATCH(K$4,Survival!$C$3:$T$3,0))+INDEX(Data_Sales!$C$5:$C$65,MATCH($A28,Data_Sales!$A$5:$A$65,0))*INDEX(Survival!$C$55:$T$100,(K$4-$A28)+1,MATCH(K$4,Survival!$C$3:$T$3,0))))</f>
        <v/>
      </c>
      <c r="L28" s="27">
        <f>IF(L$4&lt;$A28,"",IF((L$4-$A28)&gt;45,0,INDEX(Data_Sales!$B$5:$B$65,MATCH($A28,Data_Sales!$A$5:$A$65,0))*INDEX(Survival!$C$6:$T$51,(L$4-$A28)+1,MATCH(L$4,Survival!$C$3:$T$3,0))+INDEX(Data_Sales!$C$5:$C$65,MATCH($A28,Data_Sales!$A$5:$A$65,0))*INDEX(Survival!$C$55:$T$100,(L$4-$A28)+1,MATCH(L$4,Survival!$C$3:$T$3,0))))</f>
        <v/>
      </c>
      <c r="M28" s="27">
        <f>IF(M$4&lt;$A28,"",IF((M$4-$A28)&gt;45,0,INDEX(Data_Sales!$B$5:$B$65,MATCH($A28,Data_Sales!$A$5:$A$65,0))*INDEX(Survival!$C$6:$T$51,(M$4-$A28)+1,MATCH(M$4,Survival!$C$3:$T$3,0))+INDEX(Data_Sales!$C$5:$C$65,MATCH($A28,Data_Sales!$A$5:$A$65,0))*INDEX(Survival!$C$55:$T$100,(M$4-$A28)+1,MATCH(M$4,Survival!$C$3:$T$3,0))))</f>
        <v/>
      </c>
      <c r="N28" s="27">
        <f>IF(N$4&lt;$A28,"",IF((N$4-$A28)&gt;45,0,INDEX(Data_Sales!$B$5:$B$65,MATCH($A28,Data_Sales!$A$5:$A$65,0))*INDEX(Survival!$C$6:$T$51,(N$4-$A28)+1,MATCH(N$4,Survival!$C$3:$T$3,0))+INDEX(Data_Sales!$C$5:$C$65,MATCH($A28,Data_Sales!$A$5:$A$65,0))*INDEX(Survival!$C$55:$T$100,(N$4-$A28)+1,MATCH(N$4,Survival!$C$3:$T$3,0))))</f>
        <v/>
      </c>
      <c r="O28" s="27">
        <f>IF(O$4&lt;$A28,"",IF((O$4-$A28)&gt;45,0,INDEX(Data_Sales!$B$5:$B$65,MATCH($A28,Data_Sales!$A$5:$A$65,0))*INDEX(Survival!$C$6:$T$51,(O$4-$A28)+1,MATCH(O$4,Survival!$C$3:$T$3,0))+INDEX(Data_Sales!$C$5:$C$65,MATCH($A28,Data_Sales!$A$5:$A$65,0))*INDEX(Survival!$C$55:$T$100,(O$4-$A28)+1,MATCH(O$4,Survival!$C$3:$T$3,0))))</f>
        <v/>
      </c>
      <c r="P28" s="27">
        <f>IF(P$4&lt;$A28,"",IF((P$4-$A28)&gt;45,0,INDEX(Data_Sales!$B$5:$B$65,MATCH($A28,Data_Sales!$A$5:$A$65,0))*INDEX(Survival!$C$6:$T$51,(P$4-$A28)+1,MATCH(P$4,Survival!$C$3:$T$3,0))+INDEX(Data_Sales!$C$5:$C$65,MATCH($A28,Data_Sales!$A$5:$A$65,0))*INDEX(Survival!$C$55:$T$100,(P$4-$A28)+1,MATCH(P$4,Survival!$C$3:$T$3,0))))</f>
        <v/>
      </c>
      <c r="Q28" s="27">
        <f>IF(Q$4&lt;$A28,"",IF((Q$4-$A28)&gt;45,0,INDEX(Data_Sales!$B$5:$B$65,MATCH($A28,Data_Sales!$A$5:$A$65,0))*INDEX(Survival!$C$6:$T$51,(Q$4-$A28)+1,MATCH(Q$4,Survival!$C$3:$T$3,0))+INDEX(Data_Sales!$C$5:$C$65,MATCH($A28,Data_Sales!$A$5:$A$65,0))*INDEX(Survival!$C$55:$T$100,(Q$4-$A28)+1,MATCH(Q$4,Survival!$C$3:$T$3,0))))</f>
        <v/>
      </c>
      <c r="R28" s="27">
        <f>IF(R$4&lt;$A28,"",IF((R$4-$A28)&gt;45,0,INDEX(Data_Sales!$B$5:$B$65,MATCH($A28,Data_Sales!$A$5:$A$65,0))*INDEX(Survival!$C$6:$T$51,(R$4-$A28)+1,MATCH(R$4,Survival!$C$3:$T$3,0))+INDEX(Data_Sales!$C$5:$C$65,MATCH($A28,Data_Sales!$A$5:$A$65,0))*INDEX(Survival!$C$55:$T$100,(R$4-$A28)+1,MATCH(R$4,Survival!$C$3:$T$3,0))))</f>
        <v/>
      </c>
      <c r="S28" s="27">
        <f>IF(S$4&lt;$A28,"",IF((S$4-$A28)&gt;45,0,INDEX(Data_Sales!$B$5:$B$65,MATCH($A28,Data_Sales!$A$5:$A$65,0))*INDEX(Survival!$C$6:$T$51,(S$4-$A28)+1,MATCH(S$4,Survival!$C$3:$T$3,0))+INDEX(Data_Sales!$C$5:$C$65,MATCH($A28,Data_Sales!$A$5:$A$65,0))*INDEX(Survival!$C$55:$T$100,(S$4-$A28)+1,MATCH(S$4,Survival!$C$3:$T$3,0))))</f>
        <v/>
      </c>
      <c r="T28" s="27">
        <f>IF(T$4&lt;$A28,"",IF((T$4-$A28)&gt;45,0,INDEX(Data_Sales!$B$5:$B$65,MATCH($A28,Data_Sales!$A$5:$A$65,0))*INDEX(Survival!$C$6:$T$51,(T$4-$A28)+1,MATCH(T$4,Survival!$C$3:$T$3,0))+INDEX(Data_Sales!$C$5:$C$65,MATCH($A28,Data_Sales!$A$5:$A$65,0))*INDEX(Survival!$C$55:$T$100,(T$4-$A28)+1,MATCH(T$4,Survival!$C$3:$T$3,0))))</f>
        <v/>
      </c>
    </row>
    <row r="29">
      <c r="A29" s="9" t="n">
        <v>1993</v>
      </c>
      <c r="C29" s="27">
        <f>IF(C$4&lt;$A29,"",IF((C$4-$A29)&gt;45,0,INDEX(Data_Sales!$B$5:$B$65,MATCH($A29,Data_Sales!$A$5:$A$65,0))*INDEX(Survival!$C$6:$T$51,(C$4-$A29)+1,MATCH(C$4,Survival!$C$3:$T$3,0))+INDEX(Data_Sales!$C$5:$C$65,MATCH($A29,Data_Sales!$A$5:$A$65,0))*INDEX(Survival!$C$55:$T$100,(C$4-$A29)+1,MATCH(C$4,Survival!$C$3:$T$3,0))))</f>
        <v/>
      </c>
      <c r="D29" s="27">
        <f>IF(D$4&lt;$A29,"",IF((D$4-$A29)&gt;45,0,INDEX(Data_Sales!$B$5:$B$65,MATCH($A29,Data_Sales!$A$5:$A$65,0))*INDEX(Survival!$C$6:$T$51,(D$4-$A29)+1,MATCH(D$4,Survival!$C$3:$T$3,0))+INDEX(Data_Sales!$C$5:$C$65,MATCH($A29,Data_Sales!$A$5:$A$65,0))*INDEX(Survival!$C$55:$T$100,(D$4-$A29)+1,MATCH(D$4,Survival!$C$3:$T$3,0))))</f>
        <v/>
      </c>
      <c r="E29" s="27">
        <f>IF(E$4&lt;$A29,"",IF((E$4-$A29)&gt;45,0,INDEX(Data_Sales!$B$5:$B$65,MATCH($A29,Data_Sales!$A$5:$A$65,0))*INDEX(Survival!$C$6:$T$51,(E$4-$A29)+1,MATCH(E$4,Survival!$C$3:$T$3,0))+INDEX(Data_Sales!$C$5:$C$65,MATCH($A29,Data_Sales!$A$5:$A$65,0))*INDEX(Survival!$C$55:$T$100,(E$4-$A29)+1,MATCH(E$4,Survival!$C$3:$T$3,0))))</f>
        <v/>
      </c>
      <c r="F29" s="27">
        <f>IF(F$4&lt;$A29,"",IF((F$4-$A29)&gt;45,0,INDEX(Data_Sales!$B$5:$B$65,MATCH($A29,Data_Sales!$A$5:$A$65,0))*INDEX(Survival!$C$6:$T$51,(F$4-$A29)+1,MATCH(F$4,Survival!$C$3:$T$3,0))+INDEX(Data_Sales!$C$5:$C$65,MATCH($A29,Data_Sales!$A$5:$A$65,0))*INDEX(Survival!$C$55:$T$100,(F$4-$A29)+1,MATCH(F$4,Survival!$C$3:$T$3,0))))</f>
        <v/>
      </c>
      <c r="G29" s="27">
        <f>IF(G$4&lt;$A29,"",IF((G$4-$A29)&gt;45,0,INDEX(Data_Sales!$B$5:$B$65,MATCH($A29,Data_Sales!$A$5:$A$65,0))*INDEX(Survival!$C$6:$T$51,(G$4-$A29)+1,MATCH(G$4,Survival!$C$3:$T$3,0))+INDEX(Data_Sales!$C$5:$C$65,MATCH($A29,Data_Sales!$A$5:$A$65,0))*INDEX(Survival!$C$55:$T$100,(G$4-$A29)+1,MATCH(G$4,Survival!$C$3:$T$3,0))))</f>
        <v/>
      </c>
      <c r="H29" s="27">
        <f>IF(H$4&lt;$A29,"",IF((H$4-$A29)&gt;45,0,INDEX(Data_Sales!$B$5:$B$65,MATCH($A29,Data_Sales!$A$5:$A$65,0))*INDEX(Survival!$C$6:$T$51,(H$4-$A29)+1,MATCH(H$4,Survival!$C$3:$T$3,0))+INDEX(Data_Sales!$C$5:$C$65,MATCH($A29,Data_Sales!$A$5:$A$65,0))*INDEX(Survival!$C$55:$T$100,(H$4-$A29)+1,MATCH(H$4,Survival!$C$3:$T$3,0))))</f>
        <v/>
      </c>
      <c r="I29" s="27">
        <f>IF(I$4&lt;$A29,"",IF((I$4-$A29)&gt;45,0,INDEX(Data_Sales!$B$5:$B$65,MATCH($A29,Data_Sales!$A$5:$A$65,0))*INDEX(Survival!$C$6:$T$51,(I$4-$A29)+1,MATCH(I$4,Survival!$C$3:$T$3,0))+INDEX(Data_Sales!$C$5:$C$65,MATCH($A29,Data_Sales!$A$5:$A$65,0))*INDEX(Survival!$C$55:$T$100,(I$4-$A29)+1,MATCH(I$4,Survival!$C$3:$T$3,0))))</f>
        <v/>
      </c>
      <c r="J29" s="27">
        <f>IF(J$4&lt;$A29,"",IF((J$4-$A29)&gt;45,0,INDEX(Data_Sales!$B$5:$B$65,MATCH($A29,Data_Sales!$A$5:$A$65,0))*INDEX(Survival!$C$6:$T$51,(J$4-$A29)+1,MATCH(J$4,Survival!$C$3:$T$3,0))+INDEX(Data_Sales!$C$5:$C$65,MATCH($A29,Data_Sales!$A$5:$A$65,0))*INDEX(Survival!$C$55:$T$100,(J$4-$A29)+1,MATCH(J$4,Survival!$C$3:$T$3,0))))</f>
        <v/>
      </c>
      <c r="K29" s="27">
        <f>IF(K$4&lt;$A29,"",IF((K$4-$A29)&gt;45,0,INDEX(Data_Sales!$B$5:$B$65,MATCH($A29,Data_Sales!$A$5:$A$65,0))*INDEX(Survival!$C$6:$T$51,(K$4-$A29)+1,MATCH(K$4,Survival!$C$3:$T$3,0))+INDEX(Data_Sales!$C$5:$C$65,MATCH($A29,Data_Sales!$A$5:$A$65,0))*INDEX(Survival!$C$55:$T$100,(K$4-$A29)+1,MATCH(K$4,Survival!$C$3:$T$3,0))))</f>
        <v/>
      </c>
      <c r="L29" s="27">
        <f>IF(L$4&lt;$A29,"",IF((L$4-$A29)&gt;45,0,INDEX(Data_Sales!$B$5:$B$65,MATCH($A29,Data_Sales!$A$5:$A$65,0))*INDEX(Survival!$C$6:$T$51,(L$4-$A29)+1,MATCH(L$4,Survival!$C$3:$T$3,0))+INDEX(Data_Sales!$C$5:$C$65,MATCH($A29,Data_Sales!$A$5:$A$65,0))*INDEX(Survival!$C$55:$T$100,(L$4-$A29)+1,MATCH(L$4,Survival!$C$3:$T$3,0))))</f>
        <v/>
      </c>
      <c r="M29" s="27">
        <f>IF(M$4&lt;$A29,"",IF((M$4-$A29)&gt;45,0,INDEX(Data_Sales!$B$5:$B$65,MATCH($A29,Data_Sales!$A$5:$A$65,0))*INDEX(Survival!$C$6:$T$51,(M$4-$A29)+1,MATCH(M$4,Survival!$C$3:$T$3,0))+INDEX(Data_Sales!$C$5:$C$65,MATCH($A29,Data_Sales!$A$5:$A$65,0))*INDEX(Survival!$C$55:$T$100,(M$4-$A29)+1,MATCH(M$4,Survival!$C$3:$T$3,0))))</f>
        <v/>
      </c>
      <c r="N29" s="27">
        <f>IF(N$4&lt;$A29,"",IF((N$4-$A29)&gt;45,0,INDEX(Data_Sales!$B$5:$B$65,MATCH($A29,Data_Sales!$A$5:$A$65,0))*INDEX(Survival!$C$6:$T$51,(N$4-$A29)+1,MATCH(N$4,Survival!$C$3:$T$3,0))+INDEX(Data_Sales!$C$5:$C$65,MATCH($A29,Data_Sales!$A$5:$A$65,0))*INDEX(Survival!$C$55:$T$100,(N$4-$A29)+1,MATCH(N$4,Survival!$C$3:$T$3,0))))</f>
        <v/>
      </c>
      <c r="O29" s="27">
        <f>IF(O$4&lt;$A29,"",IF((O$4-$A29)&gt;45,0,INDEX(Data_Sales!$B$5:$B$65,MATCH($A29,Data_Sales!$A$5:$A$65,0))*INDEX(Survival!$C$6:$T$51,(O$4-$A29)+1,MATCH(O$4,Survival!$C$3:$T$3,0))+INDEX(Data_Sales!$C$5:$C$65,MATCH($A29,Data_Sales!$A$5:$A$65,0))*INDEX(Survival!$C$55:$T$100,(O$4-$A29)+1,MATCH(O$4,Survival!$C$3:$T$3,0))))</f>
        <v/>
      </c>
      <c r="P29" s="27">
        <f>IF(P$4&lt;$A29,"",IF((P$4-$A29)&gt;45,0,INDEX(Data_Sales!$B$5:$B$65,MATCH($A29,Data_Sales!$A$5:$A$65,0))*INDEX(Survival!$C$6:$T$51,(P$4-$A29)+1,MATCH(P$4,Survival!$C$3:$T$3,0))+INDEX(Data_Sales!$C$5:$C$65,MATCH($A29,Data_Sales!$A$5:$A$65,0))*INDEX(Survival!$C$55:$T$100,(P$4-$A29)+1,MATCH(P$4,Survival!$C$3:$T$3,0))))</f>
        <v/>
      </c>
      <c r="Q29" s="27">
        <f>IF(Q$4&lt;$A29,"",IF((Q$4-$A29)&gt;45,0,INDEX(Data_Sales!$B$5:$B$65,MATCH($A29,Data_Sales!$A$5:$A$65,0))*INDEX(Survival!$C$6:$T$51,(Q$4-$A29)+1,MATCH(Q$4,Survival!$C$3:$T$3,0))+INDEX(Data_Sales!$C$5:$C$65,MATCH($A29,Data_Sales!$A$5:$A$65,0))*INDEX(Survival!$C$55:$T$100,(Q$4-$A29)+1,MATCH(Q$4,Survival!$C$3:$T$3,0))))</f>
        <v/>
      </c>
      <c r="R29" s="27">
        <f>IF(R$4&lt;$A29,"",IF((R$4-$A29)&gt;45,0,INDEX(Data_Sales!$B$5:$B$65,MATCH($A29,Data_Sales!$A$5:$A$65,0))*INDEX(Survival!$C$6:$T$51,(R$4-$A29)+1,MATCH(R$4,Survival!$C$3:$T$3,0))+INDEX(Data_Sales!$C$5:$C$65,MATCH($A29,Data_Sales!$A$5:$A$65,0))*INDEX(Survival!$C$55:$T$100,(R$4-$A29)+1,MATCH(R$4,Survival!$C$3:$T$3,0))))</f>
        <v/>
      </c>
      <c r="S29" s="27">
        <f>IF(S$4&lt;$A29,"",IF((S$4-$A29)&gt;45,0,INDEX(Data_Sales!$B$5:$B$65,MATCH($A29,Data_Sales!$A$5:$A$65,0))*INDEX(Survival!$C$6:$T$51,(S$4-$A29)+1,MATCH(S$4,Survival!$C$3:$T$3,0))+INDEX(Data_Sales!$C$5:$C$65,MATCH($A29,Data_Sales!$A$5:$A$65,0))*INDEX(Survival!$C$55:$T$100,(S$4-$A29)+1,MATCH(S$4,Survival!$C$3:$T$3,0))))</f>
        <v/>
      </c>
      <c r="T29" s="27">
        <f>IF(T$4&lt;$A29,"",IF((T$4-$A29)&gt;45,0,INDEX(Data_Sales!$B$5:$B$65,MATCH($A29,Data_Sales!$A$5:$A$65,0))*INDEX(Survival!$C$6:$T$51,(T$4-$A29)+1,MATCH(T$4,Survival!$C$3:$T$3,0))+INDEX(Data_Sales!$C$5:$C$65,MATCH($A29,Data_Sales!$A$5:$A$65,0))*INDEX(Survival!$C$55:$T$100,(T$4-$A29)+1,MATCH(T$4,Survival!$C$3:$T$3,0))))</f>
        <v/>
      </c>
    </row>
    <row r="30">
      <c r="A30" s="9" t="n">
        <v>1994</v>
      </c>
      <c r="C30" s="27">
        <f>IF(C$4&lt;$A30,"",IF((C$4-$A30)&gt;45,0,INDEX(Data_Sales!$B$5:$B$65,MATCH($A30,Data_Sales!$A$5:$A$65,0))*INDEX(Survival!$C$6:$T$51,(C$4-$A30)+1,MATCH(C$4,Survival!$C$3:$T$3,0))+INDEX(Data_Sales!$C$5:$C$65,MATCH($A30,Data_Sales!$A$5:$A$65,0))*INDEX(Survival!$C$55:$T$100,(C$4-$A30)+1,MATCH(C$4,Survival!$C$3:$T$3,0))))</f>
        <v/>
      </c>
      <c r="D30" s="27">
        <f>IF(D$4&lt;$A30,"",IF((D$4-$A30)&gt;45,0,INDEX(Data_Sales!$B$5:$B$65,MATCH($A30,Data_Sales!$A$5:$A$65,0))*INDEX(Survival!$C$6:$T$51,(D$4-$A30)+1,MATCH(D$4,Survival!$C$3:$T$3,0))+INDEX(Data_Sales!$C$5:$C$65,MATCH($A30,Data_Sales!$A$5:$A$65,0))*INDEX(Survival!$C$55:$T$100,(D$4-$A30)+1,MATCH(D$4,Survival!$C$3:$T$3,0))))</f>
        <v/>
      </c>
      <c r="E30" s="27">
        <f>IF(E$4&lt;$A30,"",IF((E$4-$A30)&gt;45,0,INDEX(Data_Sales!$B$5:$B$65,MATCH($A30,Data_Sales!$A$5:$A$65,0))*INDEX(Survival!$C$6:$T$51,(E$4-$A30)+1,MATCH(E$4,Survival!$C$3:$T$3,0))+INDEX(Data_Sales!$C$5:$C$65,MATCH($A30,Data_Sales!$A$5:$A$65,0))*INDEX(Survival!$C$55:$T$100,(E$4-$A30)+1,MATCH(E$4,Survival!$C$3:$T$3,0))))</f>
        <v/>
      </c>
      <c r="F30" s="27">
        <f>IF(F$4&lt;$A30,"",IF((F$4-$A30)&gt;45,0,INDEX(Data_Sales!$B$5:$B$65,MATCH($A30,Data_Sales!$A$5:$A$65,0))*INDEX(Survival!$C$6:$T$51,(F$4-$A30)+1,MATCH(F$4,Survival!$C$3:$T$3,0))+INDEX(Data_Sales!$C$5:$C$65,MATCH($A30,Data_Sales!$A$5:$A$65,0))*INDEX(Survival!$C$55:$T$100,(F$4-$A30)+1,MATCH(F$4,Survival!$C$3:$T$3,0))))</f>
        <v/>
      </c>
      <c r="G30" s="27">
        <f>IF(G$4&lt;$A30,"",IF((G$4-$A30)&gt;45,0,INDEX(Data_Sales!$B$5:$B$65,MATCH($A30,Data_Sales!$A$5:$A$65,0))*INDEX(Survival!$C$6:$T$51,(G$4-$A30)+1,MATCH(G$4,Survival!$C$3:$T$3,0))+INDEX(Data_Sales!$C$5:$C$65,MATCH($A30,Data_Sales!$A$5:$A$65,0))*INDEX(Survival!$C$55:$T$100,(G$4-$A30)+1,MATCH(G$4,Survival!$C$3:$T$3,0))))</f>
        <v/>
      </c>
      <c r="H30" s="27">
        <f>IF(H$4&lt;$A30,"",IF((H$4-$A30)&gt;45,0,INDEX(Data_Sales!$B$5:$B$65,MATCH($A30,Data_Sales!$A$5:$A$65,0))*INDEX(Survival!$C$6:$T$51,(H$4-$A30)+1,MATCH(H$4,Survival!$C$3:$T$3,0))+INDEX(Data_Sales!$C$5:$C$65,MATCH($A30,Data_Sales!$A$5:$A$65,0))*INDEX(Survival!$C$55:$T$100,(H$4-$A30)+1,MATCH(H$4,Survival!$C$3:$T$3,0))))</f>
        <v/>
      </c>
      <c r="I30" s="27">
        <f>IF(I$4&lt;$A30,"",IF((I$4-$A30)&gt;45,0,INDEX(Data_Sales!$B$5:$B$65,MATCH($A30,Data_Sales!$A$5:$A$65,0))*INDEX(Survival!$C$6:$T$51,(I$4-$A30)+1,MATCH(I$4,Survival!$C$3:$T$3,0))+INDEX(Data_Sales!$C$5:$C$65,MATCH($A30,Data_Sales!$A$5:$A$65,0))*INDEX(Survival!$C$55:$T$100,(I$4-$A30)+1,MATCH(I$4,Survival!$C$3:$T$3,0))))</f>
        <v/>
      </c>
      <c r="J30" s="27">
        <f>IF(J$4&lt;$A30,"",IF((J$4-$A30)&gt;45,0,INDEX(Data_Sales!$B$5:$B$65,MATCH($A30,Data_Sales!$A$5:$A$65,0))*INDEX(Survival!$C$6:$T$51,(J$4-$A30)+1,MATCH(J$4,Survival!$C$3:$T$3,0))+INDEX(Data_Sales!$C$5:$C$65,MATCH($A30,Data_Sales!$A$5:$A$65,0))*INDEX(Survival!$C$55:$T$100,(J$4-$A30)+1,MATCH(J$4,Survival!$C$3:$T$3,0))))</f>
        <v/>
      </c>
      <c r="K30" s="27">
        <f>IF(K$4&lt;$A30,"",IF((K$4-$A30)&gt;45,0,INDEX(Data_Sales!$B$5:$B$65,MATCH($A30,Data_Sales!$A$5:$A$65,0))*INDEX(Survival!$C$6:$T$51,(K$4-$A30)+1,MATCH(K$4,Survival!$C$3:$T$3,0))+INDEX(Data_Sales!$C$5:$C$65,MATCH($A30,Data_Sales!$A$5:$A$65,0))*INDEX(Survival!$C$55:$T$100,(K$4-$A30)+1,MATCH(K$4,Survival!$C$3:$T$3,0))))</f>
        <v/>
      </c>
      <c r="L30" s="27">
        <f>IF(L$4&lt;$A30,"",IF((L$4-$A30)&gt;45,0,INDEX(Data_Sales!$B$5:$B$65,MATCH($A30,Data_Sales!$A$5:$A$65,0))*INDEX(Survival!$C$6:$T$51,(L$4-$A30)+1,MATCH(L$4,Survival!$C$3:$T$3,0))+INDEX(Data_Sales!$C$5:$C$65,MATCH($A30,Data_Sales!$A$5:$A$65,0))*INDEX(Survival!$C$55:$T$100,(L$4-$A30)+1,MATCH(L$4,Survival!$C$3:$T$3,0))))</f>
        <v/>
      </c>
      <c r="M30" s="27">
        <f>IF(M$4&lt;$A30,"",IF((M$4-$A30)&gt;45,0,INDEX(Data_Sales!$B$5:$B$65,MATCH($A30,Data_Sales!$A$5:$A$65,0))*INDEX(Survival!$C$6:$T$51,(M$4-$A30)+1,MATCH(M$4,Survival!$C$3:$T$3,0))+INDEX(Data_Sales!$C$5:$C$65,MATCH($A30,Data_Sales!$A$5:$A$65,0))*INDEX(Survival!$C$55:$T$100,(M$4-$A30)+1,MATCH(M$4,Survival!$C$3:$T$3,0))))</f>
        <v/>
      </c>
      <c r="N30" s="27">
        <f>IF(N$4&lt;$A30,"",IF((N$4-$A30)&gt;45,0,INDEX(Data_Sales!$B$5:$B$65,MATCH($A30,Data_Sales!$A$5:$A$65,0))*INDEX(Survival!$C$6:$T$51,(N$4-$A30)+1,MATCH(N$4,Survival!$C$3:$T$3,0))+INDEX(Data_Sales!$C$5:$C$65,MATCH($A30,Data_Sales!$A$5:$A$65,0))*INDEX(Survival!$C$55:$T$100,(N$4-$A30)+1,MATCH(N$4,Survival!$C$3:$T$3,0))))</f>
        <v/>
      </c>
      <c r="O30" s="27">
        <f>IF(O$4&lt;$A30,"",IF((O$4-$A30)&gt;45,0,INDEX(Data_Sales!$B$5:$B$65,MATCH($A30,Data_Sales!$A$5:$A$65,0))*INDEX(Survival!$C$6:$T$51,(O$4-$A30)+1,MATCH(O$4,Survival!$C$3:$T$3,0))+INDEX(Data_Sales!$C$5:$C$65,MATCH($A30,Data_Sales!$A$5:$A$65,0))*INDEX(Survival!$C$55:$T$100,(O$4-$A30)+1,MATCH(O$4,Survival!$C$3:$T$3,0))))</f>
        <v/>
      </c>
      <c r="P30" s="27">
        <f>IF(P$4&lt;$A30,"",IF((P$4-$A30)&gt;45,0,INDEX(Data_Sales!$B$5:$B$65,MATCH($A30,Data_Sales!$A$5:$A$65,0))*INDEX(Survival!$C$6:$T$51,(P$4-$A30)+1,MATCH(P$4,Survival!$C$3:$T$3,0))+INDEX(Data_Sales!$C$5:$C$65,MATCH($A30,Data_Sales!$A$5:$A$65,0))*INDEX(Survival!$C$55:$T$100,(P$4-$A30)+1,MATCH(P$4,Survival!$C$3:$T$3,0))))</f>
        <v/>
      </c>
      <c r="Q30" s="27">
        <f>IF(Q$4&lt;$A30,"",IF((Q$4-$A30)&gt;45,0,INDEX(Data_Sales!$B$5:$B$65,MATCH($A30,Data_Sales!$A$5:$A$65,0))*INDEX(Survival!$C$6:$T$51,(Q$4-$A30)+1,MATCH(Q$4,Survival!$C$3:$T$3,0))+INDEX(Data_Sales!$C$5:$C$65,MATCH($A30,Data_Sales!$A$5:$A$65,0))*INDEX(Survival!$C$55:$T$100,(Q$4-$A30)+1,MATCH(Q$4,Survival!$C$3:$T$3,0))))</f>
        <v/>
      </c>
      <c r="R30" s="27">
        <f>IF(R$4&lt;$A30,"",IF((R$4-$A30)&gt;45,0,INDEX(Data_Sales!$B$5:$B$65,MATCH($A30,Data_Sales!$A$5:$A$65,0))*INDEX(Survival!$C$6:$T$51,(R$4-$A30)+1,MATCH(R$4,Survival!$C$3:$T$3,0))+INDEX(Data_Sales!$C$5:$C$65,MATCH($A30,Data_Sales!$A$5:$A$65,0))*INDEX(Survival!$C$55:$T$100,(R$4-$A30)+1,MATCH(R$4,Survival!$C$3:$T$3,0))))</f>
        <v/>
      </c>
      <c r="S30" s="27">
        <f>IF(S$4&lt;$A30,"",IF((S$4-$A30)&gt;45,0,INDEX(Data_Sales!$B$5:$B$65,MATCH($A30,Data_Sales!$A$5:$A$65,0))*INDEX(Survival!$C$6:$T$51,(S$4-$A30)+1,MATCH(S$4,Survival!$C$3:$T$3,0))+INDEX(Data_Sales!$C$5:$C$65,MATCH($A30,Data_Sales!$A$5:$A$65,0))*INDEX(Survival!$C$55:$T$100,(S$4-$A30)+1,MATCH(S$4,Survival!$C$3:$T$3,0))))</f>
        <v/>
      </c>
      <c r="T30" s="27">
        <f>IF(T$4&lt;$A30,"",IF((T$4-$A30)&gt;45,0,INDEX(Data_Sales!$B$5:$B$65,MATCH($A30,Data_Sales!$A$5:$A$65,0))*INDEX(Survival!$C$6:$T$51,(T$4-$A30)+1,MATCH(T$4,Survival!$C$3:$T$3,0))+INDEX(Data_Sales!$C$5:$C$65,MATCH($A30,Data_Sales!$A$5:$A$65,0))*INDEX(Survival!$C$55:$T$100,(T$4-$A30)+1,MATCH(T$4,Survival!$C$3:$T$3,0))))</f>
        <v/>
      </c>
    </row>
    <row r="31">
      <c r="A31" s="9" t="n">
        <v>1995</v>
      </c>
      <c r="C31" s="27">
        <f>IF(C$4&lt;$A31,"",IF((C$4-$A31)&gt;45,0,INDEX(Data_Sales!$B$5:$B$65,MATCH($A31,Data_Sales!$A$5:$A$65,0))*INDEX(Survival!$C$6:$T$51,(C$4-$A31)+1,MATCH(C$4,Survival!$C$3:$T$3,0))+INDEX(Data_Sales!$C$5:$C$65,MATCH($A31,Data_Sales!$A$5:$A$65,0))*INDEX(Survival!$C$55:$T$100,(C$4-$A31)+1,MATCH(C$4,Survival!$C$3:$T$3,0))))</f>
        <v/>
      </c>
      <c r="D31" s="27">
        <f>IF(D$4&lt;$A31,"",IF((D$4-$A31)&gt;45,0,INDEX(Data_Sales!$B$5:$B$65,MATCH($A31,Data_Sales!$A$5:$A$65,0))*INDEX(Survival!$C$6:$T$51,(D$4-$A31)+1,MATCH(D$4,Survival!$C$3:$T$3,0))+INDEX(Data_Sales!$C$5:$C$65,MATCH($A31,Data_Sales!$A$5:$A$65,0))*INDEX(Survival!$C$55:$T$100,(D$4-$A31)+1,MATCH(D$4,Survival!$C$3:$T$3,0))))</f>
        <v/>
      </c>
      <c r="E31" s="27">
        <f>IF(E$4&lt;$A31,"",IF((E$4-$A31)&gt;45,0,INDEX(Data_Sales!$B$5:$B$65,MATCH($A31,Data_Sales!$A$5:$A$65,0))*INDEX(Survival!$C$6:$T$51,(E$4-$A31)+1,MATCH(E$4,Survival!$C$3:$T$3,0))+INDEX(Data_Sales!$C$5:$C$65,MATCH($A31,Data_Sales!$A$5:$A$65,0))*INDEX(Survival!$C$55:$T$100,(E$4-$A31)+1,MATCH(E$4,Survival!$C$3:$T$3,0))))</f>
        <v/>
      </c>
      <c r="F31" s="27">
        <f>IF(F$4&lt;$A31,"",IF((F$4-$A31)&gt;45,0,INDEX(Data_Sales!$B$5:$B$65,MATCH($A31,Data_Sales!$A$5:$A$65,0))*INDEX(Survival!$C$6:$T$51,(F$4-$A31)+1,MATCH(F$4,Survival!$C$3:$T$3,0))+INDEX(Data_Sales!$C$5:$C$65,MATCH($A31,Data_Sales!$A$5:$A$65,0))*INDEX(Survival!$C$55:$T$100,(F$4-$A31)+1,MATCH(F$4,Survival!$C$3:$T$3,0))))</f>
        <v/>
      </c>
      <c r="G31" s="27">
        <f>IF(G$4&lt;$A31,"",IF((G$4-$A31)&gt;45,0,INDEX(Data_Sales!$B$5:$B$65,MATCH($A31,Data_Sales!$A$5:$A$65,0))*INDEX(Survival!$C$6:$T$51,(G$4-$A31)+1,MATCH(G$4,Survival!$C$3:$T$3,0))+INDEX(Data_Sales!$C$5:$C$65,MATCH($A31,Data_Sales!$A$5:$A$65,0))*INDEX(Survival!$C$55:$T$100,(G$4-$A31)+1,MATCH(G$4,Survival!$C$3:$T$3,0))))</f>
        <v/>
      </c>
      <c r="H31" s="27">
        <f>IF(H$4&lt;$A31,"",IF((H$4-$A31)&gt;45,0,INDEX(Data_Sales!$B$5:$B$65,MATCH($A31,Data_Sales!$A$5:$A$65,0))*INDEX(Survival!$C$6:$T$51,(H$4-$A31)+1,MATCH(H$4,Survival!$C$3:$T$3,0))+INDEX(Data_Sales!$C$5:$C$65,MATCH($A31,Data_Sales!$A$5:$A$65,0))*INDEX(Survival!$C$55:$T$100,(H$4-$A31)+1,MATCH(H$4,Survival!$C$3:$T$3,0))))</f>
        <v/>
      </c>
      <c r="I31" s="27">
        <f>IF(I$4&lt;$A31,"",IF((I$4-$A31)&gt;45,0,INDEX(Data_Sales!$B$5:$B$65,MATCH($A31,Data_Sales!$A$5:$A$65,0))*INDEX(Survival!$C$6:$T$51,(I$4-$A31)+1,MATCH(I$4,Survival!$C$3:$T$3,0))+INDEX(Data_Sales!$C$5:$C$65,MATCH($A31,Data_Sales!$A$5:$A$65,0))*INDEX(Survival!$C$55:$T$100,(I$4-$A31)+1,MATCH(I$4,Survival!$C$3:$T$3,0))))</f>
        <v/>
      </c>
      <c r="J31" s="27">
        <f>IF(J$4&lt;$A31,"",IF((J$4-$A31)&gt;45,0,INDEX(Data_Sales!$B$5:$B$65,MATCH($A31,Data_Sales!$A$5:$A$65,0))*INDEX(Survival!$C$6:$T$51,(J$4-$A31)+1,MATCH(J$4,Survival!$C$3:$T$3,0))+INDEX(Data_Sales!$C$5:$C$65,MATCH($A31,Data_Sales!$A$5:$A$65,0))*INDEX(Survival!$C$55:$T$100,(J$4-$A31)+1,MATCH(J$4,Survival!$C$3:$T$3,0))))</f>
        <v/>
      </c>
      <c r="K31" s="27">
        <f>IF(K$4&lt;$A31,"",IF((K$4-$A31)&gt;45,0,INDEX(Data_Sales!$B$5:$B$65,MATCH($A31,Data_Sales!$A$5:$A$65,0))*INDEX(Survival!$C$6:$T$51,(K$4-$A31)+1,MATCH(K$4,Survival!$C$3:$T$3,0))+INDEX(Data_Sales!$C$5:$C$65,MATCH($A31,Data_Sales!$A$5:$A$65,0))*INDEX(Survival!$C$55:$T$100,(K$4-$A31)+1,MATCH(K$4,Survival!$C$3:$T$3,0))))</f>
        <v/>
      </c>
      <c r="L31" s="27">
        <f>IF(L$4&lt;$A31,"",IF((L$4-$A31)&gt;45,0,INDEX(Data_Sales!$B$5:$B$65,MATCH($A31,Data_Sales!$A$5:$A$65,0))*INDEX(Survival!$C$6:$T$51,(L$4-$A31)+1,MATCH(L$4,Survival!$C$3:$T$3,0))+INDEX(Data_Sales!$C$5:$C$65,MATCH($A31,Data_Sales!$A$5:$A$65,0))*INDEX(Survival!$C$55:$T$100,(L$4-$A31)+1,MATCH(L$4,Survival!$C$3:$T$3,0))))</f>
        <v/>
      </c>
      <c r="M31" s="27">
        <f>IF(M$4&lt;$A31,"",IF((M$4-$A31)&gt;45,0,INDEX(Data_Sales!$B$5:$B$65,MATCH($A31,Data_Sales!$A$5:$A$65,0))*INDEX(Survival!$C$6:$T$51,(M$4-$A31)+1,MATCH(M$4,Survival!$C$3:$T$3,0))+INDEX(Data_Sales!$C$5:$C$65,MATCH($A31,Data_Sales!$A$5:$A$65,0))*INDEX(Survival!$C$55:$T$100,(M$4-$A31)+1,MATCH(M$4,Survival!$C$3:$T$3,0))))</f>
        <v/>
      </c>
      <c r="N31" s="27">
        <f>IF(N$4&lt;$A31,"",IF((N$4-$A31)&gt;45,0,INDEX(Data_Sales!$B$5:$B$65,MATCH($A31,Data_Sales!$A$5:$A$65,0))*INDEX(Survival!$C$6:$T$51,(N$4-$A31)+1,MATCH(N$4,Survival!$C$3:$T$3,0))+INDEX(Data_Sales!$C$5:$C$65,MATCH($A31,Data_Sales!$A$5:$A$65,0))*INDEX(Survival!$C$55:$T$100,(N$4-$A31)+1,MATCH(N$4,Survival!$C$3:$T$3,0))))</f>
        <v/>
      </c>
      <c r="O31" s="27">
        <f>IF(O$4&lt;$A31,"",IF((O$4-$A31)&gt;45,0,INDEX(Data_Sales!$B$5:$B$65,MATCH($A31,Data_Sales!$A$5:$A$65,0))*INDEX(Survival!$C$6:$T$51,(O$4-$A31)+1,MATCH(O$4,Survival!$C$3:$T$3,0))+INDEX(Data_Sales!$C$5:$C$65,MATCH($A31,Data_Sales!$A$5:$A$65,0))*INDEX(Survival!$C$55:$T$100,(O$4-$A31)+1,MATCH(O$4,Survival!$C$3:$T$3,0))))</f>
        <v/>
      </c>
      <c r="P31" s="27">
        <f>IF(P$4&lt;$A31,"",IF((P$4-$A31)&gt;45,0,INDEX(Data_Sales!$B$5:$B$65,MATCH($A31,Data_Sales!$A$5:$A$65,0))*INDEX(Survival!$C$6:$T$51,(P$4-$A31)+1,MATCH(P$4,Survival!$C$3:$T$3,0))+INDEX(Data_Sales!$C$5:$C$65,MATCH($A31,Data_Sales!$A$5:$A$65,0))*INDEX(Survival!$C$55:$T$100,(P$4-$A31)+1,MATCH(P$4,Survival!$C$3:$T$3,0))))</f>
        <v/>
      </c>
      <c r="Q31" s="27">
        <f>IF(Q$4&lt;$A31,"",IF((Q$4-$A31)&gt;45,0,INDEX(Data_Sales!$B$5:$B$65,MATCH($A31,Data_Sales!$A$5:$A$65,0))*INDEX(Survival!$C$6:$T$51,(Q$4-$A31)+1,MATCH(Q$4,Survival!$C$3:$T$3,0))+INDEX(Data_Sales!$C$5:$C$65,MATCH($A31,Data_Sales!$A$5:$A$65,0))*INDEX(Survival!$C$55:$T$100,(Q$4-$A31)+1,MATCH(Q$4,Survival!$C$3:$T$3,0))))</f>
        <v/>
      </c>
      <c r="R31" s="27">
        <f>IF(R$4&lt;$A31,"",IF((R$4-$A31)&gt;45,0,INDEX(Data_Sales!$B$5:$B$65,MATCH($A31,Data_Sales!$A$5:$A$65,0))*INDEX(Survival!$C$6:$T$51,(R$4-$A31)+1,MATCH(R$4,Survival!$C$3:$T$3,0))+INDEX(Data_Sales!$C$5:$C$65,MATCH($A31,Data_Sales!$A$5:$A$65,0))*INDEX(Survival!$C$55:$T$100,(R$4-$A31)+1,MATCH(R$4,Survival!$C$3:$T$3,0))))</f>
        <v/>
      </c>
      <c r="S31" s="27">
        <f>IF(S$4&lt;$A31,"",IF((S$4-$A31)&gt;45,0,INDEX(Data_Sales!$B$5:$B$65,MATCH($A31,Data_Sales!$A$5:$A$65,0))*INDEX(Survival!$C$6:$T$51,(S$4-$A31)+1,MATCH(S$4,Survival!$C$3:$T$3,0))+INDEX(Data_Sales!$C$5:$C$65,MATCH($A31,Data_Sales!$A$5:$A$65,0))*INDEX(Survival!$C$55:$T$100,(S$4-$A31)+1,MATCH(S$4,Survival!$C$3:$T$3,0))))</f>
        <v/>
      </c>
      <c r="T31" s="27">
        <f>IF(T$4&lt;$A31,"",IF((T$4-$A31)&gt;45,0,INDEX(Data_Sales!$B$5:$B$65,MATCH($A31,Data_Sales!$A$5:$A$65,0))*INDEX(Survival!$C$6:$T$51,(T$4-$A31)+1,MATCH(T$4,Survival!$C$3:$T$3,0))+INDEX(Data_Sales!$C$5:$C$65,MATCH($A31,Data_Sales!$A$5:$A$65,0))*INDEX(Survival!$C$55:$T$100,(T$4-$A31)+1,MATCH(T$4,Survival!$C$3:$T$3,0))))</f>
        <v/>
      </c>
    </row>
    <row r="32">
      <c r="A32" s="9" t="n">
        <v>1996</v>
      </c>
      <c r="C32" s="27">
        <f>IF(C$4&lt;$A32,"",IF((C$4-$A32)&gt;45,0,INDEX(Data_Sales!$B$5:$B$65,MATCH($A32,Data_Sales!$A$5:$A$65,0))*INDEX(Survival!$C$6:$T$51,(C$4-$A32)+1,MATCH(C$4,Survival!$C$3:$T$3,0))+INDEX(Data_Sales!$C$5:$C$65,MATCH($A32,Data_Sales!$A$5:$A$65,0))*INDEX(Survival!$C$55:$T$100,(C$4-$A32)+1,MATCH(C$4,Survival!$C$3:$T$3,0))))</f>
        <v/>
      </c>
      <c r="D32" s="27">
        <f>IF(D$4&lt;$A32,"",IF((D$4-$A32)&gt;45,0,INDEX(Data_Sales!$B$5:$B$65,MATCH($A32,Data_Sales!$A$5:$A$65,0))*INDEX(Survival!$C$6:$T$51,(D$4-$A32)+1,MATCH(D$4,Survival!$C$3:$T$3,0))+INDEX(Data_Sales!$C$5:$C$65,MATCH($A32,Data_Sales!$A$5:$A$65,0))*INDEX(Survival!$C$55:$T$100,(D$4-$A32)+1,MATCH(D$4,Survival!$C$3:$T$3,0))))</f>
        <v/>
      </c>
      <c r="E32" s="27">
        <f>IF(E$4&lt;$A32,"",IF((E$4-$A32)&gt;45,0,INDEX(Data_Sales!$B$5:$B$65,MATCH($A32,Data_Sales!$A$5:$A$65,0))*INDEX(Survival!$C$6:$T$51,(E$4-$A32)+1,MATCH(E$4,Survival!$C$3:$T$3,0))+INDEX(Data_Sales!$C$5:$C$65,MATCH($A32,Data_Sales!$A$5:$A$65,0))*INDEX(Survival!$C$55:$T$100,(E$4-$A32)+1,MATCH(E$4,Survival!$C$3:$T$3,0))))</f>
        <v/>
      </c>
      <c r="F32" s="27">
        <f>IF(F$4&lt;$A32,"",IF((F$4-$A32)&gt;45,0,INDEX(Data_Sales!$B$5:$B$65,MATCH($A32,Data_Sales!$A$5:$A$65,0))*INDEX(Survival!$C$6:$T$51,(F$4-$A32)+1,MATCH(F$4,Survival!$C$3:$T$3,0))+INDEX(Data_Sales!$C$5:$C$65,MATCH($A32,Data_Sales!$A$5:$A$65,0))*INDEX(Survival!$C$55:$T$100,(F$4-$A32)+1,MATCH(F$4,Survival!$C$3:$T$3,0))))</f>
        <v/>
      </c>
      <c r="G32" s="27">
        <f>IF(G$4&lt;$A32,"",IF((G$4-$A32)&gt;45,0,INDEX(Data_Sales!$B$5:$B$65,MATCH($A32,Data_Sales!$A$5:$A$65,0))*INDEX(Survival!$C$6:$T$51,(G$4-$A32)+1,MATCH(G$4,Survival!$C$3:$T$3,0))+INDEX(Data_Sales!$C$5:$C$65,MATCH($A32,Data_Sales!$A$5:$A$65,0))*INDEX(Survival!$C$55:$T$100,(G$4-$A32)+1,MATCH(G$4,Survival!$C$3:$T$3,0))))</f>
        <v/>
      </c>
      <c r="H32" s="27">
        <f>IF(H$4&lt;$A32,"",IF((H$4-$A32)&gt;45,0,INDEX(Data_Sales!$B$5:$B$65,MATCH($A32,Data_Sales!$A$5:$A$65,0))*INDEX(Survival!$C$6:$T$51,(H$4-$A32)+1,MATCH(H$4,Survival!$C$3:$T$3,0))+INDEX(Data_Sales!$C$5:$C$65,MATCH($A32,Data_Sales!$A$5:$A$65,0))*INDEX(Survival!$C$55:$T$100,(H$4-$A32)+1,MATCH(H$4,Survival!$C$3:$T$3,0))))</f>
        <v/>
      </c>
      <c r="I32" s="27">
        <f>IF(I$4&lt;$A32,"",IF((I$4-$A32)&gt;45,0,INDEX(Data_Sales!$B$5:$B$65,MATCH($A32,Data_Sales!$A$5:$A$65,0))*INDEX(Survival!$C$6:$T$51,(I$4-$A32)+1,MATCH(I$4,Survival!$C$3:$T$3,0))+INDEX(Data_Sales!$C$5:$C$65,MATCH($A32,Data_Sales!$A$5:$A$65,0))*INDEX(Survival!$C$55:$T$100,(I$4-$A32)+1,MATCH(I$4,Survival!$C$3:$T$3,0))))</f>
        <v/>
      </c>
      <c r="J32" s="27">
        <f>IF(J$4&lt;$A32,"",IF((J$4-$A32)&gt;45,0,INDEX(Data_Sales!$B$5:$B$65,MATCH($A32,Data_Sales!$A$5:$A$65,0))*INDEX(Survival!$C$6:$T$51,(J$4-$A32)+1,MATCH(J$4,Survival!$C$3:$T$3,0))+INDEX(Data_Sales!$C$5:$C$65,MATCH($A32,Data_Sales!$A$5:$A$65,0))*INDEX(Survival!$C$55:$T$100,(J$4-$A32)+1,MATCH(J$4,Survival!$C$3:$T$3,0))))</f>
        <v/>
      </c>
      <c r="K32" s="27">
        <f>IF(K$4&lt;$A32,"",IF((K$4-$A32)&gt;45,0,INDEX(Data_Sales!$B$5:$B$65,MATCH($A32,Data_Sales!$A$5:$A$65,0))*INDEX(Survival!$C$6:$T$51,(K$4-$A32)+1,MATCH(K$4,Survival!$C$3:$T$3,0))+INDEX(Data_Sales!$C$5:$C$65,MATCH($A32,Data_Sales!$A$5:$A$65,0))*INDEX(Survival!$C$55:$T$100,(K$4-$A32)+1,MATCH(K$4,Survival!$C$3:$T$3,0))))</f>
        <v/>
      </c>
      <c r="L32" s="27">
        <f>IF(L$4&lt;$A32,"",IF((L$4-$A32)&gt;45,0,INDEX(Data_Sales!$B$5:$B$65,MATCH($A32,Data_Sales!$A$5:$A$65,0))*INDEX(Survival!$C$6:$T$51,(L$4-$A32)+1,MATCH(L$4,Survival!$C$3:$T$3,0))+INDEX(Data_Sales!$C$5:$C$65,MATCH($A32,Data_Sales!$A$5:$A$65,0))*INDEX(Survival!$C$55:$T$100,(L$4-$A32)+1,MATCH(L$4,Survival!$C$3:$T$3,0))))</f>
        <v/>
      </c>
      <c r="M32" s="27">
        <f>IF(M$4&lt;$A32,"",IF((M$4-$A32)&gt;45,0,INDEX(Data_Sales!$B$5:$B$65,MATCH($A32,Data_Sales!$A$5:$A$65,0))*INDEX(Survival!$C$6:$T$51,(M$4-$A32)+1,MATCH(M$4,Survival!$C$3:$T$3,0))+INDEX(Data_Sales!$C$5:$C$65,MATCH($A32,Data_Sales!$A$5:$A$65,0))*INDEX(Survival!$C$55:$T$100,(M$4-$A32)+1,MATCH(M$4,Survival!$C$3:$T$3,0))))</f>
        <v/>
      </c>
      <c r="N32" s="27">
        <f>IF(N$4&lt;$A32,"",IF((N$4-$A32)&gt;45,0,INDEX(Data_Sales!$B$5:$B$65,MATCH($A32,Data_Sales!$A$5:$A$65,0))*INDEX(Survival!$C$6:$T$51,(N$4-$A32)+1,MATCH(N$4,Survival!$C$3:$T$3,0))+INDEX(Data_Sales!$C$5:$C$65,MATCH($A32,Data_Sales!$A$5:$A$65,0))*INDEX(Survival!$C$55:$T$100,(N$4-$A32)+1,MATCH(N$4,Survival!$C$3:$T$3,0))))</f>
        <v/>
      </c>
      <c r="O32" s="27">
        <f>IF(O$4&lt;$A32,"",IF((O$4-$A32)&gt;45,0,INDEX(Data_Sales!$B$5:$B$65,MATCH($A32,Data_Sales!$A$5:$A$65,0))*INDEX(Survival!$C$6:$T$51,(O$4-$A32)+1,MATCH(O$4,Survival!$C$3:$T$3,0))+INDEX(Data_Sales!$C$5:$C$65,MATCH($A32,Data_Sales!$A$5:$A$65,0))*INDEX(Survival!$C$55:$T$100,(O$4-$A32)+1,MATCH(O$4,Survival!$C$3:$T$3,0))))</f>
        <v/>
      </c>
      <c r="P32" s="27">
        <f>IF(P$4&lt;$A32,"",IF((P$4-$A32)&gt;45,0,INDEX(Data_Sales!$B$5:$B$65,MATCH($A32,Data_Sales!$A$5:$A$65,0))*INDEX(Survival!$C$6:$T$51,(P$4-$A32)+1,MATCH(P$4,Survival!$C$3:$T$3,0))+INDEX(Data_Sales!$C$5:$C$65,MATCH($A32,Data_Sales!$A$5:$A$65,0))*INDEX(Survival!$C$55:$T$100,(P$4-$A32)+1,MATCH(P$4,Survival!$C$3:$T$3,0))))</f>
        <v/>
      </c>
      <c r="Q32" s="27">
        <f>IF(Q$4&lt;$A32,"",IF((Q$4-$A32)&gt;45,0,INDEX(Data_Sales!$B$5:$B$65,MATCH($A32,Data_Sales!$A$5:$A$65,0))*INDEX(Survival!$C$6:$T$51,(Q$4-$A32)+1,MATCH(Q$4,Survival!$C$3:$T$3,0))+INDEX(Data_Sales!$C$5:$C$65,MATCH($A32,Data_Sales!$A$5:$A$65,0))*INDEX(Survival!$C$55:$T$100,(Q$4-$A32)+1,MATCH(Q$4,Survival!$C$3:$T$3,0))))</f>
        <v/>
      </c>
      <c r="R32" s="27">
        <f>IF(R$4&lt;$A32,"",IF((R$4-$A32)&gt;45,0,INDEX(Data_Sales!$B$5:$B$65,MATCH($A32,Data_Sales!$A$5:$A$65,0))*INDEX(Survival!$C$6:$T$51,(R$4-$A32)+1,MATCH(R$4,Survival!$C$3:$T$3,0))+INDEX(Data_Sales!$C$5:$C$65,MATCH($A32,Data_Sales!$A$5:$A$65,0))*INDEX(Survival!$C$55:$T$100,(R$4-$A32)+1,MATCH(R$4,Survival!$C$3:$T$3,0))))</f>
        <v/>
      </c>
      <c r="S32" s="27">
        <f>IF(S$4&lt;$A32,"",IF((S$4-$A32)&gt;45,0,INDEX(Data_Sales!$B$5:$B$65,MATCH($A32,Data_Sales!$A$5:$A$65,0))*INDEX(Survival!$C$6:$T$51,(S$4-$A32)+1,MATCH(S$4,Survival!$C$3:$T$3,0))+INDEX(Data_Sales!$C$5:$C$65,MATCH($A32,Data_Sales!$A$5:$A$65,0))*INDEX(Survival!$C$55:$T$100,(S$4-$A32)+1,MATCH(S$4,Survival!$C$3:$T$3,0))))</f>
        <v/>
      </c>
      <c r="T32" s="27">
        <f>IF(T$4&lt;$A32,"",IF((T$4-$A32)&gt;45,0,INDEX(Data_Sales!$B$5:$B$65,MATCH($A32,Data_Sales!$A$5:$A$65,0))*INDEX(Survival!$C$6:$T$51,(T$4-$A32)+1,MATCH(T$4,Survival!$C$3:$T$3,0))+INDEX(Data_Sales!$C$5:$C$65,MATCH($A32,Data_Sales!$A$5:$A$65,0))*INDEX(Survival!$C$55:$T$100,(T$4-$A32)+1,MATCH(T$4,Survival!$C$3:$T$3,0))))</f>
        <v/>
      </c>
    </row>
    <row r="33">
      <c r="A33" s="9" t="n">
        <v>1997</v>
      </c>
      <c r="C33" s="27">
        <f>IF(C$4&lt;$A33,"",IF((C$4-$A33)&gt;45,0,INDEX(Data_Sales!$B$5:$B$65,MATCH($A33,Data_Sales!$A$5:$A$65,0))*INDEX(Survival!$C$6:$T$51,(C$4-$A33)+1,MATCH(C$4,Survival!$C$3:$T$3,0))+INDEX(Data_Sales!$C$5:$C$65,MATCH($A33,Data_Sales!$A$5:$A$65,0))*INDEX(Survival!$C$55:$T$100,(C$4-$A33)+1,MATCH(C$4,Survival!$C$3:$T$3,0))))</f>
        <v/>
      </c>
      <c r="D33" s="27">
        <f>IF(D$4&lt;$A33,"",IF((D$4-$A33)&gt;45,0,INDEX(Data_Sales!$B$5:$B$65,MATCH($A33,Data_Sales!$A$5:$A$65,0))*INDEX(Survival!$C$6:$T$51,(D$4-$A33)+1,MATCH(D$4,Survival!$C$3:$T$3,0))+INDEX(Data_Sales!$C$5:$C$65,MATCH($A33,Data_Sales!$A$5:$A$65,0))*INDEX(Survival!$C$55:$T$100,(D$4-$A33)+1,MATCH(D$4,Survival!$C$3:$T$3,0))))</f>
        <v/>
      </c>
      <c r="E33" s="27">
        <f>IF(E$4&lt;$A33,"",IF((E$4-$A33)&gt;45,0,INDEX(Data_Sales!$B$5:$B$65,MATCH($A33,Data_Sales!$A$5:$A$65,0))*INDEX(Survival!$C$6:$T$51,(E$4-$A33)+1,MATCH(E$4,Survival!$C$3:$T$3,0))+INDEX(Data_Sales!$C$5:$C$65,MATCH($A33,Data_Sales!$A$5:$A$65,0))*INDEX(Survival!$C$55:$T$100,(E$4-$A33)+1,MATCH(E$4,Survival!$C$3:$T$3,0))))</f>
        <v/>
      </c>
      <c r="F33" s="27">
        <f>IF(F$4&lt;$A33,"",IF((F$4-$A33)&gt;45,0,INDEX(Data_Sales!$B$5:$B$65,MATCH($A33,Data_Sales!$A$5:$A$65,0))*INDEX(Survival!$C$6:$T$51,(F$4-$A33)+1,MATCH(F$4,Survival!$C$3:$T$3,0))+INDEX(Data_Sales!$C$5:$C$65,MATCH($A33,Data_Sales!$A$5:$A$65,0))*INDEX(Survival!$C$55:$T$100,(F$4-$A33)+1,MATCH(F$4,Survival!$C$3:$T$3,0))))</f>
        <v/>
      </c>
      <c r="G33" s="27">
        <f>IF(G$4&lt;$A33,"",IF((G$4-$A33)&gt;45,0,INDEX(Data_Sales!$B$5:$B$65,MATCH($A33,Data_Sales!$A$5:$A$65,0))*INDEX(Survival!$C$6:$T$51,(G$4-$A33)+1,MATCH(G$4,Survival!$C$3:$T$3,0))+INDEX(Data_Sales!$C$5:$C$65,MATCH($A33,Data_Sales!$A$5:$A$65,0))*INDEX(Survival!$C$55:$T$100,(G$4-$A33)+1,MATCH(G$4,Survival!$C$3:$T$3,0))))</f>
        <v/>
      </c>
      <c r="H33" s="27">
        <f>IF(H$4&lt;$A33,"",IF((H$4-$A33)&gt;45,0,INDEX(Data_Sales!$B$5:$B$65,MATCH($A33,Data_Sales!$A$5:$A$65,0))*INDEX(Survival!$C$6:$T$51,(H$4-$A33)+1,MATCH(H$4,Survival!$C$3:$T$3,0))+INDEX(Data_Sales!$C$5:$C$65,MATCH($A33,Data_Sales!$A$5:$A$65,0))*INDEX(Survival!$C$55:$T$100,(H$4-$A33)+1,MATCH(H$4,Survival!$C$3:$T$3,0))))</f>
        <v/>
      </c>
      <c r="I33" s="27">
        <f>IF(I$4&lt;$A33,"",IF((I$4-$A33)&gt;45,0,INDEX(Data_Sales!$B$5:$B$65,MATCH($A33,Data_Sales!$A$5:$A$65,0))*INDEX(Survival!$C$6:$T$51,(I$4-$A33)+1,MATCH(I$4,Survival!$C$3:$T$3,0))+INDEX(Data_Sales!$C$5:$C$65,MATCH($A33,Data_Sales!$A$5:$A$65,0))*INDEX(Survival!$C$55:$T$100,(I$4-$A33)+1,MATCH(I$4,Survival!$C$3:$T$3,0))))</f>
        <v/>
      </c>
      <c r="J33" s="27">
        <f>IF(J$4&lt;$A33,"",IF((J$4-$A33)&gt;45,0,INDEX(Data_Sales!$B$5:$B$65,MATCH($A33,Data_Sales!$A$5:$A$65,0))*INDEX(Survival!$C$6:$T$51,(J$4-$A33)+1,MATCH(J$4,Survival!$C$3:$T$3,0))+INDEX(Data_Sales!$C$5:$C$65,MATCH($A33,Data_Sales!$A$5:$A$65,0))*INDEX(Survival!$C$55:$T$100,(J$4-$A33)+1,MATCH(J$4,Survival!$C$3:$T$3,0))))</f>
        <v/>
      </c>
      <c r="K33" s="27">
        <f>IF(K$4&lt;$A33,"",IF((K$4-$A33)&gt;45,0,INDEX(Data_Sales!$B$5:$B$65,MATCH($A33,Data_Sales!$A$5:$A$65,0))*INDEX(Survival!$C$6:$T$51,(K$4-$A33)+1,MATCH(K$4,Survival!$C$3:$T$3,0))+INDEX(Data_Sales!$C$5:$C$65,MATCH($A33,Data_Sales!$A$5:$A$65,0))*INDEX(Survival!$C$55:$T$100,(K$4-$A33)+1,MATCH(K$4,Survival!$C$3:$T$3,0))))</f>
        <v/>
      </c>
      <c r="L33" s="27">
        <f>IF(L$4&lt;$A33,"",IF((L$4-$A33)&gt;45,0,INDEX(Data_Sales!$B$5:$B$65,MATCH($A33,Data_Sales!$A$5:$A$65,0))*INDEX(Survival!$C$6:$T$51,(L$4-$A33)+1,MATCH(L$4,Survival!$C$3:$T$3,0))+INDEX(Data_Sales!$C$5:$C$65,MATCH($A33,Data_Sales!$A$5:$A$65,0))*INDEX(Survival!$C$55:$T$100,(L$4-$A33)+1,MATCH(L$4,Survival!$C$3:$T$3,0))))</f>
        <v/>
      </c>
      <c r="M33" s="27">
        <f>IF(M$4&lt;$A33,"",IF((M$4-$A33)&gt;45,0,INDEX(Data_Sales!$B$5:$B$65,MATCH($A33,Data_Sales!$A$5:$A$65,0))*INDEX(Survival!$C$6:$T$51,(M$4-$A33)+1,MATCH(M$4,Survival!$C$3:$T$3,0))+INDEX(Data_Sales!$C$5:$C$65,MATCH($A33,Data_Sales!$A$5:$A$65,0))*INDEX(Survival!$C$55:$T$100,(M$4-$A33)+1,MATCH(M$4,Survival!$C$3:$T$3,0))))</f>
        <v/>
      </c>
      <c r="N33" s="27">
        <f>IF(N$4&lt;$A33,"",IF((N$4-$A33)&gt;45,0,INDEX(Data_Sales!$B$5:$B$65,MATCH($A33,Data_Sales!$A$5:$A$65,0))*INDEX(Survival!$C$6:$T$51,(N$4-$A33)+1,MATCH(N$4,Survival!$C$3:$T$3,0))+INDEX(Data_Sales!$C$5:$C$65,MATCH($A33,Data_Sales!$A$5:$A$65,0))*INDEX(Survival!$C$55:$T$100,(N$4-$A33)+1,MATCH(N$4,Survival!$C$3:$T$3,0))))</f>
        <v/>
      </c>
      <c r="O33" s="27">
        <f>IF(O$4&lt;$A33,"",IF((O$4-$A33)&gt;45,0,INDEX(Data_Sales!$B$5:$B$65,MATCH($A33,Data_Sales!$A$5:$A$65,0))*INDEX(Survival!$C$6:$T$51,(O$4-$A33)+1,MATCH(O$4,Survival!$C$3:$T$3,0))+INDEX(Data_Sales!$C$5:$C$65,MATCH($A33,Data_Sales!$A$5:$A$65,0))*INDEX(Survival!$C$55:$T$100,(O$4-$A33)+1,MATCH(O$4,Survival!$C$3:$T$3,0))))</f>
        <v/>
      </c>
      <c r="P33" s="27">
        <f>IF(P$4&lt;$A33,"",IF((P$4-$A33)&gt;45,0,INDEX(Data_Sales!$B$5:$B$65,MATCH($A33,Data_Sales!$A$5:$A$65,0))*INDEX(Survival!$C$6:$T$51,(P$4-$A33)+1,MATCH(P$4,Survival!$C$3:$T$3,0))+INDEX(Data_Sales!$C$5:$C$65,MATCH($A33,Data_Sales!$A$5:$A$65,0))*INDEX(Survival!$C$55:$T$100,(P$4-$A33)+1,MATCH(P$4,Survival!$C$3:$T$3,0))))</f>
        <v/>
      </c>
      <c r="Q33" s="27">
        <f>IF(Q$4&lt;$A33,"",IF((Q$4-$A33)&gt;45,0,INDEX(Data_Sales!$B$5:$B$65,MATCH($A33,Data_Sales!$A$5:$A$65,0))*INDEX(Survival!$C$6:$T$51,(Q$4-$A33)+1,MATCH(Q$4,Survival!$C$3:$T$3,0))+INDEX(Data_Sales!$C$5:$C$65,MATCH($A33,Data_Sales!$A$5:$A$65,0))*INDEX(Survival!$C$55:$T$100,(Q$4-$A33)+1,MATCH(Q$4,Survival!$C$3:$T$3,0))))</f>
        <v/>
      </c>
      <c r="R33" s="27">
        <f>IF(R$4&lt;$A33,"",IF((R$4-$A33)&gt;45,0,INDEX(Data_Sales!$B$5:$B$65,MATCH($A33,Data_Sales!$A$5:$A$65,0))*INDEX(Survival!$C$6:$T$51,(R$4-$A33)+1,MATCH(R$4,Survival!$C$3:$T$3,0))+INDEX(Data_Sales!$C$5:$C$65,MATCH($A33,Data_Sales!$A$5:$A$65,0))*INDEX(Survival!$C$55:$T$100,(R$4-$A33)+1,MATCH(R$4,Survival!$C$3:$T$3,0))))</f>
        <v/>
      </c>
      <c r="S33" s="27">
        <f>IF(S$4&lt;$A33,"",IF((S$4-$A33)&gt;45,0,INDEX(Data_Sales!$B$5:$B$65,MATCH($A33,Data_Sales!$A$5:$A$65,0))*INDEX(Survival!$C$6:$T$51,(S$4-$A33)+1,MATCH(S$4,Survival!$C$3:$T$3,0))+INDEX(Data_Sales!$C$5:$C$65,MATCH($A33,Data_Sales!$A$5:$A$65,0))*INDEX(Survival!$C$55:$T$100,(S$4-$A33)+1,MATCH(S$4,Survival!$C$3:$T$3,0))))</f>
        <v/>
      </c>
      <c r="T33" s="27">
        <f>IF(T$4&lt;$A33,"",IF((T$4-$A33)&gt;45,0,INDEX(Data_Sales!$B$5:$B$65,MATCH($A33,Data_Sales!$A$5:$A$65,0))*INDEX(Survival!$C$6:$T$51,(T$4-$A33)+1,MATCH(T$4,Survival!$C$3:$T$3,0))+INDEX(Data_Sales!$C$5:$C$65,MATCH($A33,Data_Sales!$A$5:$A$65,0))*INDEX(Survival!$C$55:$T$100,(T$4-$A33)+1,MATCH(T$4,Survival!$C$3:$T$3,0))))</f>
        <v/>
      </c>
    </row>
    <row r="34">
      <c r="A34" s="9" t="n">
        <v>1998</v>
      </c>
      <c r="C34" s="27">
        <f>IF(C$4&lt;$A34,"",IF((C$4-$A34)&gt;45,0,INDEX(Data_Sales!$B$5:$B$65,MATCH($A34,Data_Sales!$A$5:$A$65,0))*INDEX(Survival!$C$6:$T$51,(C$4-$A34)+1,MATCH(C$4,Survival!$C$3:$T$3,0))+INDEX(Data_Sales!$C$5:$C$65,MATCH($A34,Data_Sales!$A$5:$A$65,0))*INDEX(Survival!$C$55:$T$100,(C$4-$A34)+1,MATCH(C$4,Survival!$C$3:$T$3,0))))</f>
        <v/>
      </c>
      <c r="D34" s="27">
        <f>IF(D$4&lt;$A34,"",IF((D$4-$A34)&gt;45,0,INDEX(Data_Sales!$B$5:$B$65,MATCH($A34,Data_Sales!$A$5:$A$65,0))*INDEX(Survival!$C$6:$T$51,(D$4-$A34)+1,MATCH(D$4,Survival!$C$3:$T$3,0))+INDEX(Data_Sales!$C$5:$C$65,MATCH($A34,Data_Sales!$A$5:$A$65,0))*INDEX(Survival!$C$55:$T$100,(D$4-$A34)+1,MATCH(D$4,Survival!$C$3:$T$3,0))))</f>
        <v/>
      </c>
      <c r="E34" s="27">
        <f>IF(E$4&lt;$A34,"",IF((E$4-$A34)&gt;45,0,INDEX(Data_Sales!$B$5:$B$65,MATCH($A34,Data_Sales!$A$5:$A$65,0))*INDEX(Survival!$C$6:$T$51,(E$4-$A34)+1,MATCH(E$4,Survival!$C$3:$T$3,0))+INDEX(Data_Sales!$C$5:$C$65,MATCH($A34,Data_Sales!$A$5:$A$65,0))*INDEX(Survival!$C$55:$T$100,(E$4-$A34)+1,MATCH(E$4,Survival!$C$3:$T$3,0))))</f>
        <v/>
      </c>
      <c r="F34" s="27">
        <f>IF(F$4&lt;$A34,"",IF((F$4-$A34)&gt;45,0,INDEX(Data_Sales!$B$5:$B$65,MATCH($A34,Data_Sales!$A$5:$A$65,0))*INDEX(Survival!$C$6:$T$51,(F$4-$A34)+1,MATCH(F$4,Survival!$C$3:$T$3,0))+INDEX(Data_Sales!$C$5:$C$65,MATCH($A34,Data_Sales!$A$5:$A$65,0))*INDEX(Survival!$C$55:$T$100,(F$4-$A34)+1,MATCH(F$4,Survival!$C$3:$T$3,0))))</f>
        <v/>
      </c>
      <c r="G34" s="27">
        <f>IF(G$4&lt;$A34,"",IF((G$4-$A34)&gt;45,0,INDEX(Data_Sales!$B$5:$B$65,MATCH($A34,Data_Sales!$A$5:$A$65,0))*INDEX(Survival!$C$6:$T$51,(G$4-$A34)+1,MATCH(G$4,Survival!$C$3:$T$3,0))+INDEX(Data_Sales!$C$5:$C$65,MATCH($A34,Data_Sales!$A$5:$A$65,0))*INDEX(Survival!$C$55:$T$100,(G$4-$A34)+1,MATCH(G$4,Survival!$C$3:$T$3,0))))</f>
        <v/>
      </c>
      <c r="H34" s="27">
        <f>IF(H$4&lt;$A34,"",IF((H$4-$A34)&gt;45,0,INDEX(Data_Sales!$B$5:$B$65,MATCH($A34,Data_Sales!$A$5:$A$65,0))*INDEX(Survival!$C$6:$T$51,(H$4-$A34)+1,MATCH(H$4,Survival!$C$3:$T$3,0))+INDEX(Data_Sales!$C$5:$C$65,MATCH($A34,Data_Sales!$A$5:$A$65,0))*INDEX(Survival!$C$55:$T$100,(H$4-$A34)+1,MATCH(H$4,Survival!$C$3:$T$3,0))))</f>
        <v/>
      </c>
      <c r="I34" s="27">
        <f>IF(I$4&lt;$A34,"",IF((I$4-$A34)&gt;45,0,INDEX(Data_Sales!$B$5:$B$65,MATCH($A34,Data_Sales!$A$5:$A$65,0))*INDEX(Survival!$C$6:$T$51,(I$4-$A34)+1,MATCH(I$4,Survival!$C$3:$T$3,0))+INDEX(Data_Sales!$C$5:$C$65,MATCH($A34,Data_Sales!$A$5:$A$65,0))*INDEX(Survival!$C$55:$T$100,(I$4-$A34)+1,MATCH(I$4,Survival!$C$3:$T$3,0))))</f>
        <v/>
      </c>
      <c r="J34" s="27">
        <f>IF(J$4&lt;$A34,"",IF((J$4-$A34)&gt;45,0,INDEX(Data_Sales!$B$5:$B$65,MATCH($A34,Data_Sales!$A$5:$A$65,0))*INDEX(Survival!$C$6:$T$51,(J$4-$A34)+1,MATCH(J$4,Survival!$C$3:$T$3,0))+INDEX(Data_Sales!$C$5:$C$65,MATCH($A34,Data_Sales!$A$5:$A$65,0))*INDEX(Survival!$C$55:$T$100,(J$4-$A34)+1,MATCH(J$4,Survival!$C$3:$T$3,0))))</f>
        <v/>
      </c>
      <c r="K34" s="27">
        <f>IF(K$4&lt;$A34,"",IF((K$4-$A34)&gt;45,0,INDEX(Data_Sales!$B$5:$B$65,MATCH($A34,Data_Sales!$A$5:$A$65,0))*INDEX(Survival!$C$6:$T$51,(K$4-$A34)+1,MATCH(K$4,Survival!$C$3:$T$3,0))+INDEX(Data_Sales!$C$5:$C$65,MATCH($A34,Data_Sales!$A$5:$A$65,0))*INDEX(Survival!$C$55:$T$100,(K$4-$A34)+1,MATCH(K$4,Survival!$C$3:$T$3,0))))</f>
        <v/>
      </c>
      <c r="L34" s="27">
        <f>IF(L$4&lt;$A34,"",IF((L$4-$A34)&gt;45,0,INDEX(Data_Sales!$B$5:$B$65,MATCH($A34,Data_Sales!$A$5:$A$65,0))*INDEX(Survival!$C$6:$T$51,(L$4-$A34)+1,MATCH(L$4,Survival!$C$3:$T$3,0))+INDEX(Data_Sales!$C$5:$C$65,MATCH($A34,Data_Sales!$A$5:$A$65,0))*INDEX(Survival!$C$55:$T$100,(L$4-$A34)+1,MATCH(L$4,Survival!$C$3:$T$3,0))))</f>
        <v/>
      </c>
      <c r="M34" s="27">
        <f>IF(M$4&lt;$A34,"",IF((M$4-$A34)&gt;45,0,INDEX(Data_Sales!$B$5:$B$65,MATCH($A34,Data_Sales!$A$5:$A$65,0))*INDEX(Survival!$C$6:$T$51,(M$4-$A34)+1,MATCH(M$4,Survival!$C$3:$T$3,0))+INDEX(Data_Sales!$C$5:$C$65,MATCH($A34,Data_Sales!$A$5:$A$65,0))*INDEX(Survival!$C$55:$T$100,(M$4-$A34)+1,MATCH(M$4,Survival!$C$3:$T$3,0))))</f>
        <v/>
      </c>
      <c r="N34" s="27">
        <f>IF(N$4&lt;$A34,"",IF((N$4-$A34)&gt;45,0,INDEX(Data_Sales!$B$5:$B$65,MATCH($A34,Data_Sales!$A$5:$A$65,0))*INDEX(Survival!$C$6:$T$51,(N$4-$A34)+1,MATCH(N$4,Survival!$C$3:$T$3,0))+INDEX(Data_Sales!$C$5:$C$65,MATCH($A34,Data_Sales!$A$5:$A$65,0))*INDEX(Survival!$C$55:$T$100,(N$4-$A34)+1,MATCH(N$4,Survival!$C$3:$T$3,0))))</f>
        <v/>
      </c>
      <c r="O34" s="27">
        <f>IF(O$4&lt;$A34,"",IF((O$4-$A34)&gt;45,0,INDEX(Data_Sales!$B$5:$B$65,MATCH($A34,Data_Sales!$A$5:$A$65,0))*INDEX(Survival!$C$6:$T$51,(O$4-$A34)+1,MATCH(O$4,Survival!$C$3:$T$3,0))+INDEX(Data_Sales!$C$5:$C$65,MATCH($A34,Data_Sales!$A$5:$A$65,0))*INDEX(Survival!$C$55:$T$100,(O$4-$A34)+1,MATCH(O$4,Survival!$C$3:$T$3,0))))</f>
        <v/>
      </c>
      <c r="P34" s="27">
        <f>IF(P$4&lt;$A34,"",IF((P$4-$A34)&gt;45,0,INDEX(Data_Sales!$B$5:$B$65,MATCH($A34,Data_Sales!$A$5:$A$65,0))*INDEX(Survival!$C$6:$T$51,(P$4-$A34)+1,MATCH(P$4,Survival!$C$3:$T$3,0))+INDEX(Data_Sales!$C$5:$C$65,MATCH($A34,Data_Sales!$A$5:$A$65,0))*INDEX(Survival!$C$55:$T$100,(P$4-$A34)+1,MATCH(P$4,Survival!$C$3:$T$3,0))))</f>
        <v/>
      </c>
      <c r="Q34" s="27">
        <f>IF(Q$4&lt;$A34,"",IF((Q$4-$A34)&gt;45,0,INDEX(Data_Sales!$B$5:$B$65,MATCH($A34,Data_Sales!$A$5:$A$65,0))*INDEX(Survival!$C$6:$T$51,(Q$4-$A34)+1,MATCH(Q$4,Survival!$C$3:$T$3,0))+INDEX(Data_Sales!$C$5:$C$65,MATCH($A34,Data_Sales!$A$5:$A$65,0))*INDEX(Survival!$C$55:$T$100,(Q$4-$A34)+1,MATCH(Q$4,Survival!$C$3:$T$3,0))))</f>
        <v/>
      </c>
      <c r="R34" s="27">
        <f>IF(R$4&lt;$A34,"",IF((R$4-$A34)&gt;45,0,INDEX(Data_Sales!$B$5:$B$65,MATCH($A34,Data_Sales!$A$5:$A$65,0))*INDEX(Survival!$C$6:$T$51,(R$4-$A34)+1,MATCH(R$4,Survival!$C$3:$T$3,0))+INDEX(Data_Sales!$C$5:$C$65,MATCH($A34,Data_Sales!$A$5:$A$65,0))*INDEX(Survival!$C$55:$T$100,(R$4-$A34)+1,MATCH(R$4,Survival!$C$3:$T$3,0))))</f>
        <v/>
      </c>
      <c r="S34" s="27">
        <f>IF(S$4&lt;$A34,"",IF((S$4-$A34)&gt;45,0,INDEX(Data_Sales!$B$5:$B$65,MATCH($A34,Data_Sales!$A$5:$A$65,0))*INDEX(Survival!$C$6:$T$51,(S$4-$A34)+1,MATCH(S$4,Survival!$C$3:$T$3,0))+INDEX(Data_Sales!$C$5:$C$65,MATCH($A34,Data_Sales!$A$5:$A$65,0))*INDEX(Survival!$C$55:$T$100,(S$4-$A34)+1,MATCH(S$4,Survival!$C$3:$T$3,0))))</f>
        <v/>
      </c>
      <c r="T34" s="27">
        <f>IF(T$4&lt;$A34,"",IF((T$4-$A34)&gt;45,0,INDEX(Data_Sales!$B$5:$B$65,MATCH($A34,Data_Sales!$A$5:$A$65,0))*INDEX(Survival!$C$6:$T$51,(T$4-$A34)+1,MATCH(T$4,Survival!$C$3:$T$3,0))+INDEX(Data_Sales!$C$5:$C$65,MATCH($A34,Data_Sales!$A$5:$A$65,0))*INDEX(Survival!$C$55:$T$100,(T$4-$A34)+1,MATCH(T$4,Survival!$C$3:$T$3,0))))</f>
        <v/>
      </c>
    </row>
    <row r="35">
      <c r="A35" s="9" t="n">
        <v>1999</v>
      </c>
      <c r="C35" s="27">
        <f>IF(C$4&lt;$A35,"",IF((C$4-$A35)&gt;45,0,INDEX(Data_Sales!$B$5:$B$65,MATCH($A35,Data_Sales!$A$5:$A$65,0))*INDEX(Survival!$C$6:$T$51,(C$4-$A35)+1,MATCH(C$4,Survival!$C$3:$T$3,0))+INDEX(Data_Sales!$C$5:$C$65,MATCH($A35,Data_Sales!$A$5:$A$65,0))*INDEX(Survival!$C$55:$T$100,(C$4-$A35)+1,MATCH(C$4,Survival!$C$3:$T$3,0))))</f>
        <v/>
      </c>
      <c r="D35" s="27">
        <f>IF(D$4&lt;$A35,"",IF((D$4-$A35)&gt;45,0,INDEX(Data_Sales!$B$5:$B$65,MATCH($A35,Data_Sales!$A$5:$A$65,0))*INDEX(Survival!$C$6:$T$51,(D$4-$A35)+1,MATCH(D$4,Survival!$C$3:$T$3,0))+INDEX(Data_Sales!$C$5:$C$65,MATCH($A35,Data_Sales!$A$5:$A$65,0))*INDEX(Survival!$C$55:$T$100,(D$4-$A35)+1,MATCH(D$4,Survival!$C$3:$T$3,0))))</f>
        <v/>
      </c>
      <c r="E35" s="27">
        <f>IF(E$4&lt;$A35,"",IF((E$4-$A35)&gt;45,0,INDEX(Data_Sales!$B$5:$B$65,MATCH($A35,Data_Sales!$A$5:$A$65,0))*INDEX(Survival!$C$6:$T$51,(E$4-$A35)+1,MATCH(E$4,Survival!$C$3:$T$3,0))+INDEX(Data_Sales!$C$5:$C$65,MATCH($A35,Data_Sales!$A$5:$A$65,0))*INDEX(Survival!$C$55:$T$100,(E$4-$A35)+1,MATCH(E$4,Survival!$C$3:$T$3,0))))</f>
        <v/>
      </c>
      <c r="F35" s="27">
        <f>IF(F$4&lt;$A35,"",IF((F$4-$A35)&gt;45,0,INDEX(Data_Sales!$B$5:$B$65,MATCH($A35,Data_Sales!$A$5:$A$65,0))*INDEX(Survival!$C$6:$T$51,(F$4-$A35)+1,MATCH(F$4,Survival!$C$3:$T$3,0))+INDEX(Data_Sales!$C$5:$C$65,MATCH($A35,Data_Sales!$A$5:$A$65,0))*INDEX(Survival!$C$55:$T$100,(F$4-$A35)+1,MATCH(F$4,Survival!$C$3:$T$3,0))))</f>
        <v/>
      </c>
      <c r="G35" s="27">
        <f>IF(G$4&lt;$A35,"",IF((G$4-$A35)&gt;45,0,INDEX(Data_Sales!$B$5:$B$65,MATCH($A35,Data_Sales!$A$5:$A$65,0))*INDEX(Survival!$C$6:$T$51,(G$4-$A35)+1,MATCH(G$4,Survival!$C$3:$T$3,0))+INDEX(Data_Sales!$C$5:$C$65,MATCH($A35,Data_Sales!$A$5:$A$65,0))*INDEX(Survival!$C$55:$T$100,(G$4-$A35)+1,MATCH(G$4,Survival!$C$3:$T$3,0))))</f>
        <v/>
      </c>
      <c r="H35" s="27">
        <f>IF(H$4&lt;$A35,"",IF((H$4-$A35)&gt;45,0,INDEX(Data_Sales!$B$5:$B$65,MATCH($A35,Data_Sales!$A$5:$A$65,0))*INDEX(Survival!$C$6:$T$51,(H$4-$A35)+1,MATCH(H$4,Survival!$C$3:$T$3,0))+INDEX(Data_Sales!$C$5:$C$65,MATCH($A35,Data_Sales!$A$5:$A$65,0))*INDEX(Survival!$C$55:$T$100,(H$4-$A35)+1,MATCH(H$4,Survival!$C$3:$T$3,0))))</f>
        <v/>
      </c>
      <c r="I35" s="27">
        <f>IF(I$4&lt;$A35,"",IF((I$4-$A35)&gt;45,0,INDEX(Data_Sales!$B$5:$B$65,MATCH($A35,Data_Sales!$A$5:$A$65,0))*INDEX(Survival!$C$6:$T$51,(I$4-$A35)+1,MATCH(I$4,Survival!$C$3:$T$3,0))+INDEX(Data_Sales!$C$5:$C$65,MATCH($A35,Data_Sales!$A$5:$A$65,0))*INDEX(Survival!$C$55:$T$100,(I$4-$A35)+1,MATCH(I$4,Survival!$C$3:$T$3,0))))</f>
        <v/>
      </c>
      <c r="J35" s="27">
        <f>IF(J$4&lt;$A35,"",IF((J$4-$A35)&gt;45,0,INDEX(Data_Sales!$B$5:$B$65,MATCH($A35,Data_Sales!$A$5:$A$65,0))*INDEX(Survival!$C$6:$T$51,(J$4-$A35)+1,MATCH(J$4,Survival!$C$3:$T$3,0))+INDEX(Data_Sales!$C$5:$C$65,MATCH($A35,Data_Sales!$A$5:$A$65,0))*INDEX(Survival!$C$55:$T$100,(J$4-$A35)+1,MATCH(J$4,Survival!$C$3:$T$3,0))))</f>
        <v/>
      </c>
      <c r="K35" s="27">
        <f>IF(K$4&lt;$A35,"",IF((K$4-$A35)&gt;45,0,INDEX(Data_Sales!$B$5:$B$65,MATCH($A35,Data_Sales!$A$5:$A$65,0))*INDEX(Survival!$C$6:$T$51,(K$4-$A35)+1,MATCH(K$4,Survival!$C$3:$T$3,0))+INDEX(Data_Sales!$C$5:$C$65,MATCH($A35,Data_Sales!$A$5:$A$65,0))*INDEX(Survival!$C$55:$T$100,(K$4-$A35)+1,MATCH(K$4,Survival!$C$3:$T$3,0))))</f>
        <v/>
      </c>
      <c r="L35" s="27">
        <f>IF(L$4&lt;$A35,"",IF((L$4-$A35)&gt;45,0,INDEX(Data_Sales!$B$5:$B$65,MATCH($A35,Data_Sales!$A$5:$A$65,0))*INDEX(Survival!$C$6:$T$51,(L$4-$A35)+1,MATCH(L$4,Survival!$C$3:$T$3,0))+INDEX(Data_Sales!$C$5:$C$65,MATCH($A35,Data_Sales!$A$5:$A$65,0))*INDEX(Survival!$C$55:$T$100,(L$4-$A35)+1,MATCH(L$4,Survival!$C$3:$T$3,0))))</f>
        <v/>
      </c>
      <c r="M35" s="27">
        <f>IF(M$4&lt;$A35,"",IF((M$4-$A35)&gt;45,0,INDEX(Data_Sales!$B$5:$B$65,MATCH($A35,Data_Sales!$A$5:$A$65,0))*INDEX(Survival!$C$6:$T$51,(M$4-$A35)+1,MATCH(M$4,Survival!$C$3:$T$3,0))+INDEX(Data_Sales!$C$5:$C$65,MATCH($A35,Data_Sales!$A$5:$A$65,0))*INDEX(Survival!$C$55:$T$100,(M$4-$A35)+1,MATCH(M$4,Survival!$C$3:$T$3,0))))</f>
        <v/>
      </c>
      <c r="N35" s="27">
        <f>IF(N$4&lt;$A35,"",IF((N$4-$A35)&gt;45,0,INDEX(Data_Sales!$B$5:$B$65,MATCH($A35,Data_Sales!$A$5:$A$65,0))*INDEX(Survival!$C$6:$T$51,(N$4-$A35)+1,MATCH(N$4,Survival!$C$3:$T$3,0))+INDEX(Data_Sales!$C$5:$C$65,MATCH($A35,Data_Sales!$A$5:$A$65,0))*INDEX(Survival!$C$55:$T$100,(N$4-$A35)+1,MATCH(N$4,Survival!$C$3:$T$3,0))))</f>
        <v/>
      </c>
      <c r="O35" s="27">
        <f>IF(O$4&lt;$A35,"",IF((O$4-$A35)&gt;45,0,INDEX(Data_Sales!$B$5:$B$65,MATCH($A35,Data_Sales!$A$5:$A$65,0))*INDEX(Survival!$C$6:$T$51,(O$4-$A35)+1,MATCH(O$4,Survival!$C$3:$T$3,0))+INDEX(Data_Sales!$C$5:$C$65,MATCH($A35,Data_Sales!$A$5:$A$65,0))*INDEX(Survival!$C$55:$T$100,(O$4-$A35)+1,MATCH(O$4,Survival!$C$3:$T$3,0))))</f>
        <v/>
      </c>
      <c r="P35" s="27">
        <f>IF(P$4&lt;$A35,"",IF((P$4-$A35)&gt;45,0,INDEX(Data_Sales!$B$5:$B$65,MATCH($A35,Data_Sales!$A$5:$A$65,0))*INDEX(Survival!$C$6:$T$51,(P$4-$A35)+1,MATCH(P$4,Survival!$C$3:$T$3,0))+INDEX(Data_Sales!$C$5:$C$65,MATCH($A35,Data_Sales!$A$5:$A$65,0))*INDEX(Survival!$C$55:$T$100,(P$4-$A35)+1,MATCH(P$4,Survival!$C$3:$T$3,0))))</f>
        <v/>
      </c>
      <c r="Q35" s="27">
        <f>IF(Q$4&lt;$A35,"",IF((Q$4-$A35)&gt;45,0,INDEX(Data_Sales!$B$5:$B$65,MATCH($A35,Data_Sales!$A$5:$A$65,0))*INDEX(Survival!$C$6:$T$51,(Q$4-$A35)+1,MATCH(Q$4,Survival!$C$3:$T$3,0))+INDEX(Data_Sales!$C$5:$C$65,MATCH($A35,Data_Sales!$A$5:$A$65,0))*INDEX(Survival!$C$55:$T$100,(Q$4-$A35)+1,MATCH(Q$4,Survival!$C$3:$T$3,0))))</f>
        <v/>
      </c>
      <c r="R35" s="27">
        <f>IF(R$4&lt;$A35,"",IF((R$4-$A35)&gt;45,0,INDEX(Data_Sales!$B$5:$B$65,MATCH($A35,Data_Sales!$A$5:$A$65,0))*INDEX(Survival!$C$6:$T$51,(R$4-$A35)+1,MATCH(R$4,Survival!$C$3:$T$3,0))+INDEX(Data_Sales!$C$5:$C$65,MATCH($A35,Data_Sales!$A$5:$A$65,0))*INDEX(Survival!$C$55:$T$100,(R$4-$A35)+1,MATCH(R$4,Survival!$C$3:$T$3,0))))</f>
        <v/>
      </c>
      <c r="S35" s="27">
        <f>IF(S$4&lt;$A35,"",IF((S$4-$A35)&gt;45,0,INDEX(Data_Sales!$B$5:$B$65,MATCH($A35,Data_Sales!$A$5:$A$65,0))*INDEX(Survival!$C$6:$T$51,(S$4-$A35)+1,MATCH(S$4,Survival!$C$3:$T$3,0))+INDEX(Data_Sales!$C$5:$C$65,MATCH($A35,Data_Sales!$A$5:$A$65,0))*INDEX(Survival!$C$55:$T$100,(S$4-$A35)+1,MATCH(S$4,Survival!$C$3:$T$3,0))))</f>
        <v/>
      </c>
      <c r="T35" s="27">
        <f>IF(T$4&lt;$A35,"",IF((T$4-$A35)&gt;45,0,INDEX(Data_Sales!$B$5:$B$65,MATCH($A35,Data_Sales!$A$5:$A$65,0))*INDEX(Survival!$C$6:$T$51,(T$4-$A35)+1,MATCH(T$4,Survival!$C$3:$T$3,0))+INDEX(Data_Sales!$C$5:$C$65,MATCH($A35,Data_Sales!$A$5:$A$65,0))*INDEX(Survival!$C$55:$T$100,(T$4-$A35)+1,MATCH(T$4,Survival!$C$3:$T$3,0))))</f>
        <v/>
      </c>
    </row>
    <row r="36">
      <c r="A36" s="9" t="n">
        <v>2000</v>
      </c>
      <c r="C36" s="27">
        <f>IF(C$4&lt;$A36,"",IF((C$4-$A36)&gt;45,0,INDEX(Data_Sales!$B$5:$B$65,MATCH($A36,Data_Sales!$A$5:$A$65,0))*INDEX(Survival!$C$6:$T$51,(C$4-$A36)+1,MATCH(C$4,Survival!$C$3:$T$3,0))+INDEX(Data_Sales!$C$5:$C$65,MATCH($A36,Data_Sales!$A$5:$A$65,0))*INDEX(Survival!$C$55:$T$100,(C$4-$A36)+1,MATCH(C$4,Survival!$C$3:$T$3,0))))</f>
        <v/>
      </c>
      <c r="D36" s="27">
        <f>IF(D$4&lt;$A36,"",IF((D$4-$A36)&gt;45,0,INDEX(Data_Sales!$B$5:$B$65,MATCH($A36,Data_Sales!$A$5:$A$65,0))*INDEX(Survival!$C$6:$T$51,(D$4-$A36)+1,MATCH(D$4,Survival!$C$3:$T$3,0))+INDEX(Data_Sales!$C$5:$C$65,MATCH($A36,Data_Sales!$A$5:$A$65,0))*INDEX(Survival!$C$55:$T$100,(D$4-$A36)+1,MATCH(D$4,Survival!$C$3:$T$3,0))))</f>
        <v/>
      </c>
      <c r="E36" s="27">
        <f>IF(E$4&lt;$A36,"",IF((E$4-$A36)&gt;45,0,INDEX(Data_Sales!$B$5:$B$65,MATCH($A36,Data_Sales!$A$5:$A$65,0))*INDEX(Survival!$C$6:$T$51,(E$4-$A36)+1,MATCH(E$4,Survival!$C$3:$T$3,0))+INDEX(Data_Sales!$C$5:$C$65,MATCH($A36,Data_Sales!$A$5:$A$65,0))*INDEX(Survival!$C$55:$T$100,(E$4-$A36)+1,MATCH(E$4,Survival!$C$3:$T$3,0))))</f>
        <v/>
      </c>
      <c r="F36" s="27">
        <f>IF(F$4&lt;$A36,"",IF((F$4-$A36)&gt;45,0,INDEX(Data_Sales!$B$5:$B$65,MATCH($A36,Data_Sales!$A$5:$A$65,0))*INDEX(Survival!$C$6:$T$51,(F$4-$A36)+1,MATCH(F$4,Survival!$C$3:$T$3,0))+INDEX(Data_Sales!$C$5:$C$65,MATCH($A36,Data_Sales!$A$5:$A$65,0))*INDEX(Survival!$C$55:$T$100,(F$4-$A36)+1,MATCH(F$4,Survival!$C$3:$T$3,0))))</f>
        <v/>
      </c>
      <c r="G36" s="27">
        <f>IF(G$4&lt;$A36,"",IF((G$4-$A36)&gt;45,0,INDEX(Data_Sales!$B$5:$B$65,MATCH($A36,Data_Sales!$A$5:$A$65,0))*INDEX(Survival!$C$6:$T$51,(G$4-$A36)+1,MATCH(G$4,Survival!$C$3:$T$3,0))+INDEX(Data_Sales!$C$5:$C$65,MATCH($A36,Data_Sales!$A$5:$A$65,0))*INDEX(Survival!$C$55:$T$100,(G$4-$A36)+1,MATCH(G$4,Survival!$C$3:$T$3,0))))</f>
        <v/>
      </c>
      <c r="H36" s="27">
        <f>IF(H$4&lt;$A36,"",IF((H$4-$A36)&gt;45,0,INDEX(Data_Sales!$B$5:$B$65,MATCH($A36,Data_Sales!$A$5:$A$65,0))*INDEX(Survival!$C$6:$T$51,(H$4-$A36)+1,MATCH(H$4,Survival!$C$3:$T$3,0))+INDEX(Data_Sales!$C$5:$C$65,MATCH($A36,Data_Sales!$A$5:$A$65,0))*INDEX(Survival!$C$55:$T$100,(H$4-$A36)+1,MATCH(H$4,Survival!$C$3:$T$3,0))))</f>
        <v/>
      </c>
      <c r="I36" s="27">
        <f>IF(I$4&lt;$A36,"",IF((I$4-$A36)&gt;45,0,INDEX(Data_Sales!$B$5:$B$65,MATCH($A36,Data_Sales!$A$5:$A$65,0))*INDEX(Survival!$C$6:$T$51,(I$4-$A36)+1,MATCH(I$4,Survival!$C$3:$T$3,0))+INDEX(Data_Sales!$C$5:$C$65,MATCH($A36,Data_Sales!$A$5:$A$65,0))*INDEX(Survival!$C$55:$T$100,(I$4-$A36)+1,MATCH(I$4,Survival!$C$3:$T$3,0))))</f>
        <v/>
      </c>
      <c r="J36" s="27">
        <f>IF(J$4&lt;$A36,"",IF((J$4-$A36)&gt;45,0,INDEX(Data_Sales!$B$5:$B$65,MATCH($A36,Data_Sales!$A$5:$A$65,0))*INDEX(Survival!$C$6:$T$51,(J$4-$A36)+1,MATCH(J$4,Survival!$C$3:$T$3,0))+INDEX(Data_Sales!$C$5:$C$65,MATCH($A36,Data_Sales!$A$5:$A$65,0))*INDEX(Survival!$C$55:$T$100,(J$4-$A36)+1,MATCH(J$4,Survival!$C$3:$T$3,0))))</f>
        <v/>
      </c>
      <c r="K36" s="27">
        <f>IF(K$4&lt;$A36,"",IF((K$4-$A36)&gt;45,0,INDEX(Data_Sales!$B$5:$B$65,MATCH($A36,Data_Sales!$A$5:$A$65,0))*INDEX(Survival!$C$6:$T$51,(K$4-$A36)+1,MATCH(K$4,Survival!$C$3:$T$3,0))+INDEX(Data_Sales!$C$5:$C$65,MATCH($A36,Data_Sales!$A$5:$A$65,0))*INDEX(Survival!$C$55:$T$100,(K$4-$A36)+1,MATCH(K$4,Survival!$C$3:$T$3,0))))</f>
        <v/>
      </c>
      <c r="L36" s="27">
        <f>IF(L$4&lt;$A36,"",IF((L$4-$A36)&gt;45,0,INDEX(Data_Sales!$B$5:$B$65,MATCH($A36,Data_Sales!$A$5:$A$65,0))*INDEX(Survival!$C$6:$T$51,(L$4-$A36)+1,MATCH(L$4,Survival!$C$3:$T$3,0))+INDEX(Data_Sales!$C$5:$C$65,MATCH($A36,Data_Sales!$A$5:$A$65,0))*INDEX(Survival!$C$55:$T$100,(L$4-$A36)+1,MATCH(L$4,Survival!$C$3:$T$3,0))))</f>
        <v/>
      </c>
      <c r="M36" s="27">
        <f>IF(M$4&lt;$A36,"",IF((M$4-$A36)&gt;45,0,INDEX(Data_Sales!$B$5:$B$65,MATCH($A36,Data_Sales!$A$5:$A$65,0))*INDEX(Survival!$C$6:$T$51,(M$4-$A36)+1,MATCH(M$4,Survival!$C$3:$T$3,0))+INDEX(Data_Sales!$C$5:$C$65,MATCH($A36,Data_Sales!$A$5:$A$65,0))*INDEX(Survival!$C$55:$T$100,(M$4-$A36)+1,MATCH(M$4,Survival!$C$3:$T$3,0))))</f>
        <v/>
      </c>
      <c r="N36" s="27">
        <f>IF(N$4&lt;$A36,"",IF((N$4-$A36)&gt;45,0,INDEX(Data_Sales!$B$5:$B$65,MATCH($A36,Data_Sales!$A$5:$A$65,0))*INDEX(Survival!$C$6:$T$51,(N$4-$A36)+1,MATCH(N$4,Survival!$C$3:$T$3,0))+INDEX(Data_Sales!$C$5:$C$65,MATCH($A36,Data_Sales!$A$5:$A$65,0))*INDEX(Survival!$C$55:$T$100,(N$4-$A36)+1,MATCH(N$4,Survival!$C$3:$T$3,0))))</f>
        <v/>
      </c>
      <c r="O36" s="27">
        <f>IF(O$4&lt;$A36,"",IF((O$4-$A36)&gt;45,0,INDEX(Data_Sales!$B$5:$B$65,MATCH($A36,Data_Sales!$A$5:$A$65,0))*INDEX(Survival!$C$6:$T$51,(O$4-$A36)+1,MATCH(O$4,Survival!$C$3:$T$3,0))+INDEX(Data_Sales!$C$5:$C$65,MATCH($A36,Data_Sales!$A$5:$A$65,0))*INDEX(Survival!$C$55:$T$100,(O$4-$A36)+1,MATCH(O$4,Survival!$C$3:$T$3,0))))</f>
        <v/>
      </c>
      <c r="P36" s="27">
        <f>IF(P$4&lt;$A36,"",IF((P$4-$A36)&gt;45,0,INDEX(Data_Sales!$B$5:$B$65,MATCH($A36,Data_Sales!$A$5:$A$65,0))*INDEX(Survival!$C$6:$T$51,(P$4-$A36)+1,MATCH(P$4,Survival!$C$3:$T$3,0))+INDEX(Data_Sales!$C$5:$C$65,MATCH($A36,Data_Sales!$A$5:$A$65,0))*INDEX(Survival!$C$55:$T$100,(P$4-$A36)+1,MATCH(P$4,Survival!$C$3:$T$3,0))))</f>
        <v/>
      </c>
      <c r="Q36" s="27">
        <f>IF(Q$4&lt;$A36,"",IF((Q$4-$A36)&gt;45,0,INDEX(Data_Sales!$B$5:$B$65,MATCH($A36,Data_Sales!$A$5:$A$65,0))*INDEX(Survival!$C$6:$T$51,(Q$4-$A36)+1,MATCH(Q$4,Survival!$C$3:$T$3,0))+INDEX(Data_Sales!$C$5:$C$65,MATCH($A36,Data_Sales!$A$5:$A$65,0))*INDEX(Survival!$C$55:$T$100,(Q$4-$A36)+1,MATCH(Q$4,Survival!$C$3:$T$3,0))))</f>
        <v/>
      </c>
      <c r="R36" s="27">
        <f>IF(R$4&lt;$A36,"",IF((R$4-$A36)&gt;45,0,INDEX(Data_Sales!$B$5:$B$65,MATCH($A36,Data_Sales!$A$5:$A$65,0))*INDEX(Survival!$C$6:$T$51,(R$4-$A36)+1,MATCH(R$4,Survival!$C$3:$T$3,0))+INDEX(Data_Sales!$C$5:$C$65,MATCH($A36,Data_Sales!$A$5:$A$65,0))*INDEX(Survival!$C$55:$T$100,(R$4-$A36)+1,MATCH(R$4,Survival!$C$3:$T$3,0))))</f>
        <v/>
      </c>
      <c r="S36" s="27">
        <f>IF(S$4&lt;$A36,"",IF((S$4-$A36)&gt;45,0,INDEX(Data_Sales!$B$5:$B$65,MATCH($A36,Data_Sales!$A$5:$A$65,0))*INDEX(Survival!$C$6:$T$51,(S$4-$A36)+1,MATCH(S$4,Survival!$C$3:$T$3,0))+INDEX(Data_Sales!$C$5:$C$65,MATCH($A36,Data_Sales!$A$5:$A$65,0))*INDEX(Survival!$C$55:$T$100,(S$4-$A36)+1,MATCH(S$4,Survival!$C$3:$T$3,0))))</f>
        <v/>
      </c>
      <c r="T36" s="27">
        <f>IF(T$4&lt;$A36,"",IF((T$4-$A36)&gt;45,0,INDEX(Data_Sales!$B$5:$B$65,MATCH($A36,Data_Sales!$A$5:$A$65,0))*INDEX(Survival!$C$6:$T$51,(T$4-$A36)+1,MATCH(T$4,Survival!$C$3:$T$3,0))+INDEX(Data_Sales!$C$5:$C$65,MATCH($A36,Data_Sales!$A$5:$A$65,0))*INDEX(Survival!$C$55:$T$100,(T$4-$A36)+1,MATCH(T$4,Survival!$C$3:$T$3,0))))</f>
        <v/>
      </c>
    </row>
    <row r="37">
      <c r="A37" s="9" t="n">
        <v>2001</v>
      </c>
      <c r="C37" s="27">
        <f>IF(C$4&lt;$A37,"",IF((C$4-$A37)&gt;45,0,INDEX(Data_Sales!$B$5:$B$65,MATCH($A37,Data_Sales!$A$5:$A$65,0))*INDEX(Survival!$C$6:$T$51,(C$4-$A37)+1,MATCH(C$4,Survival!$C$3:$T$3,0))+INDEX(Data_Sales!$C$5:$C$65,MATCH($A37,Data_Sales!$A$5:$A$65,0))*INDEX(Survival!$C$55:$T$100,(C$4-$A37)+1,MATCH(C$4,Survival!$C$3:$T$3,0))))</f>
        <v/>
      </c>
      <c r="D37" s="27">
        <f>IF(D$4&lt;$A37,"",IF((D$4-$A37)&gt;45,0,INDEX(Data_Sales!$B$5:$B$65,MATCH($A37,Data_Sales!$A$5:$A$65,0))*INDEX(Survival!$C$6:$T$51,(D$4-$A37)+1,MATCH(D$4,Survival!$C$3:$T$3,0))+INDEX(Data_Sales!$C$5:$C$65,MATCH($A37,Data_Sales!$A$5:$A$65,0))*INDEX(Survival!$C$55:$T$100,(D$4-$A37)+1,MATCH(D$4,Survival!$C$3:$T$3,0))))</f>
        <v/>
      </c>
      <c r="E37" s="27">
        <f>IF(E$4&lt;$A37,"",IF((E$4-$A37)&gt;45,0,INDEX(Data_Sales!$B$5:$B$65,MATCH($A37,Data_Sales!$A$5:$A$65,0))*INDEX(Survival!$C$6:$T$51,(E$4-$A37)+1,MATCH(E$4,Survival!$C$3:$T$3,0))+INDEX(Data_Sales!$C$5:$C$65,MATCH($A37,Data_Sales!$A$5:$A$65,0))*INDEX(Survival!$C$55:$T$100,(E$4-$A37)+1,MATCH(E$4,Survival!$C$3:$T$3,0))))</f>
        <v/>
      </c>
      <c r="F37" s="27">
        <f>IF(F$4&lt;$A37,"",IF((F$4-$A37)&gt;45,0,INDEX(Data_Sales!$B$5:$B$65,MATCH($A37,Data_Sales!$A$5:$A$65,0))*INDEX(Survival!$C$6:$T$51,(F$4-$A37)+1,MATCH(F$4,Survival!$C$3:$T$3,0))+INDEX(Data_Sales!$C$5:$C$65,MATCH($A37,Data_Sales!$A$5:$A$65,0))*INDEX(Survival!$C$55:$T$100,(F$4-$A37)+1,MATCH(F$4,Survival!$C$3:$T$3,0))))</f>
        <v/>
      </c>
      <c r="G37" s="27">
        <f>IF(G$4&lt;$A37,"",IF((G$4-$A37)&gt;45,0,INDEX(Data_Sales!$B$5:$B$65,MATCH($A37,Data_Sales!$A$5:$A$65,0))*INDEX(Survival!$C$6:$T$51,(G$4-$A37)+1,MATCH(G$4,Survival!$C$3:$T$3,0))+INDEX(Data_Sales!$C$5:$C$65,MATCH($A37,Data_Sales!$A$5:$A$65,0))*INDEX(Survival!$C$55:$T$100,(G$4-$A37)+1,MATCH(G$4,Survival!$C$3:$T$3,0))))</f>
        <v/>
      </c>
      <c r="H37" s="27">
        <f>IF(H$4&lt;$A37,"",IF((H$4-$A37)&gt;45,0,INDEX(Data_Sales!$B$5:$B$65,MATCH($A37,Data_Sales!$A$5:$A$65,0))*INDEX(Survival!$C$6:$T$51,(H$4-$A37)+1,MATCH(H$4,Survival!$C$3:$T$3,0))+INDEX(Data_Sales!$C$5:$C$65,MATCH($A37,Data_Sales!$A$5:$A$65,0))*INDEX(Survival!$C$55:$T$100,(H$4-$A37)+1,MATCH(H$4,Survival!$C$3:$T$3,0))))</f>
        <v/>
      </c>
      <c r="I37" s="27">
        <f>IF(I$4&lt;$A37,"",IF((I$4-$A37)&gt;45,0,INDEX(Data_Sales!$B$5:$B$65,MATCH($A37,Data_Sales!$A$5:$A$65,0))*INDEX(Survival!$C$6:$T$51,(I$4-$A37)+1,MATCH(I$4,Survival!$C$3:$T$3,0))+INDEX(Data_Sales!$C$5:$C$65,MATCH($A37,Data_Sales!$A$5:$A$65,0))*INDEX(Survival!$C$55:$T$100,(I$4-$A37)+1,MATCH(I$4,Survival!$C$3:$T$3,0))))</f>
        <v/>
      </c>
      <c r="J37" s="27">
        <f>IF(J$4&lt;$A37,"",IF((J$4-$A37)&gt;45,0,INDEX(Data_Sales!$B$5:$B$65,MATCH($A37,Data_Sales!$A$5:$A$65,0))*INDEX(Survival!$C$6:$T$51,(J$4-$A37)+1,MATCH(J$4,Survival!$C$3:$T$3,0))+INDEX(Data_Sales!$C$5:$C$65,MATCH($A37,Data_Sales!$A$5:$A$65,0))*INDEX(Survival!$C$55:$T$100,(J$4-$A37)+1,MATCH(J$4,Survival!$C$3:$T$3,0))))</f>
        <v/>
      </c>
      <c r="K37" s="27">
        <f>IF(K$4&lt;$A37,"",IF((K$4-$A37)&gt;45,0,INDEX(Data_Sales!$B$5:$B$65,MATCH($A37,Data_Sales!$A$5:$A$65,0))*INDEX(Survival!$C$6:$T$51,(K$4-$A37)+1,MATCH(K$4,Survival!$C$3:$T$3,0))+INDEX(Data_Sales!$C$5:$C$65,MATCH($A37,Data_Sales!$A$5:$A$65,0))*INDEX(Survival!$C$55:$T$100,(K$4-$A37)+1,MATCH(K$4,Survival!$C$3:$T$3,0))))</f>
        <v/>
      </c>
      <c r="L37" s="27">
        <f>IF(L$4&lt;$A37,"",IF((L$4-$A37)&gt;45,0,INDEX(Data_Sales!$B$5:$B$65,MATCH($A37,Data_Sales!$A$5:$A$65,0))*INDEX(Survival!$C$6:$T$51,(L$4-$A37)+1,MATCH(L$4,Survival!$C$3:$T$3,0))+INDEX(Data_Sales!$C$5:$C$65,MATCH($A37,Data_Sales!$A$5:$A$65,0))*INDEX(Survival!$C$55:$T$100,(L$4-$A37)+1,MATCH(L$4,Survival!$C$3:$T$3,0))))</f>
        <v/>
      </c>
      <c r="M37" s="27">
        <f>IF(M$4&lt;$A37,"",IF((M$4-$A37)&gt;45,0,INDEX(Data_Sales!$B$5:$B$65,MATCH($A37,Data_Sales!$A$5:$A$65,0))*INDEX(Survival!$C$6:$T$51,(M$4-$A37)+1,MATCH(M$4,Survival!$C$3:$T$3,0))+INDEX(Data_Sales!$C$5:$C$65,MATCH($A37,Data_Sales!$A$5:$A$65,0))*INDEX(Survival!$C$55:$T$100,(M$4-$A37)+1,MATCH(M$4,Survival!$C$3:$T$3,0))))</f>
        <v/>
      </c>
      <c r="N37" s="27">
        <f>IF(N$4&lt;$A37,"",IF((N$4-$A37)&gt;45,0,INDEX(Data_Sales!$B$5:$B$65,MATCH($A37,Data_Sales!$A$5:$A$65,0))*INDEX(Survival!$C$6:$T$51,(N$4-$A37)+1,MATCH(N$4,Survival!$C$3:$T$3,0))+INDEX(Data_Sales!$C$5:$C$65,MATCH($A37,Data_Sales!$A$5:$A$65,0))*INDEX(Survival!$C$55:$T$100,(N$4-$A37)+1,MATCH(N$4,Survival!$C$3:$T$3,0))))</f>
        <v/>
      </c>
      <c r="O37" s="27">
        <f>IF(O$4&lt;$A37,"",IF((O$4-$A37)&gt;45,0,INDEX(Data_Sales!$B$5:$B$65,MATCH($A37,Data_Sales!$A$5:$A$65,0))*INDEX(Survival!$C$6:$T$51,(O$4-$A37)+1,MATCH(O$4,Survival!$C$3:$T$3,0))+INDEX(Data_Sales!$C$5:$C$65,MATCH($A37,Data_Sales!$A$5:$A$65,0))*INDEX(Survival!$C$55:$T$100,(O$4-$A37)+1,MATCH(O$4,Survival!$C$3:$T$3,0))))</f>
        <v/>
      </c>
      <c r="P37" s="27">
        <f>IF(P$4&lt;$A37,"",IF((P$4-$A37)&gt;45,0,INDEX(Data_Sales!$B$5:$B$65,MATCH($A37,Data_Sales!$A$5:$A$65,0))*INDEX(Survival!$C$6:$T$51,(P$4-$A37)+1,MATCH(P$4,Survival!$C$3:$T$3,0))+INDEX(Data_Sales!$C$5:$C$65,MATCH($A37,Data_Sales!$A$5:$A$65,0))*INDEX(Survival!$C$55:$T$100,(P$4-$A37)+1,MATCH(P$4,Survival!$C$3:$T$3,0))))</f>
        <v/>
      </c>
      <c r="Q37" s="27">
        <f>IF(Q$4&lt;$A37,"",IF((Q$4-$A37)&gt;45,0,INDEX(Data_Sales!$B$5:$B$65,MATCH($A37,Data_Sales!$A$5:$A$65,0))*INDEX(Survival!$C$6:$T$51,(Q$4-$A37)+1,MATCH(Q$4,Survival!$C$3:$T$3,0))+INDEX(Data_Sales!$C$5:$C$65,MATCH($A37,Data_Sales!$A$5:$A$65,0))*INDEX(Survival!$C$55:$T$100,(Q$4-$A37)+1,MATCH(Q$4,Survival!$C$3:$T$3,0))))</f>
        <v/>
      </c>
      <c r="R37" s="27">
        <f>IF(R$4&lt;$A37,"",IF((R$4-$A37)&gt;45,0,INDEX(Data_Sales!$B$5:$B$65,MATCH($A37,Data_Sales!$A$5:$A$65,0))*INDEX(Survival!$C$6:$T$51,(R$4-$A37)+1,MATCH(R$4,Survival!$C$3:$T$3,0))+INDEX(Data_Sales!$C$5:$C$65,MATCH($A37,Data_Sales!$A$5:$A$65,0))*INDEX(Survival!$C$55:$T$100,(R$4-$A37)+1,MATCH(R$4,Survival!$C$3:$T$3,0))))</f>
        <v/>
      </c>
      <c r="S37" s="27">
        <f>IF(S$4&lt;$A37,"",IF((S$4-$A37)&gt;45,0,INDEX(Data_Sales!$B$5:$B$65,MATCH($A37,Data_Sales!$A$5:$A$65,0))*INDEX(Survival!$C$6:$T$51,(S$4-$A37)+1,MATCH(S$4,Survival!$C$3:$T$3,0))+INDEX(Data_Sales!$C$5:$C$65,MATCH($A37,Data_Sales!$A$5:$A$65,0))*INDEX(Survival!$C$55:$T$100,(S$4-$A37)+1,MATCH(S$4,Survival!$C$3:$T$3,0))))</f>
        <v/>
      </c>
      <c r="T37" s="27">
        <f>IF(T$4&lt;$A37,"",IF((T$4-$A37)&gt;45,0,INDEX(Data_Sales!$B$5:$B$65,MATCH($A37,Data_Sales!$A$5:$A$65,0))*INDEX(Survival!$C$6:$T$51,(T$4-$A37)+1,MATCH(T$4,Survival!$C$3:$T$3,0))+INDEX(Data_Sales!$C$5:$C$65,MATCH($A37,Data_Sales!$A$5:$A$65,0))*INDEX(Survival!$C$55:$T$100,(T$4-$A37)+1,MATCH(T$4,Survival!$C$3:$T$3,0))))</f>
        <v/>
      </c>
    </row>
    <row r="38">
      <c r="A38" s="9" t="n">
        <v>2002</v>
      </c>
      <c r="C38" s="27">
        <f>IF(C$4&lt;$A38,"",IF((C$4-$A38)&gt;45,0,INDEX(Data_Sales!$B$5:$B$65,MATCH($A38,Data_Sales!$A$5:$A$65,0))*INDEX(Survival!$C$6:$T$51,(C$4-$A38)+1,MATCH(C$4,Survival!$C$3:$T$3,0))+INDEX(Data_Sales!$C$5:$C$65,MATCH($A38,Data_Sales!$A$5:$A$65,0))*INDEX(Survival!$C$55:$T$100,(C$4-$A38)+1,MATCH(C$4,Survival!$C$3:$T$3,0))))</f>
        <v/>
      </c>
      <c r="D38" s="27">
        <f>IF(D$4&lt;$A38,"",IF((D$4-$A38)&gt;45,0,INDEX(Data_Sales!$B$5:$B$65,MATCH($A38,Data_Sales!$A$5:$A$65,0))*INDEX(Survival!$C$6:$T$51,(D$4-$A38)+1,MATCH(D$4,Survival!$C$3:$T$3,0))+INDEX(Data_Sales!$C$5:$C$65,MATCH($A38,Data_Sales!$A$5:$A$65,0))*INDEX(Survival!$C$55:$T$100,(D$4-$A38)+1,MATCH(D$4,Survival!$C$3:$T$3,0))))</f>
        <v/>
      </c>
      <c r="E38" s="27">
        <f>IF(E$4&lt;$A38,"",IF((E$4-$A38)&gt;45,0,INDEX(Data_Sales!$B$5:$B$65,MATCH($A38,Data_Sales!$A$5:$A$65,0))*INDEX(Survival!$C$6:$T$51,(E$4-$A38)+1,MATCH(E$4,Survival!$C$3:$T$3,0))+INDEX(Data_Sales!$C$5:$C$65,MATCH($A38,Data_Sales!$A$5:$A$65,0))*INDEX(Survival!$C$55:$T$100,(E$4-$A38)+1,MATCH(E$4,Survival!$C$3:$T$3,0))))</f>
        <v/>
      </c>
      <c r="F38" s="27">
        <f>IF(F$4&lt;$A38,"",IF((F$4-$A38)&gt;45,0,INDEX(Data_Sales!$B$5:$B$65,MATCH($A38,Data_Sales!$A$5:$A$65,0))*INDEX(Survival!$C$6:$T$51,(F$4-$A38)+1,MATCH(F$4,Survival!$C$3:$T$3,0))+INDEX(Data_Sales!$C$5:$C$65,MATCH($A38,Data_Sales!$A$5:$A$65,0))*INDEX(Survival!$C$55:$T$100,(F$4-$A38)+1,MATCH(F$4,Survival!$C$3:$T$3,0))))</f>
        <v/>
      </c>
      <c r="G38" s="27">
        <f>IF(G$4&lt;$A38,"",IF((G$4-$A38)&gt;45,0,INDEX(Data_Sales!$B$5:$B$65,MATCH($A38,Data_Sales!$A$5:$A$65,0))*INDEX(Survival!$C$6:$T$51,(G$4-$A38)+1,MATCH(G$4,Survival!$C$3:$T$3,0))+INDEX(Data_Sales!$C$5:$C$65,MATCH($A38,Data_Sales!$A$5:$A$65,0))*INDEX(Survival!$C$55:$T$100,(G$4-$A38)+1,MATCH(G$4,Survival!$C$3:$T$3,0))))</f>
        <v/>
      </c>
      <c r="H38" s="27">
        <f>IF(H$4&lt;$A38,"",IF((H$4-$A38)&gt;45,0,INDEX(Data_Sales!$B$5:$B$65,MATCH($A38,Data_Sales!$A$5:$A$65,0))*INDEX(Survival!$C$6:$T$51,(H$4-$A38)+1,MATCH(H$4,Survival!$C$3:$T$3,0))+INDEX(Data_Sales!$C$5:$C$65,MATCH($A38,Data_Sales!$A$5:$A$65,0))*INDEX(Survival!$C$55:$T$100,(H$4-$A38)+1,MATCH(H$4,Survival!$C$3:$T$3,0))))</f>
        <v/>
      </c>
      <c r="I38" s="27">
        <f>IF(I$4&lt;$A38,"",IF((I$4-$A38)&gt;45,0,INDEX(Data_Sales!$B$5:$B$65,MATCH($A38,Data_Sales!$A$5:$A$65,0))*INDEX(Survival!$C$6:$T$51,(I$4-$A38)+1,MATCH(I$4,Survival!$C$3:$T$3,0))+INDEX(Data_Sales!$C$5:$C$65,MATCH($A38,Data_Sales!$A$5:$A$65,0))*INDEX(Survival!$C$55:$T$100,(I$4-$A38)+1,MATCH(I$4,Survival!$C$3:$T$3,0))))</f>
        <v/>
      </c>
      <c r="J38" s="27">
        <f>IF(J$4&lt;$A38,"",IF((J$4-$A38)&gt;45,0,INDEX(Data_Sales!$B$5:$B$65,MATCH($A38,Data_Sales!$A$5:$A$65,0))*INDEX(Survival!$C$6:$T$51,(J$4-$A38)+1,MATCH(J$4,Survival!$C$3:$T$3,0))+INDEX(Data_Sales!$C$5:$C$65,MATCH($A38,Data_Sales!$A$5:$A$65,0))*INDEX(Survival!$C$55:$T$100,(J$4-$A38)+1,MATCH(J$4,Survival!$C$3:$T$3,0))))</f>
        <v/>
      </c>
      <c r="K38" s="27">
        <f>IF(K$4&lt;$A38,"",IF((K$4-$A38)&gt;45,0,INDEX(Data_Sales!$B$5:$B$65,MATCH($A38,Data_Sales!$A$5:$A$65,0))*INDEX(Survival!$C$6:$T$51,(K$4-$A38)+1,MATCH(K$4,Survival!$C$3:$T$3,0))+INDEX(Data_Sales!$C$5:$C$65,MATCH($A38,Data_Sales!$A$5:$A$65,0))*INDEX(Survival!$C$55:$T$100,(K$4-$A38)+1,MATCH(K$4,Survival!$C$3:$T$3,0))))</f>
        <v/>
      </c>
      <c r="L38" s="27">
        <f>IF(L$4&lt;$A38,"",IF((L$4-$A38)&gt;45,0,INDEX(Data_Sales!$B$5:$B$65,MATCH($A38,Data_Sales!$A$5:$A$65,0))*INDEX(Survival!$C$6:$T$51,(L$4-$A38)+1,MATCH(L$4,Survival!$C$3:$T$3,0))+INDEX(Data_Sales!$C$5:$C$65,MATCH($A38,Data_Sales!$A$5:$A$65,0))*INDEX(Survival!$C$55:$T$100,(L$4-$A38)+1,MATCH(L$4,Survival!$C$3:$T$3,0))))</f>
        <v/>
      </c>
      <c r="M38" s="27">
        <f>IF(M$4&lt;$A38,"",IF((M$4-$A38)&gt;45,0,INDEX(Data_Sales!$B$5:$B$65,MATCH($A38,Data_Sales!$A$5:$A$65,0))*INDEX(Survival!$C$6:$T$51,(M$4-$A38)+1,MATCH(M$4,Survival!$C$3:$T$3,0))+INDEX(Data_Sales!$C$5:$C$65,MATCH($A38,Data_Sales!$A$5:$A$65,0))*INDEX(Survival!$C$55:$T$100,(M$4-$A38)+1,MATCH(M$4,Survival!$C$3:$T$3,0))))</f>
        <v/>
      </c>
      <c r="N38" s="27">
        <f>IF(N$4&lt;$A38,"",IF((N$4-$A38)&gt;45,0,INDEX(Data_Sales!$B$5:$B$65,MATCH($A38,Data_Sales!$A$5:$A$65,0))*INDEX(Survival!$C$6:$T$51,(N$4-$A38)+1,MATCH(N$4,Survival!$C$3:$T$3,0))+INDEX(Data_Sales!$C$5:$C$65,MATCH($A38,Data_Sales!$A$5:$A$65,0))*INDEX(Survival!$C$55:$T$100,(N$4-$A38)+1,MATCH(N$4,Survival!$C$3:$T$3,0))))</f>
        <v/>
      </c>
      <c r="O38" s="27">
        <f>IF(O$4&lt;$A38,"",IF((O$4-$A38)&gt;45,0,INDEX(Data_Sales!$B$5:$B$65,MATCH($A38,Data_Sales!$A$5:$A$65,0))*INDEX(Survival!$C$6:$T$51,(O$4-$A38)+1,MATCH(O$4,Survival!$C$3:$T$3,0))+INDEX(Data_Sales!$C$5:$C$65,MATCH($A38,Data_Sales!$A$5:$A$65,0))*INDEX(Survival!$C$55:$T$100,(O$4-$A38)+1,MATCH(O$4,Survival!$C$3:$T$3,0))))</f>
        <v/>
      </c>
      <c r="P38" s="27">
        <f>IF(P$4&lt;$A38,"",IF((P$4-$A38)&gt;45,0,INDEX(Data_Sales!$B$5:$B$65,MATCH($A38,Data_Sales!$A$5:$A$65,0))*INDEX(Survival!$C$6:$T$51,(P$4-$A38)+1,MATCH(P$4,Survival!$C$3:$T$3,0))+INDEX(Data_Sales!$C$5:$C$65,MATCH($A38,Data_Sales!$A$5:$A$65,0))*INDEX(Survival!$C$55:$T$100,(P$4-$A38)+1,MATCH(P$4,Survival!$C$3:$T$3,0))))</f>
        <v/>
      </c>
      <c r="Q38" s="27">
        <f>IF(Q$4&lt;$A38,"",IF((Q$4-$A38)&gt;45,0,INDEX(Data_Sales!$B$5:$B$65,MATCH($A38,Data_Sales!$A$5:$A$65,0))*INDEX(Survival!$C$6:$T$51,(Q$4-$A38)+1,MATCH(Q$4,Survival!$C$3:$T$3,0))+INDEX(Data_Sales!$C$5:$C$65,MATCH($A38,Data_Sales!$A$5:$A$65,0))*INDEX(Survival!$C$55:$T$100,(Q$4-$A38)+1,MATCH(Q$4,Survival!$C$3:$T$3,0))))</f>
        <v/>
      </c>
      <c r="R38" s="27">
        <f>IF(R$4&lt;$A38,"",IF((R$4-$A38)&gt;45,0,INDEX(Data_Sales!$B$5:$B$65,MATCH($A38,Data_Sales!$A$5:$A$65,0))*INDEX(Survival!$C$6:$T$51,(R$4-$A38)+1,MATCH(R$4,Survival!$C$3:$T$3,0))+INDEX(Data_Sales!$C$5:$C$65,MATCH($A38,Data_Sales!$A$5:$A$65,0))*INDEX(Survival!$C$55:$T$100,(R$4-$A38)+1,MATCH(R$4,Survival!$C$3:$T$3,0))))</f>
        <v/>
      </c>
      <c r="S38" s="27">
        <f>IF(S$4&lt;$A38,"",IF((S$4-$A38)&gt;45,0,INDEX(Data_Sales!$B$5:$B$65,MATCH($A38,Data_Sales!$A$5:$A$65,0))*INDEX(Survival!$C$6:$T$51,(S$4-$A38)+1,MATCH(S$4,Survival!$C$3:$T$3,0))+INDEX(Data_Sales!$C$5:$C$65,MATCH($A38,Data_Sales!$A$5:$A$65,0))*INDEX(Survival!$C$55:$T$100,(S$4-$A38)+1,MATCH(S$4,Survival!$C$3:$T$3,0))))</f>
        <v/>
      </c>
      <c r="T38" s="27">
        <f>IF(T$4&lt;$A38,"",IF((T$4-$A38)&gt;45,0,INDEX(Data_Sales!$B$5:$B$65,MATCH($A38,Data_Sales!$A$5:$A$65,0))*INDEX(Survival!$C$6:$T$51,(T$4-$A38)+1,MATCH(T$4,Survival!$C$3:$T$3,0))+INDEX(Data_Sales!$C$5:$C$65,MATCH($A38,Data_Sales!$A$5:$A$65,0))*INDEX(Survival!$C$55:$T$100,(T$4-$A38)+1,MATCH(T$4,Survival!$C$3:$T$3,0))))</f>
        <v/>
      </c>
    </row>
    <row r="39">
      <c r="A39" s="9" t="n">
        <v>2003</v>
      </c>
      <c r="C39" s="27">
        <f>IF(C$4&lt;$A39,"",IF((C$4-$A39)&gt;45,0,INDEX(Data_Sales!$B$5:$B$65,MATCH($A39,Data_Sales!$A$5:$A$65,0))*INDEX(Survival!$C$6:$T$51,(C$4-$A39)+1,MATCH(C$4,Survival!$C$3:$T$3,0))+INDEX(Data_Sales!$C$5:$C$65,MATCH($A39,Data_Sales!$A$5:$A$65,0))*INDEX(Survival!$C$55:$T$100,(C$4-$A39)+1,MATCH(C$4,Survival!$C$3:$T$3,0))))</f>
        <v/>
      </c>
      <c r="D39" s="27">
        <f>IF(D$4&lt;$A39,"",IF((D$4-$A39)&gt;45,0,INDEX(Data_Sales!$B$5:$B$65,MATCH($A39,Data_Sales!$A$5:$A$65,0))*INDEX(Survival!$C$6:$T$51,(D$4-$A39)+1,MATCH(D$4,Survival!$C$3:$T$3,0))+INDEX(Data_Sales!$C$5:$C$65,MATCH($A39,Data_Sales!$A$5:$A$65,0))*INDEX(Survival!$C$55:$T$100,(D$4-$A39)+1,MATCH(D$4,Survival!$C$3:$T$3,0))))</f>
        <v/>
      </c>
      <c r="E39" s="27">
        <f>IF(E$4&lt;$A39,"",IF((E$4-$A39)&gt;45,0,INDEX(Data_Sales!$B$5:$B$65,MATCH($A39,Data_Sales!$A$5:$A$65,0))*INDEX(Survival!$C$6:$T$51,(E$4-$A39)+1,MATCH(E$4,Survival!$C$3:$T$3,0))+INDEX(Data_Sales!$C$5:$C$65,MATCH($A39,Data_Sales!$A$5:$A$65,0))*INDEX(Survival!$C$55:$T$100,(E$4-$A39)+1,MATCH(E$4,Survival!$C$3:$T$3,0))))</f>
        <v/>
      </c>
      <c r="F39" s="27">
        <f>IF(F$4&lt;$A39,"",IF((F$4-$A39)&gt;45,0,INDEX(Data_Sales!$B$5:$B$65,MATCH($A39,Data_Sales!$A$5:$A$65,0))*INDEX(Survival!$C$6:$T$51,(F$4-$A39)+1,MATCH(F$4,Survival!$C$3:$T$3,0))+INDEX(Data_Sales!$C$5:$C$65,MATCH($A39,Data_Sales!$A$5:$A$65,0))*INDEX(Survival!$C$55:$T$100,(F$4-$A39)+1,MATCH(F$4,Survival!$C$3:$T$3,0))))</f>
        <v/>
      </c>
      <c r="G39" s="27">
        <f>IF(G$4&lt;$A39,"",IF((G$4-$A39)&gt;45,0,INDEX(Data_Sales!$B$5:$B$65,MATCH($A39,Data_Sales!$A$5:$A$65,0))*INDEX(Survival!$C$6:$T$51,(G$4-$A39)+1,MATCH(G$4,Survival!$C$3:$T$3,0))+INDEX(Data_Sales!$C$5:$C$65,MATCH($A39,Data_Sales!$A$5:$A$65,0))*INDEX(Survival!$C$55:$T$100,(G$4-$A39)+1,MATCH(G$4,Survival!$C$3:$T$3,0))))</f>
        <v/>
      </c>
      <c r="H39" s="27">
        <f>IF(H$4&lt;$A39,"",IF((H$4-$A39)&gt;45,0,INDEX(Data_Sales!$B$5:$B$65,MATCH($A39,Data_Sales!$A$5:$A$65,0))*INDEX(Survival!$C$6:$T$51,(H$4-$A39)+1,MATCH(H$4,Survival!$C$3:$T$3,0))+INDEX(Data_Sales!$C$5:$C$65,MATCH($A39,Data_Sales!$A$5:$A$65,0))*INDEX(Survival!$C$55:$T$100,(H$4-$A39)+1,MATCH(H$4,Survival!$C$3:$T$3,0))))</f>
        <v/>
      </c>
      <c r="I39" s="27">
        <f>IF(I$4&lt;$A39,"",IF((I$4-$A39)&gt;45,0,INDEX(Data_Sales!$B$5:$B$65,MATCH($A39,Data_Sales!$A$5:$A$65,0))*INDEX(Survival!$C$6:$T$51,(I$4-$A39)+1,MATCH(I$4,Survival!$C$3:$T$3,0))+INDEX(Data_Sales!$C$5:$C$65,MATCH($A39,Data_Sales!$A$5:$A$65,0))*INDEX(Survival!$C$55:$T$100,(I$4-$A39)+1,MATCH(I$4,Survival!$C$3:$T$3,0))))</f>
        <v/>
      </c>
      <c r="J39" s="27">
        <f>IF(J$4&lt;$A39,"",IF((J$4-$A39)&gt;45,0,INDEX(Data_Sales!$B$5:$B$65,MATCH($A39,Data_Sales!$A$5:$A$65,0))*INDEX(Survival!$C$6:$T$51,(J$4-$A39)+1,MATCH(J$4,Survival!$C$3:$T$3,0))+INDEX(Data_Sales!$C$5:$C$65,MATCH($A39,Data_Sales!$A$5:$A$65,0))*INDEX(Survival!$C$55:$T$100,(J$4-$A39)+1,MATCH(J$4,Survival!$C$3:$T$3,0))))</f>
        <v/>
      </c>
      <c r="K39" s="27">
        <f>IF(K$4&lt;$A39,"",IF((K$4-$A39)&gt;45,0,INDEX(Data_Sales!$B$5:$B$65,MATCH($A39,Data_Sales!$A$5:$A$65,0))*INDEX(Survival!$C$6:$T$51,(K$4-$A39)+1,MATCH(K$4,Survival!$C$3:$T$3,0))+INDEX(Data_Sales!$C$5:$C$65,MATCH($A39,Data_Sales!$A$5:$A$65,0))*INDEX(Survival!$C$55:$T$100,(K$4-$A39)+1,MATCH(K$4,Survival!$C$3:$T$3,0))))</f>
        <v/>
      </c>
      <c r="L39" s="27">
        <f>IF(L$4&lt;$A39,"",IF((L$4-$A39)&gt;45,0,INDEX(Data_Sales!$B$5:$B$65,MATCH($A39,Data_Sales!$A$5:$A$65,0))*INDEX(Survival!$C$6:$T$51,(L$4-$A39)+1,MATCH(L$4,Survival!$C$3:$T$3,0))+INDEX(Data_Sales!$C$5:$C$65,MATCH($A39,Data_Sales!$A$5:$A$65,0))*INDEX(Survival!$C$55:$T$100,(L$4-$A39)+1,MATCH(L$4,Survival!$C$3:$T$3,0))))</f>
        <v/>
      </c>
      <c r="M39" s="27">
        <f>IF(M$4&lt;$A39,"",IF((M$4-$A39)&gt;45,0,INDEX(Data_Sales!$B$5:$B$65,MATCH($A39,Data_Sales!$A$5:$A$65,0))*INDEX(Survival!$C$6:$T$51,(M$4-$A39)+1,MATCH(M$4,Survival!$C$3:$T$3,0))+INDEX(Data_Sales!$C$5:$C$65,MATCH($A39,Data_Sales!$A$5:$A$65,0))*INDEX(Survival!$C$55:$T$100,(M$4-$A39)+1,MATCH(M$4,Survival!$C$3:$T$3,0))))</f>
        <v/>
      </c>
      <c r="N39" s="27">
        <f>IF(N$4&lt;$A39,"",IF((N$4-$A39)&gt;45,0,INDEX(Data_Sales!$B$5:$B$65,MATCH($A39,Data_Sales!$A$5:$A$65,0))*INDEX(Survival!$C$6:$T$51,(N$4-$A39)+1,MATCH(N$4,Survival!$C$3:$T$3,0))+INDEX(Data_Sales!$C$5:$C$65,MATCH($A39,Data_Sales!$A$5:$A$65,0))*INDEX(Survival!$C$55:$T$100,(N$4-$A39)+1,MATCH(N$4,Survival!$C$3:$T$3,0))))</f>
        <v/>
      </c>
      <c r="O39" s="27">
        <f>IF(O$4&lt;$A39,"",IF((O$4-$A39)&gt;45,0,INDEX(Data_Sales!$B$5:$B$65,MATCH($A39,Data_Sales!$A$5:$A$65,0))*INDEX(Survival!$C$6:$T$51,(O$4-$A39)+1,MATCH(O$4,Survival!$C$3:$T$3,0))+INDEX(Data_Sales!$C$5:$C$65,MATCH($A39,Data_Sales!$A$5:$A$65,0))*INDEX(Survival!$C$55:$T$100,(O$4-$A39)+1,MATCH(O$4,Survival!$C$3:$T$3,0))))</f>
        <v/>
      </c>
      <c r="P39" s="27">
        <f>IF(P$4&lt;$A39,"",IF((P$4-$A39)&gt;45,0,INDEX(Data_Sales!$B$5:$B$65,MATCH($A39,Data_Sales!$A$5:$A$65,0))*INDEX(Survival!$C$6:$T$51,(P$4-$A39)+1,MATCH(P$4,Survival!$C$3:$T$3,0))+INDEX(Data_Sales!$C$5:$C$65,MATCH($A39,Data_Sales!$A$5:$A$65,0))*INDEX(Survival!$C$55:$T$100,(P$4-$A39)+1,MATCH(P$4,Survival!$C$3:$T$3,0))))</f>
        <v/>
      </c>
      <c r="Q39" s="27">
        <f>IF(Q$4&lt;$A39,"",IF((Q$4-$A39)&gt;45,0,INDEX(Data_Sales!$B$5:$B$65,MATCH($A39,Data_Sales!$A$5:$A$65,0))*INDEX(Survival!$C$6:$T$51,(Q$4-$A39)+1,MATCH(Q$4,Survival!$C$3:$T$3,0))+INDEX(Data_Sales!$C$5:$C$65,MATCH($A39,Data_Sales!$A$5:$A$65,0))*INDEX(Survival!$C$55:$T$100,(Q$4-$A39)+1,MATCH(Q$4,Survival!$C$3:$T$3,0))))</f>
        <v/>
      </c>
      <c r="R39" s="27">
        <f>IF(R$4&lt;$A39,"",IF((R$4-$A39)&gt;45,0,INDEX(Data_Sales!$B$5:$B$65,MATCH($A39,Data_Sales!$A$5:$A$65,0))*INDEX(Survival!$C$6:$T$51,(R$4-$A39)+1,MATCH(R$4,Survival!$C$3:$T$3,0))+INDEX(Data_Sales!$C$5:$C$65,MATCH($A39,Data_Sales!$A$5:$A$65,0))*INDEX(Survival!$C$55:$T$100,(R$4-$A39)+1,MATCH(R$4,Survival!$C$3:$T$3,0))))</f>
        <v/>
      </c>
      <c r="S39" s="27">
        <f>IF(S$4&lt;$A39,"",IF((S$4-$A39)&gt;45,0,INDEX(Data_Sales!$B$5:$B$65,MATCH($A39,Data_Sales!$A$5:$A$65,0))*INDEX(Survival!$C$6:$T$51,(S$4-$A39)+1,MATCH(S$4,Survival!$C$3:$T$3,0))+INDEX(Data_Sales!$C$5:$C$65,MATCH($A39,Data_Sales!$A$5:$A$65,0))*INDEX(Survival!$C$55:$T$100,(S$4-$A39)+1,MATCH(S$4,Survival!$C$3:$T$3,0))))</f>
        <v/>
      </c>
      <c r="T39" s="27">
        <f>IF(T$4&lt;$A39,"",IF((T$4-$A39)&gt;45,0,INDEX(Data_Sales!$B$5:$B$65,MATCH($A39,Data_Sales!$A$5:$A$65,0))*INDEX(Survival!$C$6:$T$51,(T$4-$A39)+1,MATCH(T$4,Survival!$C$3:$T$3,0))+INDEX(Data_Sales!$C$5:$C$65,MATCH($A39,Data_Sales!$A$5:$A$65,0))*INDEX(Survival!$C$55:$T$100,(T$4-$A39)+1,MATCH(T$4,Survival!$C$3:$T$3,0))))</f>
        <v/>
      </c>
    </row>
    <row r="40">
      <c r="A40" s="9" t="n">
        <v>2004</v>
      </c>
      <c r="C40" s="27">
        <f>IF(C$4&lt;$A40,"",IF((C$4-$A40)&gt;45,0,INDEX(Data_Sales!$B$5:$B$65,MATCH($A40,Data_Sales!$A$5:$A$65,0))*INDEX(Survival!$C$6:$T$51,(C$4-$A40)+1,MATCH(C$4,Survival!$C$3:$T$3,0))+INDEX(Data_Sales!$C$5:$C$65,MATCH($A40,Data_Sales!$A$5:$A$65,0))*INDEX(Survival!$C$55:$T$100,(C$4-$A40)+1,MATCH(C$4,Survival!$C$3:$T$3,0))))</f>
        <v/>
      </c>
      <c r="D40" s="27">
        <f>IF(D$4&lt;$A40,"",IF((D$4-$A40)&gt;45,0,INDEX(Data_Sales!$B$5:$B$65,MATCH($A40,Data_Sales!$A$5:$A$65,0))*INDEX(Survival!$C$6:$T$51,(D$4-$A40)+1,MATCH(D$4,Survival!$C$3:$T$3,0))+INDEX(Data_Sales!$C$5:$C$65,MATCH($A40,Data_Sales!$A$5:$A$65,0))*INDEX(Survival!$C$55:$T$100,(D$4-$A40)+1,MATCH(D$4,Survival!$C$3:$T$3,0))))</f>
        <v/>
      </c>
      <c r="E40" s="27">
        <f>IF(E$4&lt;$A40,"",IF((E$4-$A40)&gt;45,0,INDEX(Data_Sales!$B$5:$B$65,MATCH($A40,Data_Sales!$A$5:$A$65,0))*INDEX(Survival!$C$6:$T$51,(E$4-$A40)+1,MATCH(E$4,Survival!$C$3:$T$3,0))+INDEX(Data_Sales!$C$5:$C$65,MATCH($A40,Data_Sales!$A$5:$A$65,0))*INDEX(Survival!$C$55:$T$100,(E$4-$A40)+1,MATCH(E$4,Survival!$C$3:$T$3,0))))</f>
        <v/>
      </c>
      <c r="F40" s="27">
        <f>IF(F$4&lt;$A40,"",IF((F$4-$A40)&gt;45,0,INDEX(Data_Sales!$B$5:$B$65,MATCH($A40,Data_Sales!$A$5:$A$65,0))*INDEX(Survival!$C$6:$T$51,(F$4-$A40)+1,MATCH(F$4,Survival!$C$3:$T$3,0))+INDEX(Data_Sales!$C$5:$C$65,MATCH($A40,Data_Sales!$A$5:$A$65,0))*INDEX(Survival!$C$55:$T$100,(F$4-$A40)+1,MATCH(F$4,Survival!$C$3:$T$3,0))))</f>
        <v/>
      </c>
      <c r="G40" s="27">
        <f>IF(G$4&lt;$A40,"",IF((G$4-$A40)&gt;45,0,INDEX(Data_Sales!$B$5:$B$65,MATCH($A40,Data_Sales!$A$5:$A$65,0))*INDEX(Survival!$C$6:$T$51,(G$4-$A40)+1,MATCH(G$4,Survival!$C$3:$T$3,0))+INDEX(Data_Sales!$C$5:$C$65,MATCH($A40,Data_Sales!$A$5:$A$65,0))*INDEX(Survival!$C$55:$T$100,(G$4-$A40)+1,MATCH(G$4,Survival!$C$3:$T$3,0))))</f>
        <v/>
      </c>
      <c r="H40" s="27">
        <f>IF(H$4&lt;$A40,"",IF((H$4-$A40)&gt;45,0,INDEX(Data_Sales!$B$5:$B$65,MATCH($A40,Data_Sales!$A$5:$A$65,0))*INDEX(Survival!$C$6:$T$51,(H$4-$A40)+1,MATCH(H$4,Survival!$C$3:$T$3,0))+INDEX(Data_Sales!$C$5:$C$65,MATCH($A40,Data_Sales!$A$5:$A$65,0))*INDEX(Survival!$C$55:$T$100,(H$4-$A40)+1,MATCH(H$4,Survival!$C$3:$T$3,0))))</f>
        <v/>
      </c>
      <c r="I40" s="27">
        <f>IF(I$4&lt;$A40,"",IF((I$4-$A40)&gt;45,0,INDEX(Data_Sales!$B$5:$B$65,MATCH($A40,Data_Sales!$A$5:$A$65,0))*INDEX(Survival!$C$6:$T$51,(I$4-$A40)+1,MATCH(I$4,Survival!$C$3:$T$3,0))+INDEX(Data_Sales!$C$5:$C$65,MATCH($A40,Data_Sales!$A$5:$A$65,0))*INDEX(Survival!$C$55:$T$100,(I$4-$A40)+1,MATCH(I$4,Survival!$C$3:$T$3,0))))</f>
        <v/>
      </c>
      <c r="J40" s="27">
        <f>IF(J$4&lt;$A40,"",IF((J$4-$A40)&gt;45,0,INDEX(Data_Sales!$B$5:$B$65,MATCH($A40,Data_Sales!$A$5:$A$65,0))*INDEX(Survival!$C$6:$T$51,(J$4-$A40)+1,MATCH(J$4,Survival!$C$3:$T$3,0))+INDEX(Data_Sales!$C$5:$C$65,MATCH($A40,Data_Sales!$A$5:$A$65,0))*INDEX(Survival!$C$55:$T$100,(J$4-$A40)+1,MATCH(J$4,Survival!$C$3:$T$3,0))))</f>
        <v/>
      </c>
      <c r="K40" s="27">
        <f>IF(K$4&lt;$A40,"",IF((K$4-$A40)&gt;45,0,INDEX(Data_Sales!$B$5:$B$65,MATCH($A40,Data_Sales!$A$5:$A$65,0))*INDEX(Survival!$C$6:$T$51,(K$4-$A40)+1,MATCH(K$4,Survival!$C$3:$T$3,0))+INDEX(Data_Sales!$C$5:$C$65,MATCH($A40,Data_Sales!$A$5:$A$65,0))*INDEX(Survival!$C$55:$T$100,(K$4-$A40)+1,MATCH(K$4,Survival!$C$3:$T$3,0))))</f>
        <v/>
      </c>
      <c r="L40" s="27">
        <f>IF(L$4&lt;$A40,"",IF((L$4-$A40)&gt;45,0,INDEX(Data_Sales!$B$5:$B$65,MATCH($A40,Data_Sales!$A$5:$A$65,0))*INDEX(Survival!$C$6:$T$51,(L$4-$A40)+1,MATCH(L$4,Survival!$C$3:$T$3,0))+INDEX(Data_Sales!$C$5:$C$65,MATCH($A40,Data_Sales!$A$5:$A$65,0))*INDEX(Survival!$C$55:$T$100,(L$4-$A40)+1,MATCH(L$4,Survival!$C$3:$T$3,0))))</f>
        <v/>
      </c>
      <c r="M40" s="27">
        <f>IF(M$4&lt;$A40,"",IF((M$4-$A40)&gt;45,0,INDEX(Data_Sales!$B$5:$B$65,MATCH($A40,Data_Sales!$A$5:$A$65,0))*INDEX(Survival!$C$6:$T$51,(M$4-$A40)+1,MATCH(M$4,Survival!$C$3:$T$3,0))+INDEX(Data_Sales!$C$5:$C$65,MATCH($A40,Data_Sales!$A$5:$A$65,0))*INDEX(Survival!$C$55:$T$100,(M$4-$A40)+1,MATCH(M$4,Survival!$C$3:$T$3,0))))</f>
        <v/>
      </c>
      <c r="N40" s="27">
        <f>IF(N$4&lt;$A40,"",IF((N$4-$A40)&gt;45,0,INDEX(Data_Sales!$B$5:$B$65,MATCH($A40,Data_Sales!$A$5:$A$65,0))*INDEX(Survival!$C$6:$T$51,(N$4-$A40)+1,MATCH(N$4,Survival!$C$3:$T$3,0))+INDEX(Data_Sales!$C$5:$C$65,MATCH($A40,Data_Sales!$A$5:$A$65,0))*INDEX(Survival!$C$55:$T$100,(N$4-$A40)+1,MATCH(N$4,Survival!$C$3:$T$3,0))))</f>
        <v/>
      </c>
      <c r="O40" s="27">
        <f>IF(O$4&lt;$A40,"",IF((O$4-$A40)&gt;45,0,INDEX(Data_Sales!$B$5:$B$65,MATCH($A40,Data_Sales!$A$5:$A$65,0))*INDEX(Survival!$C$6:$T$51,(O$4-$A40)+1,MATCH(O$4,Survival!$C$3:$T$3,0))+INDEX(Data_Sales!$C$5:$C$65,MATCH($A40,Data_Sales!$A$5:$A$65,0))*INDEX(Survival!$C$55:$T$100,(O$4-$A40)+1,MATCH(O$4,Survival!$C$3:$T$3,0))))</f>
        <v/>
      </c>
      <c r="P40" s="27">
        <f>IF(P$4&lt;$A40,"",IF((P$4-$A40)&gt;45,0,INDEX(Data_Sales!$B$5:$B$65,MATCH($A40,Data_Sales!$A$5:$A$65,0))*INDEX(Survival!$C$6:$T$51,(P$4-$A40)+1,MATCH(P$4,Survival!$C$3:$T$3,0))+INDEX(Data_Sales!$C$5:$C$65,MATCH($A40,Data_Sales!$A$5:$A$65,0))*INDEX(Survival!$C$55:$T$100,(P$4-$A40)+1,MATCH(P$4,Survival!$C$3:$T$3,0))))</f>
        <v/>
      </c>
      <c r="Q40" s="27">
        <f>IF(Q$4&lt;$A40,"",IF((Q$4-$A40)&gt;45,0,INDEX(Data_Sales!$B$5:$B$65,MATCH($A40,Data_Sales!$A$5:$A$65,0))*INDEX(Survival!$C$6:$T$51,(Q$4-$A40)+1,MATCH(Q$4,Survival!$C$3:$T$3,0))+INDEX(Data_Sales!$C$5:$C$65,MATCH($A40,Data_Sales!$A$5:$A$65,0))*INDEX(Survival!$C$55:$T$100,(Q$4-$A40)+1,MATCH(Q$4,Survival!$C$3:$T$3,0))))</f>
        <v/>
      </c>
      <c r="R40" s="27">
        <f>IF(R$4&lt;$A40,"",IF((R$4-$A40)&gt;45,0,INDEX(Data_Sales!$B$5:$B$65,MATCH($A40,Data_Sales!$A$5:$A$65,0))*INDEX(Survival!$C$6:$T$51,(R$4-$A40)+1,MATCH(R$4,Survival!$C$3:$T$3,0))+INDEX(Data_Sales!$C$5:$C$65,MATCH($A40,Data_Sales!$A$5:$A$65,0))*INDEX(Survival!$C$55:$T$100,(R$4-$A40)+1,MATCH(R$4,Survival!$C$3:$T$3,0))))</f>
        <v/>
      </c>
      <c r="S40" s="27">
        <f>IF(S$4&lt;$A40,"",IF((S$4-$A40)&gt;45,0,INDEX(Data_Sales!$B$5:$B$65,MATCH($A40,Data_Sales!$A$5:$A$65,0))*INDEX(Survival!$C$6:$T$51,(S$4-$A40)+1,MATCH(S$4,Survival!$C$3:$T$3,0))+INDEX(Data_Sales!$C$5:$C$65,MATCH($A40,Data_Sales!$A$5:$A$65,0))*INDEX(Survival!$C$55:$T$100,(S$4-$A40)+1,MATCH(S$4,Survival!$C$3:$T$3,0))))</f>
        <v/>
      </c>
      <c r="T40" s="27">
        <f>IF(T$4&lt;$A40,"",IF((T$4-$A40)&gt;45,0,INDEX(Data_Sales!$B$5:$B$65,MATCH($A40,Data_Sales!$A$5:$A$65,0))*INDEX(Survival!$C$6:$T$51,(T$4-$A40)+1,MATCH(T$4,Survival!$C$3:$T$3,0))+INDEX(Data_Sales!$C$5:$C$65,MATCH($A40,Data_Sales!$A$5:$A$65,0))*INDEX(Survival!$C$55:$T$100,(T$4-$A40)+1,MATCH(T$4,Survival!$C$3:$T$3,0))))</f>
        <v/>
      </c>
    </row>
    <row r="41">
      <c r="A41" s="9" t="n">
        <v>2005</v>
      </c>
      <c r="C41" s="27">
        <f>IF(C$4&lt;$A41,"",IF((C$4-$A41)&gt;45,0,INDEX(Data_Sales!$B$5:$B$65,MATCH($A41,Data_Sales!$A$5:$A$65,0))*INDEX(Survival!$C$6:$T$51,(C$4-$A41)+1,MATCH(C$4,Survival!$C$3:$T$3,0))+INDEX(Data_Sales!$C$5:$C$65,MATCH($A41,Data_Sales!$A$5:$A$65,0))*INDEX(Survival!$C$55:$T$100,(C$4-$A41)+1,MATCH(C$4,Survival!$C$3:$T$3,0))))</f>
        <v/>
      </c>
      <c r="D41" s="27">
        <f>IF(D$4&lt;$A41,"",IF((D$4-$A41)&gt;45,0,INDEX(Data_Sales!$B$5:$B$65,MATCH($A41,Data_Sales!$A$5:$A$65,0))*INDEX(Survival!$C$6:$T$51,(D$4-$A41)+1,MATCH(D$4,Survival!$C$3:$T$3,0))+INDEX(Data_Sales!$C$5:$C$65,MATCH($A41,Data_Sales!$A$5:$A$65,0))*INDEX(Survival!$C$55:$T$100,(D$4-$A41)+1,MATCH(D$4,Survival!$C$3:$T$3,0))))</f>
        <v/>
      </c>
      <c r="E41" s="27">
        <f>IF(E$4&lt;$A41,"",IF((E$4-$A41)&gt;45,0,INDEX(Data_Sales!$B$5:$B$65,MATCH($A41,Data_Sales!$A$5:$A$65,0))*INDEX(Survival!$C$6:$T$51,(E$4-$A41)+1,MATCH(E$4,Survival!$C$3:$T$3,0))+INDEX(Data_Sales!$C$5:$C$65,MATCH($A41,Data_Sales!$A$5:$A$65,0))*INDEX(Survival!$C$55:$T$100,(E$4-$A41)+1,MATCH(E$4,Survival!$C$3:$T$3,0))))</f>
        <v/>
      </c>
      <c r="F41" s="27">
        <f>IF(F$4&lt;$A41,"",IF((F$4-$A41)&gt;45,0,INDEX(Data_Sales!$B$5:$B$65,MATCH($A41,Data_Sales!$A$5:$A$65,0))*INDEX(Survival!$C$6:$T$51,(F$4-$A41)+1,MATCH(F$4,Survival!$C$3:$T$3,0))+INDEX(Data_Sales!$C$5:$C$65,MATCH($A41,Data_Sales!$A$5:$A$65,0))*INDEX(Survival!$C$55:$T$100,(F$4-$A41)+1,MATCH(F$4,Survival!$C$3:$T$3,0))))</f>
        <v/>
      </c>
      <c r="G41" s="27">
        <f>IF(G$4&lt;$A41,"",IF((G$4-$A41)&gt;45,0,INDEX(Data_Sales!$B$5:$B$65,MATCH($A41,Data_Sales!$A$5:$A$65,0))*INDEX(Survival!$C$6:$T$51,(G$4-$A41)+1,MATCH(G$4,Survival!$C$3:$T$3,0))+INDEX(Data_Sales!$C$5:$C$65,MATCH($A41,Data_Sales!$A$5:$A$65,0))*INDEX(Survival!$C$55:$T$100,(G$4-$A41)+1,MATCH(G$4,Survival!$C$3:$T$3,0))))</f>
        <v/>
      </c>
      <c r="H41" s="27">
        <f>IF(H$4&lt;$A41,"",IF((H$4-$A41)&gt;45,0,INDEX(Data_Sales!$B$5:$B$65,MATCH($A41,Data_Sales!$A$5:$A$65,0))*INDEX(Survival!$C$6:$T$51,(H$4-$A41)+1,MATCH(H$4,Survival!$C$3:$T$3,0))+INDEX(Data_Sales!$C$5:$C$65,MATCH($A41,Data_Sales!$A$5:$A$65,0))*INDEX(Survival!$C$55:$T$100,(H$4-$A41)+1,MATCH(H$4,Survival!$C$3:$T$3,0))))</f>
        <v/>
      </c>
      <c r="I41" s="27">
        <f>IF(I$4&lt;$A41,"",IF((I$4-$A41)&gt;45,0,INDEX(Data_Sales!$B$5:$B$65,MATCH($A41,Data_Sales!$A$5:$A$65,0))*INDEX(Survival!$C$6:$T$51,(I$4-$A41)+1,MATCH(I$4,Survival!$C$3:$T$3,0))+INDEX(Data_Sales!$C$5:$C$65,MATCH($A41,Data_Sales!$A$5:$A$65,0))*INDEX(Survival!$C$55:$T$100,(I$4-$A41)+1,MATCH(I$4,Survival!$C$3:$T$3,0))))</f>
        <v/>
      </c>
      <c r="J41" s="27">
        <f>IF(J$4&lt;$A41,"",IF((J$4-$A41)&gt;45,0,INDEX(Data_Sales!$B$5:$B$65,MATCH($A41,Data_Sales!$A$5:$A$65,0))*INDEX(Survival!$C$6:$T$51,(J$4-$A41)+1,MATCH(J$4,Survival!$C$3:$T$3,0))+INDEX(Data_Sales!$C$5:$C$65,MATCH($A41,Data_Sales!$A$5:$A$65,0))*INDEX(Survival!$C$55:$T$100,(J$4-$A41)+1,MATCH(J$4,Survival!$C$3:$T$3,0))))</f>
        <v/>
      </c>
      <c r="K41" s="27">
        <f>IF(K$4&lt;$A41,"",IF((K$4-$A41)&gt;45,0,INDEX(Data_Sales!$B$5:$B$65,MATCH($A41,Data_Sales!$A$5:$A$65,0))*INDEX(Survival!$C$6:$T$51,(K$4-$A41)+1,MATCH(K$4,Survival!$C$3:$T$3,0))+INDEX(Data_Sales!$C$5:$C$65,MATCH($A41,Data_Sales!$A$5:$A$65,0))*INDEX(Survival!$C$55:$T$100,(K$4-$A41)+1,MATCH(K$4,Survival!$C$3:$T$3,0))))</f>
        <v/>
      </c>
      <c r="L41" s="27">
        <f>IF(L$4&lt;$A41,"",IF((L$4-$A41)&gt;45,0,INDEX(Data_Sales!$B$5:$B$65,MATCH($A41,Data_Sales!$A$5:$A$65,0))*INDEX(Survival!$C$6:$T$51,(L$4-$A41)+1,MATCH(L$4,Survival!$C$3:$T$3,0))+INDEX(Data_Sales!$C$5:$C$65,MATCH($A41,Data_Sales!$A$5:$A$65,0))*INDEX(Survival!$C$55:$T$100,(L$4-$A41)+1,MATCH(L$4,Survival!$C$3:$T$3,0))))</f>
        <v/>
      </c>
      <c r="M41" s="27">
        <f>IF(M$4&lt;$A41,"",IF((M$4-$A41)&gt;45,0,INDEX(Data_Sales!$B$5:$B$65,MATCH($A41,Data_Sales!$A$5:$A$65,0))*INDEX(Survival!$C$6:$T$51,(M$4-$A41)+1,MATCH(M$4,Survival!$C$3:$T$3,0))+INDEX(Data_Sales!$C$5:$C$65,MATCH($A41,Data_Sales!$A$5:$A$65,0))*INDEX(Survival!$C$55:$T$100,(M$4-$A41)+1,MATCH(M$4,Survival!$C$3:$T$3,0))))</f>
        <v/>
      </c>
      <c r="N41" s="27">
        <f>IF(N$4&lt;$A41,"",IF((N$4-$A41)&gt;45,0,INDEX(Data_Sales!$B$5:$B$65,MATCH($A41,Data_Sales!$A$5:$A$65,0))*INDEX(Survival!$C$6:$T$51,(N$4-$A41)+1,MATCH(N$4,Survival!$C$3:$T$3,0))+INDEX(Data_Sales!$C$5:$C$65,MATCH($A41,Data_Sales!$A$5:$A$65,0))*INDEX(Survival!$C$55:$T$100,(N$4-$A41)+1,MATCH(N$4,Survival!$C$3:$T$3,0))))</f>
        <v/>
      </c>
      <c r="O41" s="27">
        <f>IF(O$4&lt;$A41,"",IF((O$4-$A41)&gt;45,0,INDEX(Data_Sales!$B$5:$B$65,MATCH($A41,Data_Sales!$A$5:$A$65,0))*INDEX(Survival!$C$6:$T$51,(O$4-$A41)+1,MATCH(O$4,Survival!$C$3:$T$3,0))+INDEX(Data_Sales!$C$5:$C$65,MATCH($A41,Data_Sales!$A$5:$A$65,0))*INDEX(Survival!$C$55:$T$100,(O$4-$A41)+1,MATCH(O$4,Survival!$C$3:$T$3,0))))</f>
        <v/>
      </c>
      <c r="P41" s="27">
        <f>IF(P$4&lt;$A41,"",IF((P$4-$A41)&gt;45,0,INDEX(Data_Sales!$B$5:$B$65,MATCH($A41,Data_Sales!$A$5:$A$65,0))*INDEX(Survival!$C$6:$T$51,(P$4-$A41)+1,MATCH(P$4,Survival!$C$3:$T$3,0))+INDEX(Data_Sales!$C$5:$C$65,MATCH($A41,Data_Sales!$A$5:$A$65,0))*INDEX(Survival!$C$55:$T$100,(P$4-$A41)+1,MATCH(P$4,Survival!$C$3:$T$3,0))))</f>
        <v/>
      </c>
      <c r="Q41" s="27">
        <f>IF(Q$4&lt;$A41,"",IF((Q$4-$A41)&gt;45,0,INDEX(Data_Sales!$B$5:$B$65,MATCH($A41,Data_Sales!$A$5:$A$65,0))*INDEX(Survival!$C$6:$T$51,(Q$4-$A41)+1,MATCH(Q$4,Survival!$C$3:$T$3,0))+INDEX(Data_Sales!$C$5:$C$65,MATCH($A41,Data_Sales!$A$5:$A$65,0))*INDEX(Survival!$C$55:$T$100,(Q$4-$A41)+1,MATCH(Q$4,Survival!$C$3:$T$3,0))))</f>
        <v/>
      </c>
      <c r="R41" s="27">
        <f>IF(R$4&lt;$A41,"",IF((R$4-$A41)&gt;45,0,INDEX(Data_Sales!$B$5:$B$65,MATCH($A41,Data_Sales!$A$5:$A$65,0))*INDEX(Survival!$C$6:$T$51,(R$4-$A41)+1,MATCH(R$4,Survival!$C$3:$T$3,0))+INDEX(Data_Sales!$C$5:$C$65,MATCH($A41,Data_Sales!$A$5:$A$65,0))*INDEX(Survival!$C$55:$T$100,(R$4-$A41)+1,MATCH(R$4,Survival!$C$3:$T$3,0))))</f>
        <v/>
      </c>
      <c r="S41" s="27">
        <f>IF(S$4&lt;$A41,"",IF((S$4-$A41)&gt;45,0,INDEX(Data_Sales!$B$5:$B$65,MATCH($A41,Data_Sales!$A$5:$A$65,0))*INDEX(Survival!$C$6:$T$51,(S$4-$A41)+1,MATCH(S$4,Survival!$C$3:$T$3,0))+INDEX(Data_Sales!$C$5:$C$65,MATCH($A41,Data_Sales!$A$5:$A$65,0))*INDEX(Survival!$C$55:$T$100,(S$4-$A41)+1,MATCH(S$4,Survival!$C$3:$T$3,0))))</f>
        <v/>
      </c>
      <c r="T41" s="27">
        <f>IF(T$4&lt;$A41,"",IF((T$4-$A41)&gt;45,0,INDEX(Data_Sales!$B$5:$B$65,MATCH($A41,Data_Sales!$A$5:$A$65,0))*INDEX(Survival!$C$6:$T$51,(T$4-$A41)+1,MATCH(T$4,Survival!$C$3:$T$3,0))+INDEX(Data_Sales!$C$5:$C$65,MATCH($A41,Data_Sales!$A$5:$A$65,0))*INDEX(Survival!$C$55:$T$100,(T$4-$A41)+1,MATCH(T$4,Survival!$C$3:$T$3,0))))</f>
        <v/>
      </c>
    </row>
    <row r="42">
      <c r="A42" s="9" t="n">
        <v>2006</v>
      </c>
      <c r="C42" s="27">
        <f>IF(C$4&lt;$A42,"",IF((C$4-$A42)&gt;45,0,INDEX(Data_Sales!$B$5:$B$65,MATCH($A42,Data_Sales!$A$5:$A$65,0))*INDEX(Survival!$C$6:$T$51,(C$4-$A42)+1,MATCH(C$4,Survival!$C$3:$T$3,0))+INDEX(Data_Sales!$C$5:$C$65,MATCH($A42,Data_Sales!$A$5:$A$65,0))*INDEX(Survival!$C$55:$T$100,(C$4-$A42)+1,MATCH(C$4,Survival!$C$3:$T$3,0))))</f>
        <v/>
      </c>
      <c r="D42" s="27">
        <f>IF(D$4&lt;$A42,"",IF((D$4-$A42)&gt;45,0,INDEX(Data_Sales!$B$5:$B$65,MATCH($A42,Data_Sales!$A$5:$A$65,0))*INDEX(Survival!$C$6:$T$51,(D$4-$A42)+1,MATCH(D$4,Survival!$C$3:$T$3,0))+INDEX(Data_Sales!$C$5:$C$65,MATCH($A42,Data_Sales!$A$5:$A$65,0))*INDEX(Survival!$C$55:$T$100,(D$4-$A42)+1,MATCH(D$4,Survival!$C$3:$T$3,0))))</f>
        <v/>
      </c>
      <c r="E42" s="27">
        <f>IF(E$4&lt;$A42,"",IF((E$4-$A42)&gt;45,0,INDEX(Data_Sales!$B$5:$B$65,MATCH($A42,Data_Sales!$A$5:$A$65,0))*INDEX(Survival!$C$6:$T$51,(E$4-$A42)+1,MATCH(E$4,Survival!$C$3:$T$3,0))+INDEX(Data_Sales!$C$5:$C$65,MATCH($A42,Data_Sales!$A$5:$A$65,0))*INDEX(Survival!$C$55:$T$100,(E$4-$A42)+1,MATCH(E$4,Survival!$C$3:$T$3,0))))</f>
        <v/>
      </c>
      <c r="F42" s="27">
        <f>IF(F$4&lt;$A42,"",IF((F$4-$A42)&gt;45,0,INDEX(Data_Sales!$B$5:$B$65,MATCH($A42,Data_Sales!$A$5:$A$65,0))*INDEX(Survival!$C$6:$T$51,(F$4-$A42)+1,MATCH(F$4,Survival!$C$3:$T$3,0))+INDEX(Data_Sales!$C$5:$C$65,MATCH($A42,Data_Sales!$A$5:$A$65,0))*INDEX(Survival!$C$55:$T$100,(F$4-$A42)+1,MATCH(F$4,Survival!$C$3:$T$3,0))))</f>
        <v/>
      </c>
      <c r="G42" s="27">
        <f>IF(G$4&lt;$A42,"",IF((G$4-$A42)&gt;45,0,INDEX(Data_Sales!$B$5:$B$65,MATCH($A42,Data_Sales!$A$5:$A$65,0))*INDEX(Survival!$C$6:$T$51,(G$4-$A42)+1,MATCH(G$4,Survival!$C$3:$T$3,0))+INDEX(Data_Sales!$C$5:$C$65,MATCH($A42,Data_Sales!$A$5:$A$65,0))*INDEX(Survival!$C$55:$T$100,(G$4-$A42)+1,MATCH(G$4,Survival!$C$3:$T$3,0))))</f>
        <v/>
      </c>
      <c r="H42" s="27">
        <f>IF(H$4&lt;$A42,"",IF((H$4-$A42)&gt;45,0,INDEX(Data_Sales!$B$5:$B$65,MATCH($A42,Data_Sales!$A$5:$A$65,0))*INDEX(Survival!$C$6:$T$51,(H$4-$A42)+1,MATCH(H$4,Survival!$C$3:$T$3,0))+INDEX(Data_Sales!$C$5:$C$65,MATCH($A42,Data_Sales!$A$5:$A$65,0))*INDEX(Survival!$C$55:$T$100,(H$4-$A42)+1,MATCH(H$4,Survival!$C$3:$T$3,0))))</f>
        <v/>
      </c>
      <c r="I42" s="27">
        <f>IF(I$4&lt;$A42,"",IF((I$4-$A42)&gt;45,0,INDEX(Data_Sales!$B$5:$B$65,MATCH($A42,Data_Sales!$A$5:$A$65,0))*INDEX(Survival!$C$6:$T$51,(I$4-$A42)+1,MATCH(I$4,Survival!$C$3:$T$3,0))+INDEX(Data_Sales!$C$5:$C$65,MATCH($A42,Data_Sales!$A$5:$A$65,0))*INDEX(Survival!$C$55:$T$100,(I$4-$A42)+1,MATCH(I$4,Survival!$C$3:$T$3,0))))</f>
        <v/>
      </c>
      <c r="J42" s="27">
        <f>IF(J$4&lt;$A42,"",IF((J$4-$A42)&gt;45,0,INDEX(Data_Sales!$B$5:$B$65,MATCH($A42,Data_Sales!$A$5:$A$65,0))*INDEX(Survival!$C$6:$T$51,(J$4-$A42)+1,MATCH(J$4,Survival!$C$3:$T$3,0))+INDEX(Data_Sales!$C$5:$C$65,MATCH($A42,Data_Sales!$A$5:$A$65,0))*INDEX(Survival!$C$55:$T$100,(J$4-$A42)+1,MATCH(J$4,Survival!$C$3:$T$3,0))))</f>
        <v/>
      </c>
      <c r="K42" s="27">
        <f>IF(K$4&lt;$A42,"",IF((K$4-$A42)&gt;45,0,INDEX(Data_Sales!$B$5:$B$65,MATCH($A42,Data_Sales!$A$5:$A$65,0))*INDEX(Survival!$C$6:$T$51,(K$4-$A42)+1,MATCH(K$4,Survival!$C$3:$T$3,0))+INDEX(Data_Sales!$C$5:$C$65,MATCH($A42,Data_Sales!$A$5:$A$65,0))*INDEX(Survival!$C$55:$T$100,(K$4-$A42)+1,MATCH(K$4,Survival!$C$3:$T$3,0))))</f>
        <v/>
      </c>
      <c r="L42" s="27">
        <f>IF(L$4&lt;$A42,"",IF((L$4-$A42)&gt;45,0,INDEX(Data_Sales!$B$5:$B$65,MATCH($A42,Data_Sales!$A$5:$A$65,0))*INDEX(Survival!$C$6:$T$51,(L$4-$A42)+1,MATCH(L$4,Survival!$C$3:$T$3,0))+INDEX(Data_Sales!$C$5:$C$65,MATCH($A42,Data_Sales!$A$5:$A$65,0))*INDEX(Survival!$C$55:$T$100,(L$4-$A42)+1,MATCH(L$4,Survival!$C$3:$T$3,0))))</f>
        <v/>
      </c>
      <c r="M42" s="27">
        <f>IF(M$4&lt;$A42,"",IF((M$4-$A42)&gt;45,0,INDEX(Data_Sales!$B$5:$B$65,MATCH($A42,Data_Sales!$A$5:$A$65,0))*INDEX(Survival!$C$6:$T$51,(M$4-$A42)+1,MATCH(M$4,Survival!$C$3:$T$3,0))+INDEX(Data_Sales!$C$5:$C$65,MATCH($A42,Data_Sales!$A$5:$A$65,0))*INDEX(Survival!$C$55:$T$100,(M$4-$A42)+1,MATCH(M$4,Survival!$C$3:$T$3,0))))</f>
        <v/>
      </c>
      <c r="N42" s="27">
        <f>IF(N$4&lt;$A42,"",IF((N$4-$A42)&gt;45,0,INDEX(Data_Sales!$B$5:$B$65,MATCH($A42,Data_Sales!$A$5:$A$65,0))*INDEX(Survival!$C$6:$T$51,(N$4-$A42)+1,MATCH(N$4,Survival!$C$3:$T$3,0))+INDEX(Data_Sales!$C$5:$C$65,MATCH($A42,Data_Sales!$A$5:$A$65,0))*INDEX(Survival!$C$55:$T$100,(N$4-$A42)+1,MATCH(N$4,Survival!$C$3:$T$3,0))))</f>
        <v/>
      </c>
      <c r="O42" s="27">
        <f>IF(O$4&lt;$A42,"",IF((O$4-$A42)&gt;45,0,INDEX(Data_Sales!$B$5:$B$65,MATCH($A42,Data_Sales!$A$5:$A$65,0))*INDEX(Survival!$C$6:$T$51,(O$4-$A42)+1,MATCH(O$4,Survival!$C$3:$T$3,0))+INDEX(Data_Sales!$C$5:$C$65,MATCH($A42,Data_Sales!$A$5:$A$65,0))*INDEX(Survival!$C$55:$T$100,(O$4-$A42)+1,MATCH(O$4,Survival!$C$3:$T$3,0))))</f>
        <v/>
      </c>
      <c r="P42" s="27">
        <f>IF(P$4&lt;$A42,"",IF((P$4-$A42)&gt;45,0,INDEX(Data_Sales!$B$5:$B$65,MATCH($A42,Data_Sales!$A$5:$A$65,0))*INDEX(Survival!$C$6:$T$51,(P$4-$A42)+1,MATCH(P$4,Survival!$C$3:$T$3,0))+INDEX(Data_Sales!$C$5:$C$65,MATCH($A42,Data_Sales!$A$5:$A$65,0))*INDEX(Survival!$C$55:$T$100,(P$4-$A42)+1,MATCH(P$4,Survival!$C$3:$T$3,0))))</f>
        <v/>
      </c>
      <c r="Q42" s="27">
        <f>IF(Q$4&lt;$A42,"",IF((Q$4-$A42)&gt;45,0,INDEX(Data_Sales!$B$5:$B$65,MATCH($A42,Data_Sales!$A$5:$A$65,0))*INDEX(Survival!$C$6:$T$51,(Q$4-$A42)+1,MATCH(Q$4,Survival!$C$3:$T$3,0))+INDEX(Data_Sales!$C$5:$C$65,MATCH($A42,Data_Sales!$A$5:$A$65,0))*INDEX(Survival!$C$55:$T$100,(Q$4-$A42)+1,MATCH(Q$4,Survival!$C$3:$T$3,0))))</f>
        <v/>
      </c>
      <c r="R42" s="27">
        <f>IF(R$4&lt;$A42,"",IF((R$4-$A42)&gt;45,0,INDEX(Data_Sales!$B$5:$B$65,MATCH($A42,Data_Sales!$A$5:$A$65,0))*INDEX(Survival!$C$6:$T$51,(R$4-$A42)+1,MATCH(R$4,Survival!$C$3:$T$3,0))+INDEX(Data_Sales!$C$5:$C$65,MATCH($A42,Data_Sales!$A$5:$A$65,0))*INDEX(Survival!$C$55:$T$100,(R$4-$A42)+1,MATCH(R$4,Survival!$C$3:$T$3,0))))</f>
        <v/>
      </c>
      <c r="S42" s="27">
        <f>IF(S$4&lt;$A42,"",IF((S$4-$A42)&gt;45,0,INDEX(Data_Sales!$B$5:$B$65,MATCH($A42,Data_Sales!$A$5:$A$65,0))*INDEX(Survival!$C$6:$T$51,(S$4-$A42)+1,MATCH(S$4,Survival!$C$3:$T$3,0))+INDEX(Data_Sales!$C$5:$C$65,MATCH($A42,Data_Sales!$A$5:$A$65,0))*INDEX(Survival!$C$55:$T$100,(S$4-$A42)+1,MATCH(S$4,Survival!$C$3:$T$3,0))))</f>
        <v/>
      </c>
      <c r="T42" s="27">
        <f>IF(T$4&lt;$A42,"",IF((T$4-$A42)&gt;45,0,INDEX(Data_Sales!$B$5:$B$65,MATCH($A42,Data_Sales!$A$5:$A$65,0))*INDEX(Survival!$C$6:$T$51,(T$4-$A42)+1,MATCH(T$4,Survival!$C$3:$T$3,0))+INDEX(Data_Sales!$C$5:$C$65,MATCH($A42,Data_Sales!$A$5:$A$65,0))*INDEX(Survival!$C$55:$T$100,(T$4-$A42)+1,MATCH(T$4,Survival!$C$3:$T$3,0))))</f>
        <v/>
      </c>
    </row>
    <row r="43">
      <c r="A43" s="9" t="n">
        <v>2007</v>
      </c>
      <c r="C43" s="27">
        <f>IF(C$4&lt;$A43,"",IF((C$4-$A43)&gt;45,0,INDEX(Data_Sales!$B$5:$B$65,MATCH($A43,Data_Sales!$A$5:$A$65,0))*INDEX(Survival!$C$6:$T$51,(C$4-$A43)+1,MATCH(C$4,Survival!$C$3:$T$3,0))+INDEX(Data_Sales!$C$5:$C$65,MATCH($A43,Data_Sales!$A$5:$A$65,0))*INDEX(Survival!$C$55:$T$100,(C$4-$A43)+1,MATCH(C$4,Survival!$C$3:$T$3,0))))</f>
        <v/>
      </c>
      <c r="D43" s="27">
        <f>IF(D$4&lt;$A43,"",IF((D$4-$A43)&gt;45,0,INDEX(Data_Sales!$B$5:$B$65,MATCH($A43,Data_Sales!$A$5:$A$65,0))*INDEX(Survival!$C$6:$T$51,(D$4-$A43)+1,MATCH(D$4,Survival!$C$3:$T$3,0))+INDEX(Data_Sales!$C$5:$C$65,MATCH($A43,Data_Sales!$A$5:$A$65,0))*INDEX(Survival!$C$55:$T$100,(D$4-$A43)+1,MATCH(D$4,Survival!$C$3:$T$3,0))))</f>
        <v/>
      </c>
      <c r="E43" s="27">
        <f>IF(E$4&lt;$A43,"",IF((E$4-$A43)&gt;45,0,INDEX(Data_Sales!$B$5:$B$65,MATCH($A43,Data_Sales!$A$5:$A$65,0))*INDEX(Survival!$C$6:$T$51,(E$4-$A43)+1,MATCH(E$4,Survival!$C$3:$T$3,0))+INDEX(Data_Sales!$C$5:$C$65,MATCH($A43,Data_Sales!$A$5:$A$65,0))*INDEX(Survival!$C$55:$T$100,(E$4-$A43)+1,MATCH(E$4,Survival!$C$3:$T$3,0))))</f>
        <v/>
      </c>
      <c r="F43" s="27">
        <f>IF(F$4&lt;$A43,"",IF((F$4-$A43)&gt;45,0,INDEX(Data_Sales!$B$5:$B$65,MATCH($A43,Data_Sales!$A$5:$A$65,0))*INDEX(Survival!$C$6:$T$51,(F$4-$A43)+1,MATCH(F$4,Survival!$C$3:$T$3,0))+INDEX(Data_Sales!$C$5:$C$65,MATCH($A43,Data_Sales!$A$5:$A$65,0))*INDEX(Survival!$C$55:$T$100,(F$4-$A43)+1,MATCH(F$4,Survival!$C$3:$T$3,0))))</f>
        <v/>
      </c>
      <c r="G43" s="27">
        <f>IF(G$4&lt;$A43,"",IF((G$4-$A43)&gt;45,0,INDEX(Data_Sales!$B$5:$B$65,MATCH($A43,Data_Sales!$A$5:$A$65,0))*INDEX(Survival!$C$6:$T$51,(G$4-$A43)+1,MATCH(G$4,Survival!$C$3:$T$3,0))+INDEX(Data_Sales!$C$5:$C$65,MATCH($A43,Data_Sales!$A$5:$A$65,0))*INDEX(Survival!$C$55:$T$100,(G$4-$A43)+1,MATCH(G$4,Survival!$C$3:$T$3,0))))</f>
        <v/>
      </c>
      <c r="H43" s="27">
        <f>IF(H$4&lt;$A43,"",IF((H$4-$A43)&gt;45,0,INDEX(Data_Sales!$B$5:$B$65,MATCH($A43,Data_Sales!$A$5:$A$65,0))*INDEX(Survival!$C$6:$T$51,(H$4-$A43)+1,MATCH(H$4,Survival!$C$3:$T$3,0))+INDEX(Data_Sales!$C$5:$C$65,MATCH($A43,Data_Sales!$A$5:$A$65,0))*INDEX(Survival!$C$55:$T$100,(H$4-$A43)+1,MATCH(H$4,Survival!$C$3:$T$3,0))))</f>
        <v/>
      </c>
      <c r="I43" s="27">
        <f>IF(I$4&lt;$A43,"",IF((I$4-$A43)&gt;45,0,INDEX(Data_Sales!$B$5:$B$65,MATCH($A43,Data_Sales!$A$5:$A$65,0))*INDEX(Survival!$C$6:$T$51,(I$4-$A43)+1,MATCH(I$4,Survival!$C$3:$T$3,0))+INDEX(Data_Sales!$C$5:$C$65,MATCH($A43,Data_Sales!$A$5:$A$65,0))*INDEX(Survival!$C$55:$T$100,(I$4-$A43)+1,MATCH(I$4,Survival!$C$3:$T$3,0))))</f>
        <v/>
      </c>
      <c r="J43" s="27">
        <f>IF(J$4&lt;$A43,"",IF((J$4-$A43)&gt;45,0,INDEX(Data_Sales!$B$5:$B$65,MATCH($A43,Data_Sales!$A$5:$A$65,0))*INDEX(Survival!$C$6:$T$51,(J$4-$A43)+1,MATCH(J$4,Survival!$C$3:$T$3,0))+INDEX(Data_Sales!$C$5:$C$65,MATCH($A43,Data_Sales!$A$5:$A$65,0))*INDEX(Survival!$C$55:$T$100,(J$4-$A43)+1,MATCH(J$4,Survival!$C$3:$T$3,0))))</f>
        <v/>
      </c>
      <c r="K43" s="27">
        <f>IF(K$4&lt;$A43,"",IF((K$4-$A43)&gt;45,0,INDEX(Data_Sales!$B$5:$B$65,MATCH($A43,Data_Sales!$A$5:$A$65,0))*INDEX(Survival!$C$6:$T$51,(K$4-$A43)+1,MATCH(K$4,Survival!$C$3:$T$3,0))+INDEX(Data_Sales!$C$5:$C$65,MATCH($A43,Data_Sales!$A$5:$A$65,0))*INDEX(Survival!$C$55:$T$100,(K$4-$A43)+1,MATCH(K$4,Survival!$C$3:$T$3,0))))</f>
        <v/>
      </c>
      <c r="L43" s="27">
        <f>IF(L$4&lt;$A43,"",IF((L$4-$A43)&gt;45,0,INDEX(Data_Sales!$B$5:$B$65,MATCH($A43,Data_Sales!$A$5:$A$65,0))*INDEX(Survival!$C$6:$T$51,(L$4-$A43)+1,MATCH(L$4,Survival!$C$3:$T$3,0))+INDEX(Data_Sales!$C$5:$C$65,MATCH($A43,Data_Sales!$A$5:$A$65,0))*INDEX(Survival!$C$55:$T$100,(L$4-$A43)+1,MATCH(L$4,Survival!$C$3:$T$3,0))))</f>
        <v/>
      </c>
      <c r="M43" s="27">
        <f>IF(M$4&lt;$A43,"",IF((M$4-$A43)&gt;45,0,INDEX(Data_Sales!$B$5:$B$65,MATCH($A43,Data_Sales!$A$5:$A$65,0))*INDEX(Survival!$C$6:$T$51,(M$4-$A43)+1,MATCH(M$4,Survival!$C$3:$T$3,0))+INDEX(Data_Sales!$C$5:$C$65,MATCH($A43,Data_Sales!$A$5:$A$65,0))*INDEX(Survival!$C$55:$T$100,(M$4-$A43)+1,MATCH(M$4,Survival!$C$3:$T$3,0))))</f>
        <v/>
      </c>
      <c r="N43" s="27">
        <f>IF(N$4&lt;$A43,"",IF((N$4-$A43)&gt;45,0,INDEX(Data_Sales!$B$5:$B$65,MATCH($A43,Data_Sales!$A$5:$A$65,0))*INDEX(Survival!$C$6:$T$51,(N$4-$A43)+1,MATCH(N$4,Survival!$C$3:$T$3,0))+INDEX(Data_Sales!$C$5:$C$65,MATCH($A43,Data_Sales!$A$5:$A$65,0))*INDEX(Survival!$C$55:$T$100,(N$4-$A43)+1,MATCH(N$4,Survival!$C$3:$T$3,0))))</f>
        <v/>
      </c>
      <c r="O43" s="27">
        <f>IF(O$4&lt;$A43,"",IF((O$4-$A43)&gt;45,0,INDEX(Data_Sales!$B$5:$B$65,MATCH($A43,Data_Sales!$A$5:$A$65,0))*INDEX(Survival!$C$6:$T$51,(O$4-$A43)+1,MATCH(O$4,Survival!$C$3:$T$3,0))+INDEX(Data_Sales!$C$5:$C$65,MATCH($A43,Data_Sales!$A$5:$A$65,0))*INDEX(Survival!$C$55:$T$100,(O$4-$A43)+1,MATCH(O$4,Survival!$C$3:$T$3,0))))</f>
        <v/>
      </c>
      <c r="P43" s="27">
        <f>IF(P$4&lt;$A43,"",IF((P$4-$A43)&gt;45,0,INDEX(Data_Sales!$B$5:$B$65,MATCH($A43,Data_Sales!$A$5:$A$65,0))*INDEX(Survival!$C$6:$T$51,(P$4-$A43)+1,MATCH(P$4,Survival!$C$3:$T$3,0))+INDEX(Data_Sales!$C$5:$C$65,MATCH($A43,Data_Sales!$A$5:$A$65,0))*INDEX(Survival!$C$55:$T$100,(P$4-$A43)+1,MATCH(P$4,Survival!$C$3:$T$3,0))))</f>
        <v/>
      </c>
      <c r="Q43" s="27">
        <f>IF(Q$4&lt;$A43,"",IF((Q$4-$A43)&gt;45,0,INDEX(Data_Sales!$B$5:$B$65,MATCH($A43,Data_Sales!$A$5:$A$65,0))*INDEX(Survival!$C$6:$T$51,(Q$4-$A43)+1,MATCH(Q$4,Survival!$C$3:$T$3,0))+INDEX(Data_Sales!$C$5:$C$65,MATCH($A43,Data_Sales!$A$5:$A$65,0))*INDEX(Survival!$C$55:$T$100,(Q$4-$A43)+1,MATCH(Q$4,Survival!$C$3:$T$3,0))))</f>
        <v/>
      </c>
      <c r="R43" s="27">
        <f>IF(R$4&lt;$A43,"",IF((R$4-$A43)&gt;45,0,INDEX(Data_Sales!$B$5:$B$65,MATCH($A43,Data_Sales!$A$5:$A$65,0))*INDEX(Survival!$C$6:$T$51,(R$4-$A43)+1,MATCH(R$4,Survival!$C$3:$T$3,0))+INDEX(Data_Sales!$C$5:$C$65,MATCH($A43,Data_Sales!$A$5:$A$65,0))*INDEX(Survival!$C$55:$T$100,(R$4-$A43)+1,MATCH(R$4,Survival!$C$3:$T$3,0))))</f>
        <v/>
      </c>
      <c r="S43" s="27">
        <f>IF(S$4&lt;$A43,"",IF((S$4-$A43)&gt;45,0,INDEX(Data_Sales!$B$5:$B$65,MATCH($A43,Data_Sales!$A$5:$A$65,0))*INDEX(Survival!$C$6:$T$51,(S$4-$A43)+1,MATCH(S$4,Survival!$C$3:$T$3,0))+INDEX(Data_Sales!$C$5:$C$65,MATCH($A43,Data_Sales!$A$5:$A$65,0))*INDEX(Survival!$C$55:$T$100,(S$4-$A43)+1,MATCH(S$4,Survival!$C$3:$T$3,0))))</f>
        <v/>
      </c>
      <c r="T43" s="27">
        <f>IF(T$4&lt;$A43,"",IF((T$4-$A43)&gt;45,0,INDEX(Data_Sales!$B$5:$B$65,MATCH($A43,Data_Sales!$A$5:$A$65,0))*INDEX(Survival!$C$6:$T$51,(T$4-$A43)+1,MATCH(T$4,Survival!$C$3:$T$3,0))+INDEX(Data_Sales!$C$5:$C$65,MATCH($A43,Data_Sales!$A$5:$A$65,0))*INDEX(Survival!$C$55:$T$100,(T$4-$A43)+1,MATCH(T$4,Survival!$C$3:$T$3,0))))</f>
        <v/>
      </c>
    </row>
    <row r="44">
      <c r="A44" s="9" t="n">
        <v>2008</v>
      </c>
      <c r="C44" s="27">
        <f>IF(C$4&lt;$A44,"",IF((C$4-$A44)&gt;45,0,INDEX(Data_Sales!$B$5:$B$65,MATCH($A44,Data_Sales!$A$5:$A$65,0))*INDEX(Survival!$C$6:$T$51,(C$4-$A44)+1,MATCH(C$4,Survival!$C$3:$T$3,0))+INDEX(Data_Sales!$C$5:$C$65,MATCH($A44,Data_Sales!$A$5:$A$65,0))*INDEX(Survival!$C$55:$T$100,(C$4-$A44)+1,MATCH(C$4,Survival!$C$3:$T$3,0))))</f>
        <v/>
      </c>
      <c r="D44" s="27">
        <f>IF(D$4&lt;$A44,"",IF((D$4-$A44)&gt;45,0,INDEX(Data_Sales!$B$5:$B$65,MATCH($A44,Data_Sales!$A$5:$A$65,0))*INDEX(Survival!$C$6:$T$51,(D$4-$A44)+1,MATCH(D$4,Survival!$C$3:$T$3,0))+INDEX(Data_Sales!$C$5:$C$65,MATCH($A44,Data_Sales!$A$5:$A$65,0))*INDEX(Survival!$C$55:$T$100,(D$4-$A44)+1,MATCH(D$4,Survival!$C$3:$T$3,0))))</f>
        <v/>
      </c>
      <c r="E44" s="27">
        <f>IF(E$4&lt;$A44,"",IF((E$4-$A44)&gt;45,0,INDEX(Data_Sales!$B$5:$B$65,MATCH($A44,Data_Sales!$A$5:$A$65,0))*INDEX(Survival!$C$6:$T$51,(E$4-$A44)+1,MATCH(E$4,Survival!$C$3:$T$3,0))+INDEX(Data_Sales!$C$5:$C$65,MATCH($A44,Data_Sales!$A$5:$A$65,0))*INDEX(Survival!$C$55:$T$100,(E$4-$A44)+1,MATCH(E$4,Survival!$C$3:$T$3,0))))</f>
        <v/>
      </c>
      <c r="F44" s="27">
        <f>IF(F$4&lt;$A44,"",IF((F$4-$A44)&gt;45,0,INDEX(Data_Sales!$B$5:$B$65,MATCH($A44,Data_Sales!$A$5:$A$65,0))*INDEX(Survival!$C$6:$T$51,(F$4-$A44)+1,MATCH(F$4,Survival!$C$3:$T$3,0))+INDEX(Data_Sales!$C$5:$C$65,MATCH($A44,Data_Sales!$A$5:$A$65,0))*INDEX(Survival!$C$55:$T$100,(F$4-$A44)+1,MATCH(F$4,Survival!$C$3:$T$3,0))))</f>
        <v/>
      </c>
      <c r="G44" s="27">
        <f>IF(G$4&lt;$A44,"",IF((G$4-$A44)&gt;45,0,INDEX(Data_Sales!$B$5:$B$65,MATCH($A44,Data_Sales!$A$5:$A$65,0))*INDEX(Survival!$C$6:$T$51,(G$4-$A44)+1,MATCH(G$4,Survival!$C$3:$T$3,0))+INDEX(Data_Sales!$C$5:$C$65,MATCH($A44,Data_Sales!$A$5:$A$65,0))*INDEX(Survival!$C$55:$T$100,(G$4-$A44)+1,MATCH(G$4,Survival!$C$3:$T$3,0))))</f>
        <v/>
      </c>
      <c r="H44" s="27">
        <f>IF(H$4&lt;$A44,"",IF((H$4-$A44)&gt;45,0,INDEX(Data_Sales!$B$5:$B$65,MATCH($A44,Data_Sales!$A$5:$A$65,0))*INDEX(Survival!$C$6:$T$51,(H$4-$A44)+1,MATCH(H$4,Survival!$C$3:$T$3,0))+INDEX(Data_Sales!$C$5:$C$65,MATCH($A44,Data_Sales!$A$5:$A$65,0))*INDEX(Survival!$C$55:$T$100,(H$4-$A44)+1,MATCH(H$4,Survival!$C$3:$T$3,0))))</f>
        <v/>
      </c>
      <c r="I44" s="27">
        <f>IF(I$4&lt;$A44,"",IF((I$4-$A44)&gt;45,0,INDEX(Data_Sales!$B$5:$B$65,MATCH($A44,Data_Sales!$A$5:$A$65,0))*INDEX(Survival!$C$6:$T$51,(I$4-$A44)+1,MATCH(I$4,Survival!$C$3:$T$3,0))+INDEX(Data_Sales!$C$5:$C$65,MATCH($A44,Data_Sales!$A$5:$A$65,0))*INDEX(Survival!$C$55:$T$100,(I$4-$A44)+1,MATCH(I$4,Survival!$C$3:$T$3,0))))</f>
        <v/>
      </c>
      <c r="J44" s="27">
        <f>IF(J$4&lt;$A44,"",IF((J$4-$A44)&gt;45,0,INDEX(Data_Sales!$B$5:$B$65,MATCH($A44,Data_Sales!$A$5:$A$65,0))*INDEX(Survival!$C$6:$T$51,(J$4-$A44)+1,MATCH(J$4,Survival!$C$3:$T$3,0))+INDEX(Data_Sales!$C$5:$C$65,MATCH($A44,Data_Sales!$A$5:$A$65,0))*INDEX(Survival!$C$55:$T$100,(J$4-$A44)+1,MATCH(J$4,Survival!$C$3:$T$3,0))))</f>
        <v/>
      </c>
      <c r="K44" s="27">
        <f>IF(K$4&lt;$A44,"",IF((K$4-$A44)&gt;45,0,INDEX(Data_Sales!$B$5:$B$65,MATCH($A44,Data_Sales!$A$5:$A$65,0))*INDEX(Survival!$C$6:$T$51,(K$4-$A44)+1,MATCH(K$4,Survival!$C$3:$T$3,0))+INDEX(Data_Sales!$C$5:$C$65,MATCH($A44,Data_Sales!$A$5:$A$65,0))*INDEX(Survival!$C$55:$T$100,(K$4-$A44)+1,MATCH(K$4,Survival!$C$3:$T$3,0))))</f>
        <v/>
      </c>
      <c r="L44" s="27">
        <f>IF(L$4&lt;$A44,"",IF((L$4-$A44)&gt;45,0,INDEX(Data_Sales!$B$5:$B$65,MATCH($A44,Data_Sales!$A$5:$A$65,0))*INDEX(Survival!$C$6:$T$51,(L$4-$A44)+1,MATCH(L$4,Survival!$C$3:$T$3,0))+INDEX(Data_Sales!$C$5:$C$65,MATCH($A44,Data_Sales!$A$5:$A$65,0))*INDEX(Survival!$C$55:$T$100,(L$4-$A44)+1,MATCH(L$4,Survival!$C$3:$T$3,0))))</f>
        <v/>
      </c>
      <c r="M44" s="27">
        <f>IF(M$4&lt;$A44,"",IF((M$4-$A44)&gt;45,0,INDEX(Data_Sales!$B$5:$B$65,MATCH($A44,Data_Sales!$A$5:$A$65,0))*INDEX(Survival!$C$6:$T$51,(M$4-$A44)+1,MATCH(M$4,Survival!$C$3:$T$3,0))+INDEX(Data_Sales!$C$5:$C$65,MATCH($A44,Data_Sales!$A$5:$A$65,0))*INDEX(Survival!$C$55:$T$100,(M$4-$A44)+1,MATCH(M$4,Survival!$C$3:$T$3,0))))</f>
        <v/>
      </c>
      <c r="N44" s="27">
        <f>IF(N$4&lt;$A44,"",IF((N$4-$A44)&gt;45,0,INDEX(Data_Sales!$B$5:$B$65,MATCH($A44,Data_Sales!$A$5:$A$65,0))*INDEX(Survival!$C$6:$T$51,(N$4-$A44)+1,MATCH(N$4,Survival!$C$3:$T$3,0))+INDEX(Data_Sales!$C$5:$C$65,MATCH($A44,Data_Sales!$A$5:$A$65,0))*INDEX(Survival!$C$55:$T$100,(N$4-$A44)+1,MATCH(N$4,Survival!$C$3:$T$3,0))))</f>
        <v/>
      </c>
      <c r="O44" s="27">
        <f>IF(O$4&lt;$A44,"",IF((O$4-$A44)&gt;45,0,INDEX(Data_Sales!$B$5:$B$65,MATCH($A44,Data_Sales!$A$5:$A$65,0))*INDEX(Survival!$C$6:$T$51,(O$4-$A44)+1,MATCH(O$4,Survival!$C$3:$T$3,0))+INDEX(Data_Sales!$C$5:$C$65,MATCH($A44,Data_Sales!$A$5:$A$65,0))*INDEX(Survival!$C$55:$T$100,(O$4-$A44)+1,MATCH(O$4,Survival!$C$3:$T$3,0))))</f>
        <v/>
      </c>
      <c r="P44" s="27">
        <f>IF(P$4&lt;$A44,"",IF((P$4-$A44)&gt;45,0,INDEX(Data_Sales!$B$5:$B$65,MATCH($A44,Data_Sales!$A$5:$A$65,0))*INDEX(Survival!$C$6:$T$51,(P$4-$A44)+1,MATCH(P$4,Survival!$C$3:$T$3,0))+INDEX(Data_Sales!$C$5:$C$65,MATCH($A44,Data_Sales!$A$5:$A$65,0))*INDEX(Survival!$C$55:$T$100,(P$4-$A44)+1,MATCH(P$4,Survival!$C$3:$T$3,0))))</f>
        <v/>
      </c>
      <c r="Q44" s="27">
        <f>IF(Q$4&lt;$A44,"",IF((Q$4-$A44)&gt;45,0,INDEX(Data_Sales!$B$5:$B$65,MATCH($A44,Data_Sales!$A$5:$A$65,0))*INDEX(Survival!$C$6:$T$51,(Q$4-$A44)+1,MATCH(Q$4,Survival!$C$3:$T$3,0))+INDEX(Data_Sales!$C$5:$C$65,MATCH($A44,Data_Sales!$A$5:$A$65,0))*INDEX(Survival!$C$55:$T$100,(Q$4-$A44)+1,MATCH(Q$4,Survival!$C$3:$T$3,0))))</f>
        <v/>
      </c>
      <c r="R44" s="27">
        <f>IF(R$4&lt;$A44,"",IF((R$4-$A44)&gt;45,0,INDEX(Data_Sales!$B$5:$B$65,MATCH($A44,Data_Sales!$A$5:$A$65,0))*INDEX(Survival!$C$6:$T$51,(R$4-$A44)+1,MATCH(R$4,Survival!$C$3:$T$3,0))+INDEX(Data_Sales!$C$5:$C$65,MATCH($A44,Data_Sales!$A$5:$A$65,0))*INDEX(Survival!$C$55:$T$100,(R$4-$A44)+1,MATCH(R$4,Survival!$C$3:$T$3,0))))</f>
        <v/>
      </c>
      <c r="S44" s="27">
        <f>IF(S$4&lt;$A44,"",IF((S$4-$A44)&gt;45,0,INDEX(Data_Sales!$B$5:$B$65,MATCH($A44,Data_Sales!$A$5:$A$65,0))*INDEX(Survival!$C$6:$T$51,(S$4-$A44)+1,MATCH(S$4,Survival!$C$3:$T$3,0))+INDEX(Data_Sales!$C$5:$C$65,MATCH($A44,Data_Sales!$A$5:$A$65,0))*INDEX(Survival!$C$55:$T$100,(S$4-$A44)+1,MATCH(S$4,Survival!$C$3:$T$3,0))))</f>
        <v/>
      </c>
      <c r="T44" s="27">
        <f>IF(T$4&lt;$A44,"",IF((T$4-$A44)&gt;45,0,INDEX(Data_Sales!$B$5:$B$65,MATCH($A44,Data_Sales!$A$5:$A$65,0))*INDEX(Survival!$C$6:$T$51,(T$4-$A44)+1,MATCH(T$4,Survival!$C$3:$T$3,0))+INDEX(Data_Sales!$C$5:$C$65,MATCH($A44,Data_Sales!$A$5:$A$65,0))*INDEX(Survival!$C$55:$T$100,(T$4-$A44)+1,MATCH(T$4,Survival!$C$3:$T$3,0))))</f>
        <v/>
      </c>
    </row>
    <row r="45">
      <c r="A45" s="9" t="n">
        <v>2009</v>
      </c>
      <c r="C45" s="27">
        <f>IF(C$4&lt;$A45,"",IF((C$4-$A45)&gt;45,0,INDEX(Data_Sales!$B$5:$B$65,MATCH($A45,Data_Sales!$A$5:$A$65,0))*INDEX(Survival!$C$6:$T$51,(C$4-$A45)+1,MATCH(C$4,Survival!$C$3:$T$3,0))+INDEX(Data_Sales!$C$5:$C$65,MATCH($A45,Data_Sales!$A$5:$A$65,0))*INDEX(Survival!$C$55:$T$100,(C$4-$A45)+1,MATCH(C$4,Survival!$C$3:$T$3,0))))</f>
        <v/>
      </c>
      <c r="D45" s="27">
        <f>IF(D$4&lt;$A45,"",IF((D$4-$A45)&gt;45,0,INDEX(Data_Sales!$B$5:$B$65,MATCH($A45,Data_Sales!$A$5:$A$65,0))*INDEX(Survival!$C$6:$T$51,(D$4-$A45)+1,MATCH(D$4,Survival!$C$3:$T$3,0))+INDEX(Data_Sales!$C$5:$C$65,MATCH($A45,Data_Sales!$A$5:$A$65,0))*INDEX(Survival!$C$55:$T$100,(D$4-$A45)+1,MATCH(D$4,Survival!$C$3:$T$3,0))))</f>
        <v/>
      </c>
      <c r="E45" s="27">
        <f>IF(E$4&lt;$A45,"",IF((E$4-$A45)&gt;45,0,INDEX(Data_Sales!$B$5:$B$65,MATCH($A45,Data_Sales!$A$5:$A$65,0))*INDEX(Survival!$C$6:$T$51,(E$4-$A45)+1,MATCH(E$4,Survival!$C$3:$T$3,0))+INDEX(Data_Sales!$C$5:$C$65,MATCH($A45,Data_Sales!$A$5:$A$65,0))*INDEX(Survival!$C$55:$T$100,(E$4-$A45)+1,MATCH(E$4,Survival!$C$3:$T$3,0))))</f>
        <v/>
      </c>
      <c r="F45" s="27">
        <f>IF(F$4&lt;$A45,"",IF((F$4-$A45)&gt;45,0,INDEX(Data_Sales!$B$5:$B$65,MATCH($A45,Data_Sales!$A$5:$A$65,0))*INDEX(Survival!$C$6:$T$51,(F$4-$A45)+1,MATCH(F$4,Survival!$C$3:$T$3,0))+INDEX(Data_Sales!$C$5:$C$65,MATCH($A45,Data_Sales!$A$5:$A$65,0))*INDEX(Survival!$C$55:$T$100,(F$4-$A45)+1,MATCH(F$4,Survival!$C$3:$T$3,0))))</f>
        <v/>
      </c>
      <c r="G45" s="27">
        <f>IF(G$4&lt;$A45,"",IF((G$4-$A45)&gt;45,0,INDEX(Data_Sales!$B$5:$B$65,MATCH($A45,Data_Sales!$A$5:$A$65,0))*INDEX(Survival!$C$6:$T$51,(G$4-$A45)+1,MATCH(G$4,Survival!$C$3:$T$3,0))+INDEX(Data_Sales!$C$5:$C$65,MATCH($A45,Data_Sales!$A$5:$A$65,0))*INDEX(Survival!$C$55:$T$100,(G$4-$A45)+1,MATCH(G$4,Survival!$C$3:$T$3,0))))</f>
        <v/>
      </c>
      <c r="H45" s="27">
        <f>IF(H$4&lt;$A45,"",IF((H$4-$A45)&gt;45,0,INDEX(Data_Sales!$B$5:$B$65,MATCH($A45,Data_Sales!$A$5:$A$65,0))*INDEX(Survival!$C$6:$T$51,(H$4-$A45)+1,MATCH(H$4,Survival!$C$3:$T$3,0))+INDEX(Data_Sales!$C$5:$C$65,MATCH($A45,Data_Sales!$A$5:$A$65,0))*INDEX(Survival!$C$55:$T$100,(H$4-$A45)+1,MATCH(H$4,Survival!$C$3:$T$3,0))))</f>
        <v/>
      </c>
      <c r="I45" s="27">
        <f>IF(I$4&lt;$A45,"",IF((I$4-$A45)&gt;45,0,INDEX(Data_Sales!$B$5:$B$65,MATCH($A45,Data_Sales!$A$5:$A$65,0))*INDEX(Survival!$C$6:$T$51,(I$4-$A45)+1,MATCH(I$4,Survival!$C$3:$T$3,0))+INDEX(Data_Sales!$C$5:$C$65,MATCH($A45,Data_Sales!$A$5:$A$65,0))*INDEX(Survival!$C$55:$T$100,(I$4-$A45)+1,MATCH(I$4,Survival!$C$3:$T$3,0))))</f>
        <v/>
      </c>
      <c r="J45" s="27">
        <f>IF(J$4&lt;$A45,"",IF((J$4-$A45)&gt;45,0,INDEX(Data_Sales!$B$5:$B$65,MATCH($A45,Data_Sales!$A$5:$A$65,0))*INDEX(Survival!$C$6:$T$51,(J$4-$A45)+1,MATCH(J$4,Survival!$C$3:$T$3,0))+INDEX(Data_Sales!$C$5:$C$65,MATCH($A45,Data_Sales!$A$5:$A$65,0))*INDEX(Survival!$C$55:$T$100,(J$4-$A45)+1,MATCH(J$4,Survival!$C$3:$T$3,0))))</f>
        <v/>
      </c>
      <c r="K45" s="27">
        <f>IF(K$4&lt;$A45,"",IF((K$4-$A45)&gt;45,0,INDEX(Data_Sales!$B$5:$B$65,MATCH($A45,Data_Sales!$A$5:$A$65,0))*INDEX(Survival!$C$6:$T$51,(K$4-$A45)+1,MATCH(K$4,Survival!$C$3:$T$3,0))+INDEX(Data_Sales!$C$5:$C$65,MATCH($A45,Data_Sales!$A$5:$A$65,0))*INDEX(Survival!$C$55:$T$100,(K$4-$A45)+1,MATCH(K$4,Survival!$C$3:$T$3,0))))</f>
        <v/>
      </c>
      <c r="L45" s="27">
        <f>IF(L$4&lt;$A45,"",IF((L$4-$A45)&gt;45,0,INDEX(Data_Sales!$B$5:$B$65,MATCH($A45,Data_Sales!$A$5:$A$65,0))*INDEX(Survival!$C$6:$T$51,(L$4-$A45)+1,MATCH(L$4,Survival!$C$3:$T$3,0))+INDEX(Data_Sales!$C$5:$C$65,MATCH($A45,Data_Sales!$A$5:$A$65,0))*INDEX(Survival!$C$55:$T$100,(L$4-$A45)+1,MATCH(L$4,Survival!$C$3:$T$3,0))))</f>
        <v/>
      </c>
      <c r="M45" s="27">
        <f>IF(M$4&lt;$A45,"",IF((M$4-$A45)&gt;45,0,INDEX(Data_Sales!$B$5:$B$65,MATCH($A45,Data_Sales!$A$5:$A$65,0))*INDEX(Survival!$C$6:$T$51,(M$4-$A45)+1,MATCH(M$4,Survival!$C$3:$T$3,0))+INDEX(Data_Sales!$C$5:$C$65,MATCH($A45,Data_Sales!$A$5:$A$65,0))*INDEX(Survival!$C$55:$T$100,(M$4-$A45)+1,MATCH(M$4,Survival!$C$3:$T$3,0))))</f>
        <v/>
      </c>
      <c r="N45" s="27">
        <f>IF(N$4&lt;$A45,"",IF((N$4-$A45)&gt;45,0,INDEX(Data_Sales!$B$5:$B$65,MATCH($A45,Data_Sales!$A$5:$A$65,0))*INDEX(Survival!$C$6:$T$51,(N$4-$A45)+1,MATCH(N$4,Survival!$C$3:$T$3,0))+INDEX(Data_Sales!$C$5:$C$65,MATCH($A45,Data_Sales!$A$5:$A$65,0))*INDEX(Survival!$C$55:$T$100,(N$4-$A45)+1,MATCH(N$4,Survival!$C$3:$T$3,0))))</f>
        <v/>
      </c>
      <c r="O45" s="27">
        <f>IF(O$4&lt;$A45,"",IF((O$4-$A45)&gt;45,0,INDEX(Data_Sales!$B$5:$B$65,MATCH($A45,Data_Sales!$A$5:$A$65,0))*INDEX(Survival!$C$6:$T$51,(O$4-$A45)+1,MATCH(O$4,Survival!$C$3:$T$3,0))+INDEX(Data_Sales!$C$5:$C$65,MATCH($A45,Data_Sales!$A$5:$A$65,0))*INDEX(Survival!$C$55:$T$100,(O$4-$A45)+1,MATCH(O$4,Survival!$C$3:$T$3,0))))</f>
        <v/>
      </c>
      <c r="P45" s="27">
        <f>IF(P$4&lt;$A45,"",IF((P$4-$A45)&gt;45,0,INDEX(Data_Sales!$B$5:$B$65,MATCH($A45,Data_Sales!$A$5:$A$65,0))*INDEX(Survival!$C$6:$T$51,(P$4-$A45)+1,MATCH(P$4,Survival!$C$3:$T$3,0))+INDEX(Data_Sales!$C$5:$C$65,MATCH($A45,Data_Sales!$A$5:$A$65,0))*INDEX(Survival!$C$55:$T$100,(P$4-$A45)+1,MATCH(P$4,Survival!$C$3:$T$3,0))))</f>
        <v/>
      </c>
      <c r="Q45" s="27">
        <f>IF(Q$4&lt;$A45,"",IF((Q$4-$A45)&gt;45,0,INDEX(Data_Sales!$B$5:$B$65,MATCH($A45,Data_Sales!$A$5:$A$65,0))*INDEX(Survival!$C$6:$T$51,(Q$4-$A45)+1,MATCH(Q$4,Survival!$C$3:$T$3,0))+INDEX(Data_Sales!$C$5:$C$65,MATCH($A45,Data_Sales!$A$5:$A$65,0))*INDEX(Survival!$C$55:$T$100,(Q$4-$A45)+1,MATCH(Q$4,Survival!$C$3:$T$3,0))))</f>
        <v/>
      </c>
      <c r="R45" s="27">
        <f>IF(R$4&lt;$A45,"",IF((R$4-$A45)&gt;45,0,INDEX(Data_Sales!$B$5:$B$65,MATCH($A45,Data_Sales!$A$5:$A$65,0))*INDEX(Survival!$C$6:$T$51,(R$4-$A45)+1,MATCH(R$4,Survival!$C$3:$T$3,0))+INDEX(Data_Sales!$C$5:$C$65,MATCH($A45,Data_Sales!$A$5:$A$65,0))*INDEX(Survival!$C$55:$T$100,(R$4-$A45)+1,MATCH(R$4,Survival!$C$3:$T$3,0))))</f>
        <v/>
      </c>
      <c r="S45" s="27">
        <f>IF(S$4&lt;$A45,"",IF((S$4-$A45)&gt;45,0,INDEX(Data_Sales!$B$5:$B$65,MATCH($A45,Data_Sales!$A$5:$A$65,0))*INDEX(Survival!$C$6:$T$51,(S$4-$A45)+1,MATCH(S$4,Survival!$C$3:$T$3,0))+INDEX(Data_Sales!$C$5:$C$65,MATCH($A45,Data_Sales!$A$5:$A$65,0))*INDEX(Survival!$C$55:$T$100,(S$4-$A45)+1,MATCH(S$4,Survival!$C$3:$T$3,0))))</f>
        <v/>
      </c>
      <c r="T45" s="27">
        <f>IF(T$4&lt;$A45,"",IF((T$4-$A45)&gt;45,0,INDEX(Data_Sales!$B$5:$B$65,MATCH($A45,Data_Sales!$A$5:$A$65,0))*INDEX(Survival!$C$6:$T$51,(T$4-$A45)+1,MATCH(T$4,Survival!$C$3:$T$3,0))+INDEX(Data_Sales!$C$5:$C$65,MATCH($A45,Data_Sales!$A$5:$A$65,0))*INDEX(Survival!$C$55:$T$100,(T$4-$A45)+1,MATCH(T$4,Survival!$C$3:$T$3,0))))</f>
        <v/>
      </c>
    </row>
    <row r="46">
      <c r="A46" s="9" t="n">
        <v>2010</v>
      </c>
      <c r="C46" s="27">
        <f>IF(C$4&lt;$A46,"",IF((C$4-$A46)&gt;45,0,INDEX(Data_Sales!$B$5:$B$65,MATCH($A46,Data_Sales!$A$5:$A$65,0))*INDEX(Survival!$C$6:$T$51,(C$4-$A46)+1,MATCH(C$4,Survival!$C$3:$T$3,0))+INDEX(Data_Sales!$C$5:$C$65,MATCH($A46,Data_Sales!$A$5:$A$65,0))*INDEX(Survival!$C$55:$T$100,(C$4-$A46)+1,MATCH(C$4,Survival!$C$3:$T$3,0))))</f>
        <v/>
      </c>
      <c r="D46" s="27">
        <f>IF(D$4&lt;$A46,"",IF((D$4-$A46)&gt;45,0,INDEX(Data_Sales!$B$5:$B$65,MATCH($A46,Data_Sales!$A$5:$A$65,0))*INDEX(Survival!$C$6:$T$51,(D$4-$A46)+1,MATCH(D$4,Survival!$C$3:$T$3,0))+INDEX(Data_Sales!$C$5:$C$65,MATCH($A46,Data_Sales!$A$5:$A$65,0))*INDEX(Survival!$C$55:$T$100,(D$4-$A46)+1,MATCH(D$4,Survival!$C$3:$T$3,0))))</f>
        <v/>
      </c>
      <c r="E46" s="27">
        <f>IF(E$4&lt;$A46,"",IF((E$4-$A46)&gt;45,0,INDEX(Data_Sales!$B$5:$B$65,MATCH($A46,Data_Sales!$A$5:$A$65,0))*INDEX(Survival!$C$6:$T$51,(E$4-$A46)+1,MATCH(E$4,Survival!$C$3:$T$3,0))+INDEX(Data_Sales!$C$5:$C$65,MATCH($A46,Data_Sales!$A$5:$A$65,0))*INDEX(Survival!$C$55:$T$100,(E$4-$A46)+1,MATCH(E$4,Survival!$C$3:$T$3,0))))</f>
        <v/>
      </c>
      <c r="F46" s="27">
        <f>IF(F$4&lt;$A46,"",IF((F$4-$A46)&gt;45,0,INDEX(Data_Sales!$B$5:$B$65,MATCH($A46,Data_Sales!$A$5:$A$65,0))*INDEX(Survival!$C$6:$T$51,(F$4-$A46)+1,MATCH(F$4,Survival!$C$3:$T$3,0))+INDEX(Data_Sales!$C$5:$C$65,MATCH($A46,Data_Sales!$A$5:$A$65,0))*INDEX(Survival!$C$55:$T$100,(F$4-$A46)+1,MATCH(F$4,Survival!$C$3:$T$3,0))))</f>
        <v/>
      </c>
      <c r="G46" s="27">
        <f>IF(G$4&lt;$A46,"",IF((G$4-$A46)&gt;45,0,INDEX(Data_Sales!$B$5:$B$65,MATCH($A46,Data_Sales!$A$5:$A$65,0))*INDEX(Survival!$C$6:$T$51,(G$4-$A46)+1,MATCH(G$4,Survival!$C$3:$T$3,0))+INDEX(Data_Sales!$C$5:$C$65,MATCH($A46,Data_Sales!$A$5:$A$65,0))*INDEX(Survival!$C$55:$T$100,(G$4-$A46)+1,MATCH(G$4,Survival!$C$3:$T$3,0))))</f>
        <v/>
      </c>
      <c r="H46" s="27">
        <f>IF(H$4&lt;$A46,"",IF((H$4-$A46)&gt;45,0,INDEX(Data_Sales!$B$5:$B$65,MATCH($A46,Data_Sales!$A$5:$A$65,0))*INDEX(Survival!$C$6:$T$51,(H$4-$A46)+1,MATCH(H$4,Survival!$C$3:$T$3,0))+INDEX(Data_Sales!$C$5:$C$65,MATCH($A46,Data_Sales!$A$5:$A$65,0))*INDEX(Survival!$C$55:$T$100,(H$4-$A46)+1,MATCH(H$4,Survival!$C$3:$T$3,0))))</f>
        <v/>
      </c>
      <c r="I46" s="27">
        <f>IF(I$4&lt;$A46,"",IF((I$4-$A46)&gt;45,0,INDEX(Data_Sales!$B$5:$B$65,MATCH($A46,Data_Sales!$A$5:$A$65,0))*INDEX(Survival!$C$6:$T$51,(I$4-$A46)+1,MATCH(I$4,Survival!$C$3:$T$3,0))+INDEX(Data_Sales!$C$5:$C$65,MATCH($A46,Data_Sales!$A$5:$A$65,0))*INDEX(Survival!$C$55:$T$100,(I$4-$A46)+1,MATCH(I$4,Survival!$C$3:$T$3,0))))</f>
        <v/>
      </c>
      <c r="J46" s="27">
        <f>IF(J$4&lt;$A46,"",IF((J$4-$A46)&gt;45,0,INDEX(Data_Sales!$B$5:$B$65,MATCH($A46,Data_Sales!$A$5:$A$65,0))*INDEX(Survival!$C$6:$T$51,(J$4-$A46)+1,MATCH(J$4,Survival!$C$3:$T$3,0))+INDEX(Data_Sales!$C$5:$C$65,MATCH($A46,Data_Sales!$A$5:$A$65,0))*INDEX(Survival!$C$55:$T$100,(J$4-$A46)+1,MATCH(J$4,Survival!$C$3:$T$3,0))))</f>
        <v/>
      </c>
      <c r="K46" s="27">
        <f>IF(K$4&lt;$A46,"",IF((K$4-$A46)&gt;45,0,INDEX(Data_Sales!$B$5:$B$65,MATCH($A46,Data_Sales!$A$5:$A$65,0))*INDEX(Survival!$C$6:$T$51,(K$4-$A46)+1,MATCH(K$4,Survival!$C$3:$T$3,0))+INDEX(Data_Sales!$C$5:$C$65,MATCH($A46,Data_Sales!$A$5:$A$65,0))*INDEX(Survival!$C$55:$T$100,(K$4-$A46)+1,MATCH(K$4,Survival!$C$3:$T$3,0))))</f>
        <v/>
      </c>
      <c r="L46" s="27">
        <f>IF(L$4&lt;$A46,"",IF((L$4-$A46)&gt;45,0,INDEX(Data_Sales!$B$5:$B$65,MATCH($A46,Data_Sales!$A$5:$A$65,0))*INDEX(Survival!$C$6:$T$51,(L$4-$A46)+1,MATCH(L$4,Survival!$C$3:$T$3,0))+INDEX(Data_Sales!$C$5:$C$65,MATCH($A46,Data_Sales!$A$5:$A$65,0))*INDEX(Survival!$C$55:$T$100,(L$4-$A46)+1,MATCH(L$4,Survival!$C$3:$T$3,0))))</f>
        <v/>
      </c>
      <c r="M46" s="27">
        <f>IF(M$4&lt;$A46,"",IF((M$4-$A46)&gt;45,0,INDEX(Data_Sales!$B$5:$B$65,MATCH($A46,Data_Sales!$A$5:$A$65,0))*INDEX(Survival!$C$6:$T$51,(M$4-$A46)+1,MATCH(M$4,Survival!$C$3:$T$3,0))+INDEX(Data_Sales!$C$5:$C$65,MATCH($A46,Data_Sales!$A$5:$A$65,0))*INDEX(Survival!$C$55:$T$100,(M$4-$A46)+1,MATCH(M$4,Survival!$C$3:$T$3,0))))</f>
        <v/>
      </c>
      <c r="N46" s="27">
        <f>IF(N$4&lt;$A46,"",IF((N$4-$A46)&gt;45,0,INDEX(Data_Sales!$B$5:$B$65,MATCH($A46,Data_Sales!$A$5:$A$65,0))*INDEX(Survival!$C$6:$T$51,(N$4-$A46)+1,MATCH(N$4,Survival!$C$3:$T$3,0))+INDEX(Data_Sales!$C$5:$C$65,MATCH($A46,Data_Sales!$A$5:$A$65,0))*INDEX(Survival!$C$55:$T$100,(N$4-$A46)+1,MATCH(N$4,Survival!$C$3:$T$3,0))))</f>
        <v/>
      </c>
      <c r="O46" s="27">
        <f>IF(O$4&lt;$A46,"",IF((O$4-$A46)&gt;45,0,INDEX(Data_Sales!$B$5:$B$65,MATCH($A46,Data_Sales!$A$5:$A$65,0))*INDEX(Survival!$C$6:$T$51,(O$4-$A46)+1,MATCH(O$4,Survival!$C$3:$T$3,0))+INDEX(Data_Sales!$C$5:$C$65,MATCH($A46,Data_Sales!$A$5:$A$65,0))*INDEX(Survival!$C$55:$T$100,(O$4-$A46)+1,MATCH(O$4,Survival!$C$3:$T$3,0))))</f>
        <v/>
      </c>
      <c r="P46" s="27">
        <f>IF(P$4&lt;$A46,"",IF((P$4-$A46)&gt;45,0,INDEX(Data_Sales!$B$5:$B$65,MATCH($A46,Data_Sales!$A$5:$A$65,0))*INDEX(Survival!$C$6:$T$51,(P$4-$A46)+1,MATCH(P$4,Survival!$C$3:$T$3,0))+INDEX(Data_Sales!$C$5:$C$65,MATCH($A46,Data_Sales!$A$5:$A$65,0))*INDEX(Survival!$C$55:$T$100,(P$4-$A46)+1,MATCH(P$4,Survival!$C$3:$T$3,0))))</f>
        <v/>
      </c>
      <c r="Q46" s="27">
        <f>IF(Q$4&lt;$A46,"",IF((Q$4-$A46)&gt;45,0,INDEX(Data_Sales!$B$5:$B$65,MATCH($A46,Data_Sales!$A$5:$A$65,0))*INDEX(Survival!$C$6:$T$51,(Q$4-$A46)+1,MATCH(Q$4,Survival!$C$3:$T$3,0))+INDEX(Data_Sales!$C$5:$C$65,MATCH($A46,Data_Sales!$A$5:$A$65,0))*INDEX(Survival!$C$55:$T$100,(Q$4-$A46)+1,MATCH(Q$4,Survival!$C$3:$T$3,0))))</f>
        <v/>
      </c>
      <c r="R46" s="27">
        <f>IF(R$4&lt;$A46,"",IF((R$4-$A46)&gt;45,0,INDEX(Data_Sales!$B$5:$B$65,MATCH($A46,Data_Sales!$A$5:$A$65,0))*INDEX(Survival!$C$6:$T$51,(R$4-$A46)+1,MATCH(R$4,Survival!$C$3:$T$3,0))+INDEX(Data_Sales!$C$5:$C$65,MATCH($A46,Data_Sales!$A$5:$A$65,0))*INDEX(Survival!$C$55:$T$100,(R$4-$A46)+1,MATCH(R$4,Survival!$C$3:$T$3,0))))</f>
        <v/>
      </c>
      <c r="S46" s="27">
        <f>IF(S$4&lt;$A46,"",IF((S$4-$A46)&gt;45,0,INDEX(Data_Sales!$B$5:$B$65,MATCH($A46,Data_Sales!$A$5:$A$65,0))*INDEX(Survival!$C$6:$T$51,(S$4-$A46)+1,MATCH(S$4,Survival!$C$3:$T$3,0))+INDEX(Data_Sales!$C$5:$C$65,MATCH($A46,Data_Sales!$A$5:$A$65,0))*INDEX(Survival!$C$55:$T$100,(S$4-$A46)+1,MATCH(S$4,Survival!$C$3:$T$3,0))))</f>
        <v/>
      </c>
      <c r="T46" s="27">
        <f>IF(T$4&lt;$A46,"",IF((T$4-$A46)&gt;45,0,INDEX(Data_Sales!$B$5:$B$65,MATCH($A46,Data_Sales!$A$5:$A$65,0))*INDEX(Survival!$C$6:$T$51,(T$4-$A46)+1,MATCH(T$4,Survival!$C$3:$T$3,0))+INDEX(Data_Sales!$C$5:$C$65,MATCH($A46,Data_Sales!$A$5:$A$65,0))*INDEX(Survival!$C$55:$T$100,(T$4-$A46)+1,MATCH(T$4,Survival!$C$3:$T$3,0))))</f>
        <v/>
      </c>
    </row>
    <row r="47">
      <c r="A47" s="9" t="n">
        <v>2011</v>
      </c>
      <c r="C47" s="27">
        <f>IF(C$4&lt;$A47,"",IF((C$4-$A47)&gt;45,0,INDEX(Data_Sales!$B$5:$B$65,MATCH($A47,Data_Sales!$A$5:$A$65,0))*INDEX(Survival!$C$6:$T$51,(C$4-$A47)+1,MATCH(C$4,Survival!$C$3:$T$3,0))+INDEX(Data_Sales!$C$5:$C$65,MATCH($A47,Data_Sales!$A$5:$A$65,0))*INDEX(Survival!$C$55:$T$100,(C$4-$A47)+1,MATCH(C$4,Survival!$C$3:$T$3,0))))</f>
        <v/>
      </c>
      <c r="D47" s="27">
        <f>IF(D$4&lt;$A47,"",IF((D$4-$A47)&gt;45,0,INDEX(Data_Sales!$B$5:$B$65,MATCH($A47,Data_Sales!$A$5:$A$65,0))*INDEX(Survival!$C$6:$T$51,(D$4-$A47)+1,MATCH(D$4,Survival!$C$3:$T$3,0))+INDEX(Data_Sales!$C$5:$C$65,MATCH($A47,Data_Sales!$A$5:$A$65,0))*INDEX(Survival!$C$55:$T$100,(D$4-$A47)+1,MATCH(D$4,Survival!$C$3:$T$3,0))))</f>
        <v/>
      </c>
      <c r="E47" s="27">
        <f>IF(E$4&lt;$A47,"",IF((E$4-$A47)&gt;45,0,INDEX(Data_Sales!$B$5:$B$65,MATCH($A47,Data_Sales!$A$5:$A$65,0))*INDEX(Survival!$C$6:$T$51,(E$4-$A47)+1,MATCH(E$4,Survival!$C$3:$T$3,0))+INDEX(Data_Sales!$C$5:$C$65,MATCH($A47,Data_Sales!$A$5:$A$65,0))*INDEX(Survival!$C$55:$T$100,(E$4-$A47)+1,MATCH(E$4,Survival!$C$3:$T$3,0))))</f>
        <v/>
      </c>
      <c r="F47" s="27">
        <f>IF(F$4&lt;$A47,"",IF((F$4-$A47)&gt;45,0,INDEX(Data_Sales!$B$5:$B$65,MATCH($A47,Data_Sales!$A$5:$A$65,0))*INDEX(Survival!$C$6:$T$51,(F$4-$A47)+1,MATCH(F$4,Survival!$C$3:$T$3,0))+INDEX(Data_Sales!$C$5:$C$65,MATCH($A47,Data_Sales!$A$5:$A$65,0))*INDEX(Survival!$C$55:$T$100,(F$4-$A47)+1,MATCH(F$4,Survival!$C$3:$T$3,0))))</f>
        <v/>
      </c>
      <c r="G47" s="27">
        <f>IF(G$4&lt;$A47,"",IF((G$4-$A47)&gt;45,0,INDEX(Data_Sales!$B$5:$B$65,MATCH($A47,Data_Sales!$A$5:$A$65,0))*INDEX(Survival!$C$6:$T$51,(G$4-$A47)+1,MATCH(G$4,Survival!$C$3:$T$3,0))+INDEX(Data_Sales!$C$5:$C$65,MATCH($A47,Data_Sales!$A$5:$A$65,0))*INDEX(Survival!$C$55:$T$100,(G$4-$A47)+1,MATCH(G$4,Survival!$C$3:$T$3,0))))</f>
        <v/>
      </c>
      <c r="H47" s="27">
        <f>IF(H$4&lt;$A47,"",IF((H$4-$A47)&gt;45,0,INDEX(Data_Sales!$B$5:$B$65,MATCH($A47,Data_Sales!$A$5:$A$65,0))*INDEX(Survival!$C$6:$T$51,(H$4-$A47)+1,MATCH(H$4,Survival!$C$3:$T$3,0))+INDEX(Data_Sales!$C$5:$C$65,MATCH($A47,Data_Sales!$A$5:$A$65,0))*INDEX(Survival!$C$55:$T$100,(H$4-$A47)+1,MATCH(H$4,Survival!$C$3:$T$3,0))))</f>
        <v/>
      </c>
      <c r="I47" s="27">
        <f>IF(I$4&lt;$A47,"",IF((I$4-$A47)&gt;45,0,INDEX(Data_Sales!$B$5:$B$65,MATCH($A47,Data_Sales!$A$5:$A$65,0))*INDEX(Survival!$C$6:$T$51,(I$4-$A47)+1,MATCH(I$4,Survival!$C$3:$T$3,0))+INDEX(Data_Sales!$C$5:$C$65,MATCH($A47,Data_Sales!$A$5:$A$65,0))*INDEX(Survival!$C$55:$T$100,(I$4-$A47)+1,MATCH(I$4,Survival!$C$3:$T$3,0))))</f>
        <v/>
      </c>
      <c r="J47" s="27">
        <f>IF(J$4&lt;$A47,"",IF((J$4-$A47)&gt;45,0,INDEX(Data_Sales!$B$5:$B$65,MATCH($A47,Data_Sales!$A$5:$A$65,0))*INDEX(Survival!$C$6:$T$51,(J$4-$A47)+1,MATCH(J$4,Survival!$C$3:$T$3,0))+INDEX(Data_Sales!$C$5:$C$65,MATCH($A47,Data_Sales!$A$5:$A$65,0))*INDEX(Survival!$C$55:$T$100,(J$4-$A47)+1,MATCH(J$4,Survival!$C$3:$T$3,0))))</f>
        <v/>
      </c>
      <c r="K47" s="27">
        <f>IF(K$4&lt;$A47,"",IF((K$4-$A47)&gt;45,0,INDEX(Data_Sales!$B$5:$B$65,MATCH($A47,Data_Sales!$A$5:$A$65,0))*INDEX(Survival!$C$6:$T$51,(K$4-$A47)+1,MATCH(K$4,Survival!$C$3:$T$3,0))+INDEX(Data_Sales!$C$5:$C$65,MATCH($A47,Data_Sales!$A$5:$A$65,0))*INDEX(Survival!$C$55:$T$100,(K$4-$A47)+1,MATCH(K$4,Survival!$C$3:$T$3,0))))</f>
        <v/>
      </c>
      <c r="L47" s="27">
        <f>IF(L$4&lt;$A47,"",IF((L$4-$A47)&gt;45,0,INDEX(Data_Sales!$B$5:$B$65,MATCH($A47,Data_Sales!$A$5:$A$65,0))*INDEX(Survival!$C$6:$T$51,(L$4-$A47)+1,MATCH(L$4,Survival!$C$3:$T$3,0))+INDEX(Data_Sales!$C$5:$C$65,MATCH($A47,Data_Sales!$A$5:$A$65,0))*INDEX(Survival!$C$55:$T$100,(L$4-$A47)+1,MATCH(L$4,Survival!$C$3:$T$3,0))))</f>
        <v/>
      </c>
      <c r="M47" s="27">
        <f>IF(M$4&lt;$A47,"",IF((M$4-$A47)&gt;45,0,INDEX(Data_Sales!$B$5:$B$65,MATCH($A47,Data_Sales!$A$5:$A$65,0))*INDEX(Survival!$C$6:$T$51,(M$4-$A47)+1,MATCH(M$4,Survival!$C$3:$T$3,0))+INDEX(Data_Sales!$C$5:$C$65,MATCH($A47,Data_Sales!$A$5:$A$65,0))*INDEX(Survival!$C$55:$T$100,(M$4-$A47)+1,MATCH(M$4,Survival!$C$3:$T$3,0))))</f>
        <v/>
      </c>
      <c r="N47" s="27">
        <f>IF(N$4&lt;$A47,"",IF((N$4-$A47)&gt;45,0,INDEX(Data_Sales!$B$5:$B$65,MATCH($A47,Data_Sales!$A$5:$A$65,0))*INDEX(Survival!$C$6:$T$51,(N$4-$A47)+1,MATCH(N$4,Survival!$C$3:$T$3,0))+INDEX(Data_Sales!$C$5:$C$65,MATCH($A47,Data_Sales!$A$5:$A$65,0))*INDEX(Survival!$C$55:$T$100,(N$4-$A47)+1,MATCH(N$4,Survival!$C$3:$T$3,0))))</f>
        <v/>
      </c>
      <c r="O47" s="27">
        <f>IF(O$4&lt;$A47,"",IF((O$4-$A47)&gt;45,0,INDEX(Data_Sales!$B$5:$B$65,MATCH($A47,Data_Sales!$A$5:$A$65,0))*INDEX(Survival!$C$6:$T$51,(O$4-$A47)+1,MATCH(O$4,Survival!$C$3:$T$3,0))+INDEX(Data_Sales!$C$5:$C$65,MATCH($A47,Data_Sales!$A$5:$A$65,0))*INDEX(Survival!$C$55:$T$100,(O$4-$A47)+1,MATCH(O$4,Survival!$C$3:$T$3,0))))</f>
        <v/>
      </c>
      <c r="P47" s="27">
        <f>IF(P$4&lt;$A47,"",IF((P$4-$A47)&gt;45,0,INDEX(Data_Sales!$B$5:$B$65,MATCH($A47,Data_Sales!$A$5:$A$65,0))*INDEX(Survival!$C$6:$T$51,(P$4-$A47)+1,MATCH(P$4,Survival!$C$3:$T$3,0))+INDEX(Data_Sales!$C$5:$C$65,MATCH($A47,Data_Sales!$A$5:$A$65,0))*INDEX(Survival!$C$55:$T$100,(P$4-$A47)+1,MATCH(P$4,Survival!$C$3:$T$3,0))))</f>
        <v/>
      </c>
      <c r="Q47" s="27">
        <f>IF(Q$4&lt;$A47,"",IF((Q$4-$A47)&gt;45,0,INDEX(Data_Sales!$B$5:$B$65,MATCH($A47,Data_Sales!$A$5:$A$65,0))*INDEX(Survival!$C$6:$T$51,(Q$4-$A47)+1,MATCH(Q$4,Survival!$C$3:$T$3,0))+INDEX(Data_Sales!$C$5:$C$65,MATCH($A47,Data_Sales!$A$5:$A$65,0))*INDEX(Survival!$C$55:$T$100,(Q$4-$A47)+1,MATCH(Q$4,Survival!$C$3:$T$3,0))))</f>
        <v/>
      </c>
      <c r="R47" s="27">
        <f>IF(R$4&lt;$A47,"",IF((R$4-$A47)&gt;45,0,INDEX(Data_Sales!$B$5:$B$65,MATCH($A47,Data_Sales!$A$5:$A$65,0))*INDEX(Survival!$C$6:$T$51,(R$4-$A47)+1,MATCH(R$4,Survival!$C$3:$T$3,0))+INDEX(Data_Sales!$C$5:$C$65,MATCH($A47,Data_Sales!$A$5:$A$65,0))*INDEX(Survival!$C$55:$T$100,(R$4-$A47)+1,MATCH(R$4,Survival!$C$3:$T$3,0))))</f>
        <v/>
      </c>
      <c r="S47" s="27">
        <f>IF(S$4&lt;$A47,"",IF((S$4-$A47)&gt;45,0,INDEX(Data_Sales!$B$5:$B$65,MATCH($A47,Data_Sales!$A$5:$A$65,0))*INDEX(Survival!$C$6:$T$51,(S$4-$A47)+1,MATCH(S$4,Survival!$C$3:$T$3,0))+INDEX(Data_Sales!$C$5:$C$65,MATCH($A47,Data_Sales!$A$5:$A$65,0))*INDEX(Survival!$C$55:$T$100,(S$4-$A47)+1,MATCH(S$4,Survival!$C$3:$T$3,0))))</f>
        <v/>
      </c>
      <c r="T47" s="27">
        <f>IF(T$4&lt;$A47,"",IF((T$4-$A47)&gt;45,0,INDEX(Data_Sales!$B$5:$B$65,MATCH($A47,Data_Sales!$A$5:$A$65,0))*INDEX(Survival!$C$6:$T$51,(T$4-$A47)+1,MATCH(T$4,Survival!$C$3:$T$3,0))+INDEX(Data_Sales!$C$5:$C$65,MATCH($A47,Data_Sales!$A$5:$A$65,0))*INDEX(Survival!$C$55:$T$100,(T$4-$A47)+1,MATCH(T$4,Survival!$C$3:$T$3,0))))</f>
        <v/>
      </c>
    </row>
    <row r="48">
      <c r="A48" s="9" t="n">
        <v>2012</v>
      </c>
      <c r="C48" s="27">
        <f>IF(C$4&lt;$A48,"",IF((C$4-$A48)&gt;45,0,INDEX(Data_Sales!$B$5:$B$65,MATCH($A48,Data_Sales!$A$5:$A$65,0))*INDEX(Survival!$C$6:$T$51,(C$4-$A48)+1,MATCH(C$4,Survival!$C$3:$T$3,0))+INDEX(Data_Sales!$C$5:$C$65,MATCH($A48,Data_Sales!$A$5:$A$65,0))*INDEX(Survival!$C$55:$T$100,(C$4-$A48)+1,MATCH(C$4,Survival!$C$3:$T$3,0))))</f>
        <v/>
      </c>
      <c r="D48" s="27">
        <f>IF(D$4&lt;$A48,"",IF((D$4-$A48)&gt;45,0,INDEX(Data_Sales!$B$5:$B$65,MATCH($A48,Data_Sales!$A$5:$A$65,0))*INDEX(Survival!$C$6:$T$51,(D$4-$A48)+1,MATCH(D$4,Survival!$C$3:$T$3,0))+INDEX(Data_Sales!$C$5:$C$65,MATCH($A48,Data_Sales!$A$5:$A$65,0))*INDEX(Survival!$C$55:$T$100,(D$4-$A48)+1,MATCH(D$4,Survival!$C$3:$T$3,0))))</f>
        <v/>
      </c>
      <c r="E48" s="27">
        <f>IF(E$4&lt;$A48,"",IF((E$4-$A48)&gt;45,0,INDEX(Data_Sales!$B$5:$B$65,MATCH($A48,Data_Sales!$A$5:$A$65,0))*INDEX(Survival!$C$6:$T$51,(E$4-$A48)+1,MATCH(E$4,Survival!$C$3:$T$3,0))+INDEX(Data_Sales!$C$5:$C$65,MATCH($A48,Data_Sales!$A$5:$A$65,0))*INDEX(Survival!$C$55:$T$100,(E$4-$A48)+1,MATCH(E$4,Survival!$C$3:$T$3,0))))</f>
        <v/>
      </c>
      <c r="F48" s="27">
        <f>IF(F$4&lt;$A48,"",IF((F$4-$A48)&gt;45,0,INDEX(Data_Sales!$B$5:$B$65,MATCH($A48,Data_Sales!$A$5:$A$65,0))*INDEX(Survival!$C$6:$T$51,(F$4-$A48)+1,MATCH(F$4,Survival!$C$3:$T$3,0))+INDEX(Data_Sales!$C$5:$C$65,MATCH($A48,Data_Sales!$A$5:$A$65,0))*INDEX(Survival!$C$55:$T$100,(F$4-$A48)+1,MATCH(F$4,Survival!$C$3:$T$3,0))))</f>
        <v/>
      </c>
      <c r="G48" s="27">
        <f>IF(G$4&lt;$A48,"",IF((G$4-$A48)&gt;45,0,INDEX(Data_Sales!$B$5:$B$65,MATCH($A48,Data_Sales!$A$5:$A$65,0))*INDEX(Survival!$C$6:$T$51,(G$4-$A48)+1,MATCH(G$4,Survival!$C$3:$T$3,0))+INDEX(Data_Sales!$C$5:$C$65,MATCH($A48,Data_Sales!$A$5:$A$65,0))*INDEX(Survival!$C$55:$T$100,(G$4-$A48)+1,MATCH(G$4,Survival!$C$3:$T$3,0))))</f>
        <v/>
      </c>
      <c r="H48" s="27">
        <f>IF(H$4&lt;$A48,"",IF((H$4-$A48)&gt;45,0,INDEX(Data_Sales!$B$5:$B$65,MATCH($A48,Data_Sales!$A$5:$A$65,0))*INDEX(Survival!$C$6:$T$51,(H$4-$A48)+1,MATCH(H$4,Survival!$C$3:$T$3,0))+INDEX(Data_Sales!$C$5:$C$65,MATCH($A48,Data_Sales!$A$5:$A$65,0))*INDEX(Survival!$C$55:$T$100,(H$4-$A48)+1,MATCH(H$4,Survival!$C$3:$T$3,0))))</f>
        <v/>
      </c>
      <c r="I48" s="27">
        <f>IF(I$4&lt;$A48,"",IF((I$4-$A48)&gt;45,0,INDEX(Data_Sales!$B$5:$B$65,MATCH($A48,Data_Sales!$A$5:$A$65,0))*INDEX(Survival!$C$6:$T$51,(I$4-$A48)+1,MATCH(I$4,Survival!$C$3:$T$3,0))+INDEX(Data_Sales!$C$5:$C$65,MATCH($A48,Data_Sales!$A$5:$A$65,0))*INDEX(Survival!$C$55:$T$100,(I$4-$A48)+1,MATCH(I$4,Survival!$C$3:$T$3,0))))</f>
        <v/>
      </c>
      <c r="J48" s="27">
        <f>IF(J$4&lt;$A48,"",IF((J$4-$A48)&gt;45,0,INDEX(Data_Sales!$B$5:$B$65,MATCH($A48,Data_Sales!$A$5:$A$65,0))*INDEX(Survival!$C$6:$T$51,(J$4-$A48)+1,MATCH(J$4,Survival!$C$3:$T$3,0))+INDEX(Data_Sales!$C$5:$C$65,MATCH($A48,Data_Sales!$A$5:$A$65,0))*INDEX(Survival!$C$55:$T$100,(J$4-$A48)+1,MATCH(J$4,Survival!$C$3:$T$3,0))))</f>
        <v/>
      </c>
      <c r="K48" s="27">
        <f>IF(K$4&lt;$A48,"",IF((K$4-$A48)&gt;45,0,INDEX(Data_Sales!$B$5:$B$65,MATCH($A48,Data_Sales!$A$5:$A$65,0))*INDEX(Survival!$C$6:$T$51,(K$4-$A48)+1,MATCH(K$4,Survival!$C$3:$T$3,0))+INDEX(Data_Sales!$C$5:$C$65,MATCH($A48,Data_Sales!$A$5:$A$65,0))*INDEX(Survival!$C$55:$T$100,(K$4-$A48)+1,MATCH(K$4,Survival!$C$3:$T$3,0))))</f>
        <v/>
      </c>
      <c r="L48" s="27">
        <f>IF(L$4&lt;$A48,"",IF((L$4-$A48)&gt;45,0,INDEX(Data_Sales!$B$5:$B$65,MATCH($A48,Data_Sales!$A$5:$A$65,0))*INDEX(Survival!$C$6:$T$51,(L$4-$A48)+1,MATCH(L$4,Survival!$C$3:$T$3,0))+INDEX(Data_Sales!$C$5:$C$65,MATCH($A48,Data_Sales!$A$5:$A$65,0))*INDEX(Survival!$C$55:$T$100,(L$4-$A48)+1,MATCH(L$4,Survival!$C$3:$T$3,0))))</f>
        <v/>
      </c>
      <c r="M48" s="27">
        <f>IF(M$4&lt;$A48,"",IF((M$4-$A48)&gt;45,0,INDEX(Data_Sales!$B$5:$B$65,MATCH($A48,Data_Sales!$A$5:$A$65,0))*INDEX(Survival!$C$6:$T$51,(M$4-$A48)+1,MATCH(M$4,Survival!$C$3:$T$3,0))+INDEX(Data_Sales!$C$5:$C$65,MATCH($A48,Data_Sales!$A$5:$A$65,0))*INDEX(Survival!$C$55:$T$100,(M$4-$A48)+1,MATCH(M$4,Survival!$C$3:$T$3,0))))</f>
        <v/>
      </c>
      <c r="N48" s="27">
        <f>IF(N$4&lt;$A48,"",IF((N$4-$A48)&gt;45,0,INDEX(Data_Sales!$B$5:$B$65,MATCH($A48,Data_Sales!$A$5:$A$65,0))*INDEX(Survival!$C$6:$T$51,(N$4-$A48)+1,MATCH(N$4,Survival!$C$3:$T$3,0))+INDEX(Data_Sales!$C$5:$C$65,MATCH($A48,Data_Sales!$A$5:$A$65,0))*INDEX(Survival!$C$55:$T$100,(N$4-$A48)+1,MATCH(N$4,Survival!$C$3:$T$3,0))))</f>
        <v/>
      </c>
      <c r="O48" s="27">
        <f>IF(O$4&lt;$A48,"",IF((O$4-$A48)&gt;45,0,INDEX(Data_Sales!$B$5:$B$65,MATCH($A48,Data_Sales!$A$5:$A$65,0))*INDEX(Survival!$C$6:$T$51,(O$4-$A48)+1,MATCH(O$4,Survival!$C$3:$T$3,0))+INDEX(Data_Sales!$C$5:$C$65,MATCH($A48,Data_Sales!$A$5:$A$65,0))*INDEX(Survival!$C$55:$T$100,(O$4-$A48)+1,MATCH(O$4,Survival!$C$3:$T$3,0))))</f>
        <v/>
      </c>
      <c r="P48" s="27">
        <f>IF(P$4&lt;$A48,"",IF((P$4-$A48)&gt;45,0,INDEX(Data_Sales!$B$5:$B$65,MATCH($A48,Data_Sales!$A$5:$A$65,0))*INDEX(Survival!$C$6:$T$51,(P$4-$A48)+1,MATCH(P$4,Survival!$C$3:$T$3,0))+INDEX(Data_Sales!$C$5:$C$65,MATCH($A48,Data_Sales!$A$5:$A$65,0))*INDEX(Survival!$C$55:$T$100,(P$4-$A48)+1,MATCH(P$4,Survival!$C$3:$T$3,0))))</f>
        <v/>
      </c>
      <c r="Q48" s="27">
        <f>IF(Q$4&lt;$A48,"",IF((Q$4-$A48)&gt;45,0,INDEX(Data_Sales!$B$5:$B$65,MATCH($A48,Data_Sales!$A$5:$A$65,0))*INDEX(Survival!$C$6:$T$51,(Q$4-$A48)+1,MATCH(Q$4,Survival!$C$3:$T$3,0))+INDEX(Data_Sales!$C$5:$C$65,MATCH($A48,Data_Sales!$A$5:$A$65,0))*INDEX(Survival!$C$55:$T$100,(Q$4-$A48)+1,MATCH(Q$4,Survival!$C$3:$T$3,0))))</f>
        <v/>
      </c>
      <c r="R48" s="27">
        <f>IF(R$4&lt;$A48,"",IF((R$4-$A48)&gt;45,0,INDEX(Data_Sales!$B$5:$B$65,MATCH($A48,Data_Sales!$A$5:$A$65,0))*INDEX(Survival!$C$6:$T$51,(R$4-$A48)+1,MATCH(R$4,Survival!$C$3:$T$3,0))+INDEX(Data_Sales!$C$5:$C$65,MATCH($A48,Data_Sales!$A$5:$A$65,0))*INDEX(Survival!$C$55:$T$100,(R$4-$A48)+1,MATCH(R$4,Survival!$C$3:$T$3,0))))</f>
        <v/>
      </c>
      <c r="S48" s="27">
        <f>IF(S$4&lt;$A48,"",IF((S$4-$A48)&gt;45,0,INDEX(Data_Sales!$B$5:$B$65,MATCH($A48,Data_Sales!$A$5:$A$65,0))*INDEX(Survival!$C$6:$T$51,(S$4-$A48)+1,MATCH(S$4,Survival!$C$3:$T$3,0))+INDEX(Data_Sales!$C$5:$C$65,MATCH($A48,Data_Sales!$A$5:$A$65,0))*INDEX(Survival!$C$55:$T$100,(S$4-$A48)+1,MATCH(S$4,Survival!$C$3:$T$3,0))))</f>
        <v/>
      </c>
      <c r="T48" s="27">
        <f>IF(T$4&lt;$A48,"",IF((T$4-$A48)&gt;45,0,INDEX(Data_Sales!$B$5:$B$65,MATCH($A48,Data_Sales!$A$5:$A$65,0))*INDEX(Survival!$C$6:$T$51,(T$4-$A48)+1,MATCH(T$4,Survival!$C$3:$T$3,0))+INDEX(Data_Sales!$C$5:$C$65,MATCH($A48,Data_Sales!$A$5:$A$65,0))*INDEX(Survival!$C$55:$T$100,(T$4-$A48)+1,MATCH(T$4,Survival!$C$3:$T$3,0))))</f>
        <v/>
      </c>
    </row>
    <row r="49">
      <c r="A49" s="9" t="n">
        <v>2013</v>
      </c>
      <c r="C49" s="27">
        <f>IF(C$4&lt;$A49,"",IF((C$4-$A49)&gt;45,0,INDEX(Data_Sales!$B$5:$B$65,MATCH($A49,Data_Sales!$A$5:$A$65,0))*INDEX(Survival!$C$6:$T$51,(C$4-$A49)+1,MATCH(C$4,Survival!$C$3:$T$3,0))+INDEX(Data_Sales!$C$5:$C$65,MATCH($A49,Data_Sales!$A$5:$A$65,0))*INDEX(Survival!$C$55:$T$100,(C$4-$A49)+1,MATCH(C$4,Survival!$C$3:$T$3,0))))</f>
        <v/>
      </c>
      <c r="D49" s="27">
        <f>IF(D$4&lt;$A49,"",IF((D$4-$A49)&gt;45,0,INDEX(Data_Sales!$B$5:$B$65,MATCH($A49,Data_Sales!$A$5:$A$65,0))*INDEX(Survival!$C$6:$T$51,(D$4-$A49)+1,MATCH(D$4,Survival!$C$3:$T$3,0))+INDEX(Data_Sales!$C$5:$C$65,MATCH($A49,Data_Sales!$A$5:$A$65,0))*INDEX(Survival!$C$55:$T$100,(D$4-$A49)+1,MATCH(D$4,Survival!$C$3:$T$3,0))))</f>
        <v/>
      </c>
      <c r="E49" s="27">
        <f>IF(E$4&lt;$A49,"",IF((E$4-$A49)&gt;45,0,INDEX(Data_Sales!$B$5:$B$65,MATCH($A49,Data_Sales!$A$5:$A$65,0))*INDEX(Survival!$C$6:$T$51,(E$4-$A49)+1,MATCH(E$4,Survival!$C$3:$T$3,0))+INDEX(Data_Sales!$C$5:$C$65,MATCH($A49,Data_Sales!$A$5:$A$65,0))*INDEX(Survival!$C$55:$T$100,(E$4-$A49)+1,MATCH(E$4,Survival!$C$3:$T$3,0))))</f>
        <v/>
      </c>
      <c r="F49" s="27">
        <f>IF(F$4&lt;$A49,"",IF((F$4-$A49)&gt;45,0,INDEX(Data_Sales!$B$5:$B$65,MATCH($A49,Data_Sales!$A$5:$A$65,0))*INDEX(Survival!$C$6:$T$51,(F$4-$A49)+1,MATCH(F$4,Survival!$C$3:$T$3,0))+INDEX(Data_Sales!$C$5:$C$65,MATCH($A49,Data_Sales!$A$5:$A$65,0))*INDEX(Survival!$C$55:$T$100,(F$4-$A49)+1,MATCH(F$4,Survival!$C$3:$T$3,0))))</f>
        <v/>
      </c>
      <c r="G49" s="27">
        <f>IF(G$4&lt;$A49,"",IF((G$4-$A49)&gt;45,0,INDEX(Data_Sales!$B$5:$B$65,MATCH($A49,Data_Sales!$A$5:$A$65,0))*INDEX(Survival!$C$6:$T$51,(G$4-$A49)+1,MATCH(G$4,Survival!$C$3:$T$3,0))+INDEX(Data_Sales!$C$5:$C$65,MATCH($A49,Data_Sales!$A$5:$A$65,0))*INDEX(Survival!$C$55:$T$100,(G$4-$A49)+1,MATCH(G$4,Survival!$C$3:$T$3,0))))</f>
        <v/>
      </c>
      <c r="H49" s="27">
        <f>IF(H$4&lt;$A49,"",IF((H$4-$A49)&gt;45,0,INDEX(Data_Sales!$B$5:$B$65,MATCH($A49,Data_Sales!$A$5:$A$65,0))*INDEX(Survival!$C$6:$T$51,(H$4-$A49)+1,MATCH(H$4,Survival!$C$3:$T$3,0))+INDEX(Data_Sales!$C$5:$C$65,MATCH($A49,Data_Sales!$A$5:$A$65,0))*INDEX(Survival!$C$55:$T$100,(H$4-$A49)+1,MATCH(H$4,Survival!$C$3:$T$3,0))))</f>
        <v/>
      </c>
      <c r="I49" s="27">
        <f>IF(I$4&lt;$A49,"",IF((I$4-$A49)&gt;45,0,INDEX(Data_Sales!$B$5:$B$65,MATCH($A49,Data_Sales!$A$5:$A$65,0))*INDEX(Survival!$C$6:$T$51,(I$4-$A49)+1,MATCH(I$4,Survival!$C$3:$T$3,0))+INDEX(Data_Sales!$C$5:$C$65,MATCH($A49,Data_Sales!$A$5:$A$65,0))*INDEX(Survival!$C$55:$T$100,(I$4-$A49)+1,MATCH(I$4,Survival!$C$3:$T$3,0))))</f>
        <v/>
      </c>
      <c r="J49" s="27">
        <f>IF(J$4&lt;$A49,"",IF((J$4-$A49)&gt;45,0,INDEX(Data_Sales!$B$5:$B$65,MATCH($A49,Data_Sales!$A$5:$A$65,0))*INDEX(Survival!$C$6:$T$51,(J$4-$A49)+1,MATCH(J$4,Survival!$C$3:$T$3,0))+INDEX(Data_Sales!$C$5:$C$65,MATCH($A49,Data_Sales!$A$5:$A$65,0))*INDEX(Survival!$C$55:$T$100,(J$4-$A49)+1,MATCH(J$4,Survival!$C$3:$T$3,0))))</f>
        <v/>
      </c>
      <c r="K49" s="27">
        <f>IF(K$4&lt;$A49,"",IF((K$4-$A49)&gt;45,0,INDEX(Data_Sales!$B$5:$B$65,MATCH($A49,Data_Sales!$A$5:$A$65,0))*INDEX(Survival!$C$6:$T$51,(K$4-$A49)+1,MATCH(K$4,Survival!$C$3:$T$3,0))+INDEX(Data_Sales!$C$5:$C$65,MATCH($A49,Data_Sales!$A$5:$A$65,0))*INDEX(Survival!$C$55:$T$100,(K$4-$A49)+1,MATCH(K$4,Survival!$C$3:$T$3,0))))</f>
        <v/>
      </c>
      <c r="L49" s="27">
        <f>IF(L$4&lt;$A49,"",IF((L$4-$A49)&gt;45,0,INDEX(Data_Sales!$B$5:$B$65,MATCH($A49,Data_Sales!$A$5:$A$65,0))*INDEX(Survival!$C$6:$T$51,(L$4-$A49)+1,MATCH(L$4,Survival!$C$3:$T$3,0))+INDEX(Data_Sales!$C$5:$C$65,MATCH($A49,Data_Sales!$A$5:$A$65,0))*INDEX(Survival!$C$55:$T$100,(L$4-$A49)+1,MATCH(L$4,Survival!$C$3:$T$3,0))))</f>
        <v/>
      </c>
      <c r="M49" s="27">
        <f>IF(M$4&lt;$A49,"",IF((M$4-$A49)&gt;45,0,INDEX(Data_Sales!$B$5:$B$65,MATCH($A49,Data_Sales!$A$5:$A$65,0))*INDEX(Survival!$C$6:$T$51,(M$4-$A49)+1,MATCH(M$4,Survival!$C$3:$T$3,0))+INDEX(Data_Sales!$C$5:$C$65,MATCH($A49,Data_Sales!$A$5:$A$65,0))*INDEX(Survival!$C$55:$T$100,(M$4-$A49)+1,MATCH(M$4,Survival!$C$3:$T$3,0))))</f>
        <v/>
      </c>
      <c r="N49" s="27">
        <f>IF(N$4&lt;$A49,"",IF((N$4-$A49)&gt;45,0,INDEX(Data_Sales!$B$5:$B$65,MATCH($A49,Data_Sales!$A$5:$A$65,0))*INDEX(Survival!$C$6:$T$51,(N$4-$A49)+1,MATCH(N$4,Survival!$C$3:$T$3,0))+INDEX(Data_Sales!$C$5:$C$65,MATCH($A49,Data_Sales!$A$5:$A$65,0))*INDEX(Survival!$C$55:$T$100,(N$4-$A49)+1,MATCH(N$4,Survival!$C$3:$T$3,0))))</f>
        <v/>
      </c>
      <c r="O49" s="27">
        <f>IF(O$4&lt;$A49,"",IF((O$4-$A49)&gt;45,0,INDEX(Data_Sales!$B$5:$B$65,MATCH($A49,Data_Sales!$A$5:$A$65,0))*INDEX(Survival!$C$6:$T$51,(O$4-$A49)+1,MATCH(O$4,Survival!$C$3:$T$3,0))+INDEX(Data_Sales!$C$5:$C$65,MATCH($A49,Data_Sales!$A$5:$A$65,0))*INDEX(Survival!$C$55:$T$100,(O$4-$A49)+1,MATCH(O$4,Survival!$C$3:$T$3,0))))</f>
        <v/>
      </c>
      <c r="P49" s="27">
        <f>IF(P$4&lt;$A49,"",IF((P$4-$A49)&gt;45,0,INDEX(Data_Sales!$B$5:$B$65,MATCH($A49,Data_Sales!$A$5:$A$65,0))*INDEX(Survival!$C$6:$T$51,(P$4-$A49)+1,MATCH(P$4,Survival!$C$3:$T$3,0))+INDEX(Data_Sales!$C$5:$C$65,MATCH($A49,Data_Sales!$A$5:$A$65,0))*INDEX(Survival!$C$55:$T$100,(P$4-$A49)+1,MATCH(P$4,Survival!$C$3:$T$3,0))))</f>
        <v/>
      </c>
      <c r="Q49" s="27">
        <f>IF(Q$4&lt;$A49,"",IF((Q$4-$A49)&gt;45,0,INDEX(Data_Sales!$B$5:$B$65,MATCH($A49,Data_Sales!$A$5:$A$65,0))*INDEX(Survival!$C$6:$T$51,(Q$4-$A49)+1,MATCH(Q$4,Survival!$C$3:$T$3,0))+INDEX(Data_Sales!$C$5:$C$65,MATCH($A49,Data_Sales!$A$5:$A$65,0))*INDEX(Survival!$C$55:$T$100,(Q$4-$A49)+1,MATCH(Q$4,Survival!$C$3:$T$3,0))))</f>
        <v/>
      </c>
      <c r="R49" s="27">
        <f>IF(R$4&lt;$A49,"",IF((R$4-$A49)&gt;45,0,INDEX(Data_Sales!$B$5:$B$65,MATCH($A49,Data_Sales!$A$5:$A$65,0))*INDEX(Survival!$C$6:$T$51,(R$4-$A49)+1,MATCH(R$4,Survival!$C$3:$T$3,0))+INDEX(Data_Sales!$C$5:$C$65,MATCH($A49,Data_Sales!$A$5:$A$65,0))*INDEX(Survival!$C$55:$T$100,(R$4-$A49)+1,MATCH(R$4,Survival!$C$3:$T$3,0))))</f>
        <v/>
      </c>
      <c r="S49" s="27">
        <f>IF(S$4&lt;$A49,"",IF((S$4-$A49)&gt;45,0,INDEX(Data_Sales!$B$5:$B$65,MATCH($A49,Data_Sales!$A$5:$A$65,0))*INDEX(Survival!$C$6:$T$51,(S$4-$A49)+1,MATCH(S$4,Survival!$C$3:$T$3,0))+INDEX(Data_Sales!$C$5:$C$65,MATCH($A49,Data_Sales!$A$5:$A$65,0))*INDEX(Survival!$C$55:$T$100,(S$4-$A49)+1,MATCH(S$4,Survival!$C$3:$T$3,0))))</f>
        <v/>
      </c>
      <c r="T49" s="27">
        <f>IF(T$4&lt;$A49,"",IF((T$4-$A49)&gt;45,0,INDEX(Data_Sales!$B$5:$B$65,MATCH($A49,Data_Sales!$A$5:$A$65,0))*INDEX(Survival!$C$6:$T$51,(T$4-$A49)+1,MATCH(T$4,Survival!$C$3:$T$3,0))+INDEX(Data_Sales!$C$5:$C$65,MATCH($A49,Data_Sales!$A$5:$A$65,0))*INDEX(Survival!$C$55:$T$100,(T$4-$A49)+1,MATCH(T$4,Survival!$C$3:$T$3,0))))</f>
        <v/>
      </c>
    </row>
    <row r="50">
      <c r="A50" s="9" t="n">
        <v>2014</v>
      </c>
      <c r="C50" s="27">
        <f>IF(C$4&lt;$A50,"",IF((C$4-$A50)&gt;45,0,INDEX(Data_Sales!$B$5:$B$65,MATCH($A50,Data_Sales!$A$5:$A$65,0))*INDEX(Survival!$C$6:$T$51,(C$4-$A50)+1,MATCH(C$4,Survival!$C$3:$T$3,0))+INDEX(Data_Sales!$C$5:$C$65,MATCH($A50,Data_Sales!$A$5:$A$65,0))*INDEX(Survival!$C$55:$T$100,(C$4-$A50)+1,MATCH(C$4,Survival!$C$3:$T$3,0))))</f>
        <v/>
      </c>
      <c r="D50" s="27">
        <f>IF(D$4&lt;$A50,"",IF((D$4-$A50)&gt;45,0,INDEX(Data_Sales!$B$5:$B$65,MATCH($A50,Data_Sales!$A$5:$A$65,0))*INDEX(Survival!$C$6:$T$51,(D$4-$A50)+1,MATCH(D$4,Survival!$C$3:$T$3,0))+INDEX(Data_Sales!$C$5:$C$65,MATCH($A50,Data_Sales!$A$5:$A$65,0))*INDEX(Survival!$C$55:$T$100,(D$4-$A50)+1,MATCH(D$4,Survival!$C$3:$T$3,0))))</f>
        <v/>
      </c>
      <c r="E50" s="27">
        <f>IF(E$4&lt;$A50,"",IF((E$4-$A50)&gt;45,0,INDEX(Data_Sales!$B$5:$B$65,MATCH($A50,Data_Sales!$A$5:$A$65,0))*INDEX(Survival!$C$6:$T$51,(E$4-$A50)+1,MATCH(E$4,Survival!$C$3:$T$3,0))+INDEX(Data_Sales!$C$5:$C$65,MATCH($A50,Data_Sales!$A$5:$A$65,0))*INDEX(Survival!$C$55:$T$100,(E$4-$A50)+1,MATCH(E$4,Survival!$C$3:$T$3,0))))</f>
        <v/>
      </c>
      <c r="F50" s="27">
        <f>IF(F$4&lt;$A50,"",IF((F$4-$A50)&gt;45,0,INDEX(Data_Sales!$B$5:$B$65,MATCH($A50,Data_Sales!$A$5:$A$65,0))*INDEX(Survival!$C$6:$T$51,(F$4-$A50)+1,MATCH(F$4,Survival!$C$3:$T$3,0))+INDEX(Data_Sales!$C$5:$C$65,MATCH($A50,Data_Sales!$A$5:$A$65,0))*INDEX(Survival!$C$55:$T$100,(F$4-$A50)+1,MATCH(F$4,Survival!$C$3:$T$3,0))))</f>
        <v/>
      </c>
      <c r="G50" s="27">
        <f>IF(G$4&lt;$A50,"",IF((G$4-$A50)&gt;45,0,INDEX(Data_Sales!$B$5:$B$65,MATCH($A50,Data_Sales!$A$5:$A$65,0))*INDEX(Survival!$C$6:$T$51,(G$4-$A50)+1,MATCH(G$4,Survival!$C$3:$T$3,0))+INDEX(Data_Sales!$C$5:$C$65,MATCH($A50,Data_Sales!$A$5:$A$65,0))*INDEX(Survival!$C$55:$T$100,(G$4-$A50)+1,MATCH(G$4,Survival!$C$3:$T$3,0))))</f>
        <v/>
      </c>
      <c r="H50" s="27">
        <f>IF(H$4&lt;$A50,"",IF((H$4-$A50)&gt;45,0,INDEX(Data_Sales!$B$5:$B$65,MATCH($A50,Data_Sales!$A$5:$A$65,0))*INDEX(Survival!$C$6:$T$51,(H$4-$A50)+1,MATCH(H$4,Survival!$C$3:$T$3,0))+INDEX(Data_Sales!$C$5:$C$65,MATCH($A50,Data_Sales!$A$5:$A$65,0))*INDEX(Survival!$C$55:$T$100,(H$4-$A50)+1,MATCH(H$4,Survival!$C$3:$T$3,0))))</f>
        <v/>
      </c>
      <c r="I50" s="27">
        <f>IF(I$4&lt;$A50,"",IF((I$4-$A50)&gt;45,0,INDEX(Data_Sales!$B$5:$B$65,MATCH($A50,Data_Sales!$A$5:$A$65,0))*INDEX(Survival!$C$6:$T$51,(I$4-$A50)+1,MATCH(I$4,Survival!$C$3:$T$3,0))+INDEX(Data_Sales!$C$5:$C$65,MATCH($A50,Data_Sales!$A$5:$A$65,0))*INDEX(Survival!$C$55:$T$100,(I$4-$A50)+1,MATCH(I$4,Survival!$C$3:$T$3,0))))</f>
        <v/>
      </c>
      <c r="J50" s="27">
        <f>IF(J$4&lt;$A50,"",IF((J$4-$A50)&gt;45,0,INDEX(Data_Sales!$B$5:$B$65,MATCH($A50,Data_Sales!$A$5:$A$65,0))*INDEX(Survival!$C$6:$T$51,(J$4-$A50)+1,MATCH(J$4,Survival!$C$3:$T$3,0))+INDEX(Data_Sales!$C$5:$C$65,MATCH($A50,Data_Sales!$A$5:$A$65,0))*INDEX(Survival!$C$55:$T$100,(J$4-$A50)+1,MATCH(J$4,Survival!$C$3:$T$3,0))))</f>
        <v/>
      </c>
      <c r="K50" s="27">
        <f>IF(K$4&lt;$A50,"",IF((K$4-$A50)&gt;45,0,INDEX(Data_Sales!$B$5:$B$65,MATCH($A50,Data_Sales!$A$5:$A$65,0))*INDEX(Survival!$C$6:$T$51,(K$4-$A50)+1,MATCH(K$4,Survival!$C$3:$T$3,0))+INDEX(Data_Sales!$C$5:$C$65,MATCH($A50,Data_Sales!$A$5:$A$65,0))*INDEX(Survival!$C$55:$T$100,(K$4-$A50)+1,MATCH(K$4,Survival!$C$3:$T$3,0))))</f>
        <v/>
      </c>
      <c r="L50" s="27">
        <f>IF(L$4&lt;$A50,"",IF((L$4-$A50)&gt;45,0,INDEX(Data_Sales!$B$5:$B$65,MATCH($A50,Data_Sales!$A$5:$A$65,0))*INDEX(Survival!$C$6:$T$51,(L$4-$A50)+1,MATCH(L$4,Survival!$C$3:$T$3,0))+INDEX(Data_Sales!$C$5:$C$65,MATCH($A50,Data_Sales!$A$5:$A$65,0))*INDEX(Survival!$C$55:$T$100,(L$4-$A50)+1,MATCH(L$4,Survival!$C$3:$T$3,0))))</f>
        <v/>
      </c>
      <c r="M50" s="27">
        <f>IF(M$4&lt;$A50,"",IF((M$4-$A50)&gt;45,0,INDEX(Data_Sales!$B$5:$B$65,MATCH($A50,Data_Sales!$A$5:$A$65,0))*INDEX(Survival!$C$6:$T$51,(M$4-$A50)+1,MATCH(M$4,Survival!$C$3:$T$3,0))+INDEX(Data_Sales!$C$5:$C$65,MATCH($A50,Data_Sales!$A$5:$A$65,0))*INDEX(Survival!$C$55:$T$100,(M$4-$A50)+1,MATCH(M$4,Survival!$C$3:$T$3,0))))</f>
        <v/>
      </c>
      <c r="N50" s="27">
        <f>IF(N$4&lt;$A50,"",IF((N$4-$A50)&gt;45,0,INDEX(Data_Sales!$B$5:$B$65,MATCH($A50,Data_Sales!$A$5:$A$65,0))*INDEX(Survival!$C$6:$T$51,(N$4-$A50)+1,MATCH(N$4,Survival!$C$3:$T$3,0))+INDEX(Data_Sales!$C$5:$C$65,MATCH($A50,Data_Sales!$A$5:$A$65,0))*INDEX(Survival!$C$55:$T$100,(N$4-$A50)+1,MATCH(N$4,Survival!$C$3:$T$3,0))))</f>
        <v/>
      </c>
      <c r="O50" s="27">
        <f>IF(O$4&lt;$A50,"",IF((O$4-$A50)&gt;45,0,INDEX(Data_Sales!$B$5:$B$65,MATCH($A50,Data_Sales!$A$5:$A$65,0))*INDEX(Survival!$C$6:$T$51,(O$4-$A50)+1,MATCH(O$4,Survival!$C$3:$T$3,0))+INDEX(Data_Sales!$C$5:$C$65,MATCH($A50,Data_Sales!$A$5:$A$65,0))*INDEX(Survival!$C$55:$T$100,(O$4-$A50)+1,MATCH(O$4,Survival!$C$3:$T$3,0))))</f>
        <v/>
      </c>
      <c r="P50" s="27">
        <f>IF(P$4&lt;$A50,"",IF((P$4-$A50)&gt;45,0,INDEX(Data_Sales!$B$5:$B$65,MATCH($A50,Data_Sales!$A$5:$A$65,0))*INDEX(Survival!$C$6:$T$51,(P$4-$A50)+1,MATCH(P$4,Survival!$C$3:$T$3,0))+INDEX(Data_Sales!$C$5:$C$65,MATCH($A50,Data_Sales!$A$5:$A$65,0))*INDEX(Survival!$C$55:$T$100,(P$4-$A50)+1,MATCH(P$4,Survival!$C$3:$T$3,0))))</f>
        <v/>
      </c>
      <c r="Q50" s="27">
        <f>IF(Q$4&lt;$A50,"",IF((Q$4-$A50)&gt;45,0,INDEX(Data_Sales!$B$5:$B$65,MATCH($A50,Data_Sales!$A$5:$A$65,0))*INDEX(Survival!$C$6:$T$51,(Q$4-$A50)+1,MATCH(Q$4,Survival!$C$3:$T$3,0))+INDEX(Data_Sales!$C$5:$C$65,MATCH($A50,Data_Sales!$A$5:$A$65,0))*INDEX(Survival!$C$55:$T$100,(Q$4-$A50)+1,MATCH(Q$4,Survival!$C$3:$T$3,0))))</f>
        <v/>
      </c>
      <c r="R50" s="27">
        <f>IF(R$4&lt;$A50,"",IF((R$4-$A50)&gt;45,0,INDEX(Data_Sales!$B$5:$B$65,MATCH($A50,Data_Sales!$A$5:$A$65,0))*INDEX(Survival!$C$6:$T$51,(R$4-$A50)+1,MATCH(R$4,Survival!$C$3:$T$3,0))+INDEX(Data_Sales!$C$5:$C$65,MATCH($A50,Data_Sales!$A$5:$A$65,0))*INDEX(Survival!$C$55:$T$100,(R$4-$A50)+1,MATCH(R$4,Survival!$C$3:$T$3,0))))</f>
        <v/>
      </c>
      <c r="S50" s="27">
        <f>IF(S$4&lt;$A50,"",IF((S$4-$A50)&gt;45,0,INDEX(Data_Sales!$B$5:$B$65,MATCH($A50,Data_Sales!$A$5:$A$65,0))*INDEX(Survival!$C$6:$T$51,(S$4-$A50)+1,MATCH(S$4,Survival!$C$3:$T$3,0))+INDEX(Data_Sales!$C$5:$C$65,MATCH($A50,Data_Sales!$A$5:$A$65,0))*INDEX(Survival!$C$55:$T$100,(S$4-$A50)+1,MATCH(S$4,Survival!$C$3:$T$3,0))))</f>
        <v/>
      </c>
      <c r="T50" s="27">
        <f>IF(T$4&lt;$A50,"",IF((T$4-$A50)&gt;45,0,INDEX(Data_Sales!$B$5:$B$65,MATCH($A50,Data_Sales!$A$5:$A$65,0))*INDEX(Survival!$C$6:$T$51,(T$4-$A50)+1,MATCH(T$4,Survival!$C$3:$T$3,0))+INDEX(Data_Sales!$C$5:$C$65,MATCH($A50,Data_Sales!$A$5:$A$65,0))*INDEX(Survival!$C$55:$T$100,(T$4-$A50)+1,MATCH(T$4,Survival!$C$3:$T$3,0))))</f>
        <v/>
      </c>
    </row>
    <row r="51">
      <c r="A51" s="9" t="n">
        <v>2015</v>
      </c>
      <c r="C51" s="27">
        <f>IF(C$4&lt;$A51,"",IF((C$4-$A51)&gt;45,0,INDEX(Data_Sales!$B$5:$B$65,MATCH($A51,Data_Sales!$A$5:$A$65,0))*INDEX(Survival!$C$6:$T$51,(C$4-$A51)+1,MATCH(C$4,Survival!$C$3:$T$3,0))+INDEX(Data_Sales!$C$5:$C$65,MATCH($A51,Data_Sales!$A$5:$A$65,0))*INDEX(Survival!$C$55:$T$100,(C$4-$A51)+1,MATCH(C$4,Survival!$C$3:$T$3,0))))</f>
        <v/>
      </c>
      <c r="D51" s="27">
        <f>IF(D$4&lt;$A51,"",IF((D$4-$A51)&gt;45,0,INDEX(Data_Sales!$B$5:$B$65,MATCH($A51,Data_Sales!$A$5:$A$65,0))*INDEX(Survival!$C$6:$T$51,(D$4-$A51)+1,MATCH(D$4,Survival!$C$3:$T$3,0))+INDEX(Data_Sales!$C$5:$C$65,MATCH($A51,Data_Sales!$A$5:$A$65,0))*INDEX(Survival!$C$55:$T$100,(D$4-$A51)+1,MATCH(D$4,Survival!$C$3:$T$3,0))))</f>
        <v/>
      </c>
      <c r="E51" s="27">
        <f>IF(E$4&lt;$A51,"",IF((E$4-$A51)&gt;45,0,INDEX(Data_Sales!$B$5:$B$65,MATCH($A51,Data_Sales!$A$5:$A$65,0))*INDEX(Survival!$C$6:$T$51,(E$4-$A51)+1,MATCH(E$4,Survival!$C$3:$T$3,0))+INDEX(Data_Sales!$C$5:$C$65,MATCH($A51,Data_Sales!$A$5:$A$65,0))*INDEX(Survival!$C$55:$T$100,(E$4-$A51)+1,MATCH(E$4,Survival!$C$3:$T$3,0))))</f>
        <v/>
      </c>
      <c r="F51" s="27">
        <f>IF(F$4&lt;$A51,"",IF((F$4-$A51)&gt;45,0,INDEX(Data_Sales!$B$5:$B$65,MATCH($A51,Data_Sales!$A$5:$A$65,0))*INDEX(Survival!$C$6:$T$51,(F$4-$A51)+1,MATCH(F$4,Survival!$C$3:$T$3,0))+INDEX(Data_Sales!$C$5:$C$65,MATCH($A51,Data_Sales!$A$5:$A$65,0))*INDEX(Survival!$C$55:$T$100,(F$4-$A51)+1,MATCH(F$4,Survival!$C$3:$T$3,0))))</f>
        <v/>
      </c>
      <c r="G51" s="27">
        <f>IF(G$4&lt;$A51,"",IF((G$4-$A51)&gt;45,0,INDEX(Data_Sales!$B$5:$B$65,MATCH($A51,Data_Sales!$A$5:$A$65,0))*INDEX(Survival!$C$6:$T$51,(G$4-$A51)+1,MATCH(G$4,Survival!$C$3:$T$3,0))+INDEX(Data_Sales!$C$5:$C$65,MATCH($A51,Data_Sales!$A$5:$A$65,0))*INDEX(Survival!$C$55:$T$100,(G$4-$A51)+1,MATCH(G$4,Survival!$C$3:$T$3,0))))</f>
        <v/>
      </c>
      <c r="H51" s="27">
        <f>IF(H$4&lt;$A51,"",IF((H$4-$A51)&gt;45,0,INDEX(Data_Sales!$B$5:$B$65,MATCH($A51,Data_Sales!$A$5:$A$65,0))*INDEX(Survival!$C$6:$T$51,(H$4-$A51)+1,MATCH(H$4,Survival!$C$3:$T$3,0))+INDEX(Data_Sales!$C$5:$C$65,MATCH($A51,Data_Sales!$A$5:$A$65,0))*INDEX(Survival!$C$55:$T$100,(H$4-$A51)+1,MATCH(H$4,Survival!$C$3:$T$3,0))))</f>
        <v/>
      </c>
      <c r="I51" s="27">
        <f>IF(I$4&lt;$A51,"",IF((I$4-$A51)&gt;45,0,INDEX(Data_Sales!$B$5:$B$65,MATCH($A51,Data_Sales!$A$5:$A$65,0))*INDEX(Survival!$C$6:$T$51,(I$4-$A51)+1,MATCH(I$4,Survival!$C$3:$T$3,0))+INDEX(Data_Sales!$C$5:$C$65,MATCH($A51,Data_Sales!$A$5:$A$65,0))*INDEX(Survival!$C$55:$T$100,(I$4-$A51)+1,MATCH(I$4,Survival!$C$3:$T$3,0))))</f>
        <v/>
      </c>
      <c r="J51" s="27">
        <f>IF(J$4&lt;$A51,"",IF((J$4-$A51)&gt;45,0,INDEX(Data_Sales!$B$5:$B$65,MATCH($A51,Data_Sales!$A$5:$A$65,0))*INDEX(Survival!$C$6:$T$51,(J$4-$A51)+1,MATCH(J$4,Survival!$C$3:$T$3,0))+INDEX(Data_Sales!$C$5:$C$65,MATCH($A51,Data_Sales!$A$5:$A$65,0))*INDEX(Survival!$C$55:$T$100,(J$4-$A51)+1,MATCH(J$4,Survival!$C$3:$T$3,0))))</f>
        <v/>
      </c>
      <c r="K51" s="27">
        <f>IF(K$4&lt;$A51,"",IF((K$4-$A51)&gt;45,0,INDEX(Data_Sales!$B$5:$B$65,MATCH($A51,Data_Sales!$A$5:$A$65,0))*INDEX(Survival!$C$6:$T$51,(K$4-$A51)+1,MATCH(K$4,Survival!$C$3:$T$3,0))+INDEX(Data_Sales!$C$5:$C$65,MATCH($A51,Data_Sales!$A$5:$A$65,0))*INDEX(Survival!$C$55:$T$100,(K$4-$A51)+1,MATCH(K$4,Survival!$C$3:$T$3,0))))</f>
        <v/>
      </c>
      <c r="L51" s="27">
        <f>IF(L$4&lt;$A51,"",IF((L$4-$A51)&gt;45,0,INDEX(Data_Sales!$B$5:$B$65,MATCH($A51,Data_Sales!$A$5:$A$65,0))*INDEX(Survival!$C$6:$T$51,(L$4-$A51)+1,MATCH(L$4,Survival!$C$3:$T$3,0))+INDEX(Data_Sales!$C$5:$C$65,MATCH($A51,Data_Sales!$A$5:$A$65,0))*INDEX(Survival!$C$55:$T$100,(L$4-$A51)+1,MATCH(L$4,Survival!$C$3:$T$3,0))))</f>
        <v/>
      </c>
      <c r="M51" s="27">
        <f>IF(M$4&lt;$A51,"",IF((M$4-$A51)&gt;45,0,INDEX(Data_Sales!$B$5:$B$65,MATCH($A51,Data_Sales!$A$5:$A$65,0))*INDEX(Survival!$C$6:$T$51,(M$4-$A51)+1,MATCH(M$4,Survival!$C$3:$T$3,0))+INDEX(Data_Sales!$C$5:$C$65,MATCH($A51,Data_Sales!$A$5:$A$65,0))*INDEX(Survival!$C$55:$T$100,(M$4-$A51)+1,MATCH(M$4,Survival!$C$3:$T$3,0))))</f>
        <v/>
      </c>
      <c r="N51" s="27">
        <f>IF(N$4&lt;$A51,"",IF((N$4-$A51)&gt;45,0,INDEX(Data_Sales!$B$5:$B$65,MATCH($A51,Data_Sales!$A$5:$A$65,0))*INDEX(Survival!$C$6:$T$51,(N$4-$A51)+1,MATCH(N$4,Survival!$C$3:$T$3,0))+INDEX(Data_Sales!$C$5:$C$65,MATCH($A51,Data_Sales!$A$5:$A$65,0))*INDEX(Survival!$C$55:$T$100,(N$4-$A51)+1,MATCH(N$4,Survival!$C$3:$T$3,0))))</f>
        <v/>
      </c>
      <c r="O51" s="27">
        <f>IF(O$4&lt;$A51,"",IF((O$4-$A51)&gt;45,0,INDEX(Data_Sales!$B$5:$B$65,MATCH($A51,Data_Sales!$A$5:$A$65,0))*INDEX(Survival!$C$6:$T$51,(O$4-$A51)+1,MATCH(O$4,Survival!$C$3:$T$3,0))+INDEX(Data_Sales!$C$5:$C$65,MATCH($A51,Data_Sales!$A$5:$A$65,0))*INDEX(Survival!$C$55:$T$100,(O$4-$A51)+1,MATCH(O$4,Survival!$C$3:$T$3,0))))</f>
        <v/>
      </c>
      <c r="P51" s="27">
        <f>IF(P$4&lt;$A51,"",IF((P$4-$A51)&gt;45,0,INDEX(Data_Sales!$B$5:$B$65,MATCH($A51,Data_Sales!$A$5:$A$65,0))*INDEX(Survival!$C$6:$T$51,(P$4-$A51)+1,MATCH(P$4,Survival!$C$3:$T$3,0))+INDEX(Data_Sales!$C$5:$C$65,MATCH($A51,Data_Sales!$A$5:$A$65,0))*INDEX(Survival!$C$55:$T$100,(P$4-$A51)+1,MATCH(P$4,Survival!$C$3:$T$3,0))))</f>
        <v/>
      </c>
      <c r="Q51" s="27">
        <f>IF(Q$4&lt;$A51,"",IF((Q$4-$A51)&gt;45,0,INDEX(Data_Sales!$B$5:$B$65,MATCH($A51,Data_Sales!$A$5:$A$65,0))*INDEX(Survival!$C$6:$T$51,(Q$4-$A51)+1,MATCH(Q$4,Survival!$C$3:$T$3,0))+INDEX(Data_Sales!$C$5:$C$65,MATCH($A51,Data_Sales!$A$5:$A$65,0))*INDEX(Survival!$C$55:$T$100,(Q$4-$A51)+1,MATCH(Q$4,Survival!$C$3:$T$3,0))))</f>
        <v/>
      </c>
      <c r="R51" s="27">
        <f>IF(R$4&lt;$A51,"",IF((R$4-$A51)&gt;45,0,INDEX(Data_Sales!$B$5:$B$65,MATCH($A51,Data_Sales!$A$5:$A$65,0))*INDEX(Survival!$C$6:$T$51,(R$4-$A51)+1,MATCH(R$4,Survival!$C$3:$T$3,0))+INDEX(Data_Sales!$C$5:$C$65,MATCH($A51,Data_Sales!$A$5:$A$65,0))*INDEX(Survival!$C$55:$T$100,(R$4-$A51)+1,MATCH(R$4,Survival!$C$3:$T$3,0))))</f>
        <v/>
      </c>
      <c r="S51" s="27">
        <f>IF(S$4&lt;$A51,"",IF((S$4-$A51)&gt;45,0,INDEX(Data_Sales!$B$5:$B$65,MATCH($A51,Data_Sales!$A$5:$A$65,0))*INDEX(Survival!$C$6:$T$51,(S$4-$A51)+1,MATCH(S$4,Survival!$C$3:$T$3,0))+INDEX(Data_Sales!$C$5:$C$65,MATCH($A51,Data_Sales!$A$5:$A$65,0))*INDEX(Survival!$C$55:$T$100,(S$4-$A51)+1,MATCH(S$4,Survival!$C$3:$T$3,0))))</f>
        <v/>
      </c>
      <c r="T51" s="27">
        <f>IF(T$4&lt;$A51,"",IF((T$4-$A51)&gt;45,0,INDEX(Data_Sales!$B$5:$B$65,MATCH($A51,Data_Sales!$A$5:$A$65,0))*INDEX(Survival!$C$6:$T$51,(T$4-$A51)+1,MATCH(T$4,Survival!$C$3:$T$3,0))+INDEX(Data_Sales!$C$5:$C$65,MATCH($A51,Data_Sales!$A$5:$A$65,0))*INDEX(Survival!$C$55:$T$100,(T$4-$A51)+1,MATCH(T$4,Survival!$C$3:$T$3,0))))</f>
        <v/>
      </c>
    </row>
    <row r="52">
      <c r="A52" s="9" t="n">
        <v>2016</v>
      </c>
      <c r="C52" s="27">
        <f>IF(C$4&lt;$A52,"",IF((C$4-$A52)&gt;45,0,INDEX(Data_Sales!$B$5:$B$65,MATCH($A52,Data_Sales!$A$5:$A$65,0))*INDEX(Survival!$C$6:$T$51,(C$4-$A52)+1,MATCH(C$4,Survival!$C$3:$T$3,0))+INDEX(Data_Sales!$C$5:$C$65,MATCH($A52,Data_Sales!$A$5:$A$65,0))*INDEX(Survival!$C$55:$T$100,(C$4-$A52)+1,MATCH(C$4,Survival!$C$3:$T$3,0))))</f>
        <v/>
      </c>
      <c r="D52" s="27">
        <f>IF(D$4&lt;$A52,"",IF((D$4-$A52)&gt;45,0,INDEX(Data_Sales!$B$5:$B$65,MATCH($A52,Data_Sales!$A$5:$A$65,0))*INDEX(Survival!$C$6:$T$51,(D$4-$A52)+1,MATCH(D$4,Survival!$C$3:$T$3,0))+INDEX(Data_Sales!$C$5:$C$65,MATCH($A52,Data_Sales!$A$5:$A$65,0))*INDEX(Survival!$C$55:$T$100,(D$4-$A52)+1,MATCH(D$4,Survival!$C$3:$T$3,0))))</f>
        <v/>
      </c>
      <c r="E52" s="27">
        <f>IF(E$4&lt;$A52,"",IF((E$4-$A52)&gt;45,0,INDEX(Data_Sales!$B$5:$B$65,MATCH($A52,Data_Sales!$A$5:$A$65,0))*INDEX(Survival!$C$6:$T$51,(E$4-$A52)+1,MATCH(E$4,Survival!$C$3:$T$3,0))+INDEX(Data_Sales!$C$5:$C$65,MATCH($A52,Data_Sales!$A$5:$A$65,0))*INDEX(Survival!$C$55:$T$100,(E$4-$A52)+1,MATCH(E$4,Survival!$C$3:$T$3,0))))</f>
        <v/>
      </c>
      <c r="F52" s="27">
        <f>IF(F$4&lt;$A52,"",IF((F$4-$A52)&gt;45,0,INDEX(Data_Sales!$B$5:$B$65,MATCH($A52,Data_Sales!$A$5:$A$65,0))*INDEX(Survival!$C$6:$T$51,(F$4-$A52)+1,MATCH(F$4,Survival!$C$3:$T$3,0))+INDEX(Data_Sales!$C$5:$C$65,MATCH($A52,Data_Sales!$A$5:$A$65,0))*INDEX(Survival!$C$55:$T$100,(F$4-$A52)+1,MATCH(F$4,Survival!$C$3:$T$3,0))))</f>
        <v/>
      </c>
      <c r="G52" s="27">
        <f>IF(G$4&lt;$A52,"",IF((G$4-$A52)&gt;45,0,INDEX(Data_Sales!$B$5:$B$65,MATCH($A52,Data_Sales!$A$5:$A$65,0))*INDEX(Survival!$C$6:$T$51,(G$4-$A52)+1,MATCH(G$4,Survival!$C$3:$T$3,0))+INDEX(Data_Sales!$C$5:$C$65,MATCH($A52,Data_Sales!$A$5:$A$65,0))*INDEX(Survival!$C$55:$T$100,(G$4-$A52)+1,MATCH(G$4,Survival!$C$3:$T$3,0))))</f>
        <v/>
      </c>
      <c r="H52" s="27">
        <f>IF(H$4&lt;$A52,"",IF((H$4-$A52)&gt;45,0,INDEX(Data_Sales!$B$5:$B$65,MATCH($A52,Data_Sales!$A$5:$A$65,0))*INDEX(Survival!$C$6:$T$51,(H$4-$A52)+1,MATCH(H$4,Survival!$C$3:$T$3,0))+INDEX(Data_Sales!$C$5:$C$65,MATCH($A52,Data_Sales!$A$5:$A$65,0))*INDEX(Survival!$C$55:$T$100,(H$4-$A52)+1,MATCH(H$4,Survival!$C$3:$T$3,0))))</f>
        <v/>
      </c>
      <c r="I52" s="27">
        <f>IF(I$4&lt;$A52,"",IF((I$4-$A52)&gt;45,0,INDEX(Data_Sales!$B$5:$B$65,MATCH($A52,Data_Sales!$A$5:$A$65,0))*INDEX(Survival!$C$6:$T$51,(I$4-$A52)+1,MATCH(I$4,Survival!$C$3:$T$3,0))+INDEX(Data_Sales!$C$5:$C$65,MATCH($A52,Data_Sales!$A$5:$A$65,0))*INDEX(Survival!$C$55:$T$100,(I$4-$A52)+1,MATCH(I$4,Survival!$C$3:$T$3,0))))</f>
        <v/>
      </c>
      <c r="J52" s="27">
        <f>IF(J$4&lt;$A52,"",IF((J$4-$A52)&gt;45,0,INDEX(Data_Sales!$B$5:$B$65,MATCH($A52,Data_Sales!$A$5:$A$65,0))*INDEX(Survival!$C$6:$T$51,(J$4-$A52)+1,MATCH(J$4,Survival!$C$3:$T$3,0))+INDEX(Data_Sales!$C$5:$C$65,MATCH($A52,Data_Sales!$A$5:$A$65,0))*INDEX(Survival!$C$55:$T$100,(J$4-$A52)+1,MATCH(J$4,Survival!$C$3:$T$3,0))))</f>
        <v/>
      </c>
      <c r="K52" s="27">
        <f>IF(K$4&lt;$A52,"",IF((K$4-$A52)&gt;45,0,INDEX(Data_Sales!$B$5:$B$65,MATCH($A52,Data_Sales!$A$5:$A$65,0))*INDEX(Survival!$C$6:$T$51,(K$4-$A52)+1,MATCH(K$4,Survival!$C$3:$T$3,0))+INDEX(Data_Sales!$C$5:$C$65,MATCH($A52,Data_Sales!$A$5:$A$65,0))*INDEX(Survival!$C$55:$T$100,(K$4-$A52)+1,MATCH(K$4,Survival!$C$3:$T$3,0))))</f>
        <v/>
      </c>
      <c r="L52" s="27">
        <f>IF(L$4&lt;$A52,"",IF((L$4-$A52)&gt;45,0,INDEX(Data_Sales!$B$5:$B$65,MATCH($A52,Data_Sales!$A$5:$A$65,0))*INDEX(Survival!$C$6:$T$51,(L$4-$A52)+1,MATCH(L$4,Survival!$C$3:$T$3,0))+INDEX(Data_Sales!$C$5:$C$65,MATCH($A52,Data_Sales!$A$5:$A$65,0))*INDEX(Survival!$C$55:$T$100,(L$4-$A52)+1,MATCH(L$4,Survival!$C$3:$T$3,0))))</f>
        <v/>
      </c>
      <c r="M52" s="27">
        <f>IF(M$4&lt;$A52,"",IF((M$4-$A52)&gt;45,0,INDEX(Data_Sales!$B$5:$B$65,MATCH($A52,Data_Sales!$A$5:$A$65,0))*INDEX(Survival!$C$6:$T$51,(M$4-$A52)+1,MATCH(M$4,Survival!$C$3:$T$3,0))+INDEX(Data_Sales!$C$5:$C$65,MATCH($A52,Data_Sales!$A$5:$A$65,0))*INDEX(Survival!$C$55:$T$100,(M$4-$A52)+1,MATCH(M$4,Survival!$C$3:$T$3,0))))</f>
        <v/>
      </c>
      <c r="N52" s="27">
        <f>IF(N$4&lt;$A52,"",IF((N$4-$A52)&gt;45,0,INDEX(Data_Sales!$B$5:$B$65,MATCH($A52,Data_Sales!$A$5:$A$65,0))*INDEX(Survival!$C$6:$T$51,(N$4-$A52)+1,MATCH(N$4,Survival!$C$3:$T$3,0))+INDEX(Data_Sales!$C$5:$C$65,MATCH($A52,Data_Sales!$A$5:$A$65,0))*INDEX(Survival!$C$55:$T$100,(N$4-$A52)+1,MATCH(N$4,Survival!$C$3:$T$3,0))))</f>
        <v/>
      </c>
      <c r="O52" s="27">
        <f>IF(O$4&lt;$A52,"",IF((O$4-$A52)&gt;45,0,INDEX(Data_Sales!$B$5:$B$65,MATCH($A52,Data_Sales!$A$5:$A$65,0))*INDEX(Survival!$C$6:$T$51,(O$4-$A52)+1,MATCH(O$4,Survival!$C$3:$T$3,0))+INDEX(Data_Sales!$C$5:$C$65,MATCH($A52,Data_Sales!$A$5:$A$65,0))*INDEX(Survival!$C$55:$T$100,(O$4-$A52)+1,MATCH(O$4,Survival!$C$3:$T$3,0))))</f>
        <v/>
      </c>
      <c r="P52" s="27">
        <f>IF(P$4&lt;$A52,"",IF((P$4-$A52)&gt;45,0,INDEX(Data_Sales!$B$5:$B$65,MATCH($A52,Data_Sales!$A$5:$A$65,0))*INDEX(Survival!$C$6:$T$51,(P$4-$A52)+1,MATCH(P$4,Survival!$C$3:$T$3,0))+INDEX(Data_Sales!$C$5:$C$65,MATCH($A52,Data_Sales!$A$5:$A$65,0))*INDEX(Survival!$C$55:$T$100,(P$4-$A52)+1,MATCH(P$4,Survival!$C$3:$T$3,0))))</f>
        <v/>
      </c>
      <c r="Q52" s="27">
        <f>IF(Q$4&lt;$A52,"",IF((Q$4-$A52)&gt;45,0,INDEX(Data_Sales!$B$5:$B$65,MATCH($A52,Data_Sales!$A$5:$A$65,0))*INDEX(Survival!$C$6:$T$51,(Q$4-$A52)+1,MATCH(Q$4,Survival!$C$3:$T$3,0))+INDEX(Data_Sales!$C$5:$C$65,MATCH($A52,Data_Sales!$A$5:$A$65,0))*INDEX(Survival!$C$55:$T$100,(Q$4-$A52)+1,MATCH(Q$4,Survival!$C$3:$T$3,0))))</f>
        <v/>
      </c>
      <c r="R52" s="27">
        <f>IF(R$4&lt;$A52,"",IF((R$4-$A52)&gt;45,0,INDEX(Data_Sales!$B$5:$B$65,MATCH($A52,Data_Sales!$A$5:$A$65,0))*INDEX(Survival!$C$6:$T$51,(R$4-$A52)+1,MATCH(R$4,Survival!$C$3:$T$3,0))+INDEX(Data_Sales!$C$5:$C$65,MATCH($A52,Data_Sales!$A$5:$A$65,0))*INDEX(Survival!$C$55:$T$100,(R$4-$A52)+1,MATCH(R$4,Survival!$C$3:$T$3,0))))</f>
        <v/>
      </c>
      <c r="S52" s="27">
        <f>IF(S$4&lt;$A52,"",IF((S$4-$A52)&gt;45,0,INDEX(Data_Sales!$B$5:$B$65,MATCH($A52,Data_Sales!$A$5:$A$65,0))*INDEX(Survival!$C$6:$T$51,(S$4-$A52)+1,MATCH(S$4,Survival!$C$3:$T$3,0))+INDEX(Data_Sales!$C$5:$C$65,MATCH($A52,Data_Sales!$A$5:$A$65,0))*INDEX(Survival!$C$55:$T$100,(S$4-$A52)+1,MATCH(S$4,Survival!$C$3:$T$3,0))))</f>
        <v/>
      </c>
      <c r="T52" s="27">
        <f>IF(T$4&lt;$A52,"",IF((T$4-$A52)&gt;45,0,INDEX(Data_Sales!$B$5:$B$65,MATCH($A52,Data_Sales!$A$5:$A$65,0))*INDEX(Survival!$C$6:$T$51,(T$4-$A52)+1,MATCH(T$4,Survival!$C$3:$T$3,0))+INDEX(Data_Sales!$C$5:$C$65,MATCH($A52,Data_Sales!$A$5:$A$65,0))*INDEX(Survival!$C$55:$T$100,(T$4-$A52)+1,MATCH(T$4,Survival!$C$3:$T$3,0))))</f>
        <v/>
      </c>
    </row>
    <row r="53">
      <c r="A53" s="9" t="n">
        <v>2017</v>
      </c>
      <c r="C53" s="27">
        <f>IF(C$4&lt;$A53,"",IF((C$4-$A53)&gt;45,0,INDEX(Data_Sales!$B$5:$B$65,MATCH($A53,Data_Sales!$A$5:$A$65,0))*INDEX(Survival!$C$6:$T$51,(C$4-$A53)+1,MATCH(C$4,Survival!$C$3:$T$3,0))+INDEX(Data_Sales!$C$5:$C$65,MATCH($A53,Data_Sales!$A$5:$A$65,0))*INDEX(Survival!$C$55:$T$100,(C$4-$A53)+1,MATCH(C$4,Survival!$C$3:$T$3,0))))</f>
        <v/>
      </c>
      <c r="D53" s="27">
        <f>IF(D$4&lt;$A53,"",IF((D$4-$A53)&gt;45,0,INDEX(Data_Sales!$B$5:$B$65,MATCH($A53,Data_Sales!$A$5:$A$65,0))*INDEX(Survival!$C$6:$T$51,(D$4-$A53)+1,MATCH(D$4,Survival!$C$3:$T$3,0))+INDEX(Data_Sales!$C$5:$C$65,MATCH($A53,Data_Sales!$A$5:$A$65,0))*INDEX(Survival!$C$55:$T$100,(D$4-$A53)+1,MATCH(D$4,Survival!$C$3:$T$3,0))))</f>
        <v/>
      </c>
      <c r="E53" s="27">
        <f>IF(E$4&lt;$A53,"",IF((E$4-$A53)&gt;45,0,INDEX(Data_Sales!$B$5:$B$65,MATCH($A53,Data_Sales!$A$5:$A$65,0))*INDEX(Survival!$C$6:$T$51,(E$4-$A53)+1,MATCH(E$4,Survival!$C$3:$T$3,0))+INDEX(Data_Sales!$C$5:$C$65,MATCH($A53,Data_Sales!$A$5:$A$65,0))*INDEX(Survival!$C$55:$T$100,(E$4-$A53)+1,MATCH(E$4,Survival!$C$3:$T$3,0))))</f>
        <v/>
      </c>
      <c r="F53" s="27">
        <f>IF(F$4&lt;$A53,"",IF((F$4-$A53)&gt;45,0,INDEX(Data_Sales!$B$5:$B$65,MATCH($A53,Data_Sales!$A$5:$A$65,0))*INDEX(Survival!$C$6:$T$51,(F$4-$A53)+1,MATCH(F$4,Survival!$C$3:$T$3,0))+INDEX(Data_Sales!$C$5:$C$65,MATCH($A53,Data_Sales!$A$5:$A$65,0))*INDEX(Survival!$C$55:$T$100,(F$4-$A53)+1,MATCH(F$4,Survival!$C$3:$T$3,0))))</f>
        <v/>
      </c>
      <c r="G53" s="27">
        <f>IF(G$4&lt;$A53,"",IF((G$4-$A53)&gt;45,0,INDEX(Data_Sales!$B$5:$B$65,MATCH($A53,Data_Sales!$A$5:$A$65,0))*INDEX(Survival!$C$6:$T$51,(G$4-$A53)+1,MATCH(G$4,Survival!$C$3:$T$3,0))+INDEX(Data_Sales!$C$5:$C$65,MATCH($A53,Data_Sales!$A$5:$A$65,0))*INDEX(Survival!$C$55:$T$100,(G$4-$A53)+1,MATCH(G$4,Survival!$C$3:$T$3,0))))</f>
        <v/>
      </c>
      <c r="H53" s="27">
        <f>IF(H$4&lt;$A53,"",IF((H$4-$A53)&gt;45,0,INDEX(Data_Sales!$B$5:$B$65,MATCH($A53,Data_Sales!$A$5:$A$65,0))*INDEX(Survival!$C$6:$T$51,(H$4-$A53)+1,MATCH(H$4,Survival!$C$3:$T$3,0))+INDEX(Data_Sales!$C$5:$C$65,MATCH($A53,Data_Sales!$A$5:$A$65,0))*INDEX(Survival!$C$55:$T$100,(H$4-$A53)+1,MATCH(H$4,Survival!$C$3:$T$3,0))))</f>
        <v/>
      </c>
      <c r="I53" s="27">
        <f>IF(I$4&lt;$A53,"",IF((I$4-$A53)&gt;45,0,INDEX(Data_Sales!$B$5:$B$65,MATCH($A53,Data_Sales!$A$5:$A$65,0))*INDEX(Survival!$C$6:$T$51,(I$4-$A53)+1,MATCH(I$4,Survival!$C$3:$T$3,0))+INDEX(Data_Sales!$C$5:$C$65,MATCH($A53,Data_Sales!$A$5:$A$65,0))*INDEX(Survival!$C$55:$T$100,(I$4-$A53)+1,MATCH(I$4,Survival!$C$3:$T$3,0))))</f>
        <v/>
      </c>
      <c r="J53" s="27">
        <f>IF(J$4&lt;$A53,"",IF((J$4-$A53)&gt;45,0,INDEX(Data_Sales!$B$5:$B$65,MATCH($A53,Data_Sales!$A$5:$A$65,0))*INDEX(Survival!$C$6:$T$51,(J$4-$A53)+1,MATCH(J$4,Survival!$C$3:$T$3,0))+INDEX(Data_Sales!$C$5:$C$65,MATCH($A53,Data_Sales!$A$5:$A$65,0))*INDEX(Survival!$C$55:$T$100,(J$4-$A53)+1,MATCH(J$4,Survival!$C$3:$T$3,0))))</f>
        <v/>
      </c>
      <c r="K53" s="27">
        <f>IF(K$4&lt;$A53,"",IF((K$4-$A53)&gt;45,0,INDEX(Data_Sales!$B$5:$B$65,MATCH($A53,Data_Sales!$A$5:$A$65,0))*INDEX(Survival!$C$6:$T$51,(K$4-$A53)+1,MATCH(K$4,Survival!$C$3:$T$3,0))+INDEX(Data_Sales!$C$5:$C$65,MATCH($A53,Data_Sales!$A$5:$A$65,0))*INDEX(Survival!$C$55:$T$100,(K$4-$A53)+1,MATCH(K$4,Survival!$C$3:$T$3,0))))</f>
        <v/>
      </c>
      <c r="L53" s="27">
        <f>IF(L$4&lt;$A53,"",IF((L$4-$A53)&gt;45,0,INDEX(Data_Sales!$B$5:$B$65,MATCH($A53,Data_Sales!$A$5:$A$65,0))*INDEX(Survival!$C$6:$T$51,(L$4-$A53)+1,MATCH(L$4,Survival!$C$3:$T$3,0))+INDEX(Data_Sales!$C$5:$C$65,MATCH($A53,Data_Sales!$A$5:$A$65,0))*INDEX(Survival!$C$55:$T$100,(L$4-$A53)+1,MATCH(L$4,Survival!$C$3:$T$3,0))))</f>
        <v/>
      </c>
      <c r="M53" s="27">
        <f>IF(M$4&lt;$A53,"",IF((M$4-$A53)&gt;45,0,INDEX(Data_Sales!$B$5:$B$65,MATCH($A53,Data_Sales!$A$5:$A$65,0))*INDEX(Survival!$C$6:$T$51,(M$4-$A53)+1,MATCH(M$4,Survival!$C$3:$T$3,0))+INDEX(Data_Sales!$C$5:$C$65,MATCH($A53,Data_Sales!$A$5:$A$65,0))*INDEX(Survival!$C$55:$T$100,(M$4-$A53)+1,MATCH(M$4,Survival!$C$3:$T$3,0))))</f>
        <v/>
      </c>
      <c r="N53" s="27">
        <f>IF(N$4&lt;$A53,"",IF((N$4-$A53)&gt;45,0,INDEX(Data_Sales!$B$5:$B$65,MATCH($A53,Data_Sales!$A$5:$A$65,0))*INDEX(Survival!$C$6:$T$51,(N$4-$A53)+1,MATCH(N$4,Survival!$C$3:$T$3,0))+INDEX(Data_Sales!$C$5:$C$65,MATCH($A53,Data_Sales!$A$5:$A$65,0))*INDEX(Survival!$C$55:$T$100,(N$4-$A53)+1,MATCH(N$4,Survival!$C$3:$T$3,0))))</f>
        <v/>
      </c>
      <c r="O53" s="27">
        <f>IF(O$4&lt;$A53,"",IF((O$4-$A53)&gt;45,0,INDEX(Data_Sales!$B$5:$B$65,MATCH($A53,Data_Sales!$A$5:$A$65,0))*INDEX(Survival!$C$6:$T$51,(O$4-$A53)+1,MATCH(O$4,Survival!$C$3:$T$3,0))+INDEX(Data_Sales!$C$5:$C$65,MATCH($A53,Data_Sales!$A$5:$A$65,0))*INDEX(Survival!$C$55:$T$100,(O$4-$A53)+1,MATCH(O$4,Survival!$C$3:$T$3,0))))</f>
        <v/>
      </c>
      <c r="P53" s="27">
        <f>IF(P$4&lt;$A53,"",IF((P$4-$A53)&gt;45,0,INDEX(Data_Sales!$B$5:$B$65,MATCH($A53,Data_Sales!$A$5:$A$65,0))*INDEX(Survival!$C$6:$T$51,(P$4-$A53)+1,MATCH(P$4,Survival!$C$3:$T$3,0))+INDEX(Data_Sales!$C$5:$C$65,MATCH($A53,Data_Sales!$A$5:$A$65,0))*INDEX(Survival!$C$55:$T$100,(P$4-$A53)+1,MATCH(P$4,Survival!$C$3:$T$3,0))))</f>
        <v/>
      </c>
      <c r="Q53" s="27">
        <f>IF(Q$4&lt;$A53,"",IF((Q$4-$A53)&gt;45,0,INDEX(Data_Sales!$B$5:$B$65,MATCH($A53,Data_Sales!$A$5:$A$65,0))*INDEX(Survival!$C$6:$T$51,(Q$4-$A53)+1,MATCH(Q$4,Survival!$C$3:$T$3,0))+INDEX(Data_Sales!$C$5:$C$65,MATCH($A53,Data_Sales!$A$5:$A$65,0))*INDEX(Survival!$C$55:$T$100,(Q$4-$A53)+1,MATCH(Q$4,Survival!$C$3:$T$3,0))))</f>
        <v/>
      </c>
      <c r="R53" s="27">
        <f>IF(R$4&lt;$A53,"",IF((R$4-$A53)&gt;45,0,INDEX(Data_Sales!$B$5:$B$65,MATCH($A53,Data_Sales!$A$5:$A$65,0))*INDEX(Survival!$C$6:$T$51,(R$4-$A53)+1,MATCH(R$4,Survival!$C$3:$T$3,0))+INDEX(Data_Sales!$C$5:$C$65,MATCH($A53,Data_Sales!$A$5:$A$65,0))*INDEX(Survival!$C$55:$T$100,(R$4-$A53)+1,MATCH(R$4,Survival!$C$3:$T$3,0))))</f>
        <v/>
      </c>
      <c r="S53" s="27">
        <f>IF(S$4&lt;$A53,"",IF((S$4-$A53)&gt;45,0,INDEX(Data_Sales!$B$5:$B$65,MATCH($A53,Data_Sales!$A$5:$A$65,0))*INDEX(Survival!$C$6:$T$51,(S$4-$A53)+1,MATCH(S$4,Survival!$C$3:$T$3,0))+INDEX(Data_Sales!$C$5:$C$65,MATCH($A53,Data_Sales!$A$5:$A$65,0))*INDEX(Survival!$C$55:$T$100,(S$4-$A53)+1,MATCH(S$4,Survival!$C$3:$T$3,0))))</f>
        <v/>
      </c>
      <c r="T53" s="27">
        <f>IF(T$4&lt;$A53,"",IF((T$4-$A53)&gt;45,0,INDEX(Data_Sales!$B$5:$B$65,MATCH($A53,Data_Sales!$A$5:$A$65,0))*INDEX(Survival!$C$6:$T$51,(T$4-$A53)+1,MATCH(T$4,Survival!$C$3:$T$3,0))+INDEX(Data_Sales!$C$5:$C$65,MATCH($A53,Data_Sales!$A$5:$A$65,0))*INDEX(Survival!$C$55:$T$100,(T$4-$A53)+1,MATCH(T$4,Survival!$C$3:$T$3,0))))</f>
        <v/>
      </c>
    </row>
    <row r="54">
      <c r="A54" s="9" t="n">
        <v>2018</v>
      </c>
      <c r="C54" s="27">
        <f>IF(C$4&lt;$A54,"",IF((C$4-$A54)&gt;45,0,INDEX(Data_Sales!$B$5:$B$65,MATCH($A54,Data_Sales!$A$5:$A$65,0))*INDEX(Survival!$C$6:$T$51,(C$4-$A54)+1,MATCH(C$4,Survival!$C$3:$T$3,0))+INDEX(Data_Sales!$C$5:$C$65,MATCH($A54,Data_Sales!$A$5:$A$65,0))*INDEX(Survival!$C$55:$T$100,(C$4-$A54)+1,MATCH(C$4,Survival!$C$3:$T$3,0))))</f>
        <v/>
      </c>
      <c r="D54" s="27">
        <f>IF(D$4&lt;$A54,"",IF((D$4-$A54)&gt;45,0,INDEX(Data_Sales!$B$5:$B$65,MATCH($A54,Data_Sales!$A$5:$A$65,0))*INDEX(Survival!$C$6:$T$51,(D$4-$A54)+1,MATCH(D$4,Survival!$C$3:$T$3,0))+INDEX(Data_Sales!$C$5:$C$65,MATCH($A54,Data_Sales!$A$5:$A$65,0))*INDEX(Survival!$C$55:$T$100,(D$4-$A54)+1,MATCH(D$4,Survival!$C$3:$T$3,0))))</f>
        <v/>
      </c>
      <c r="E54" s="27">
        <f>IF(E$4&lt;$A54,"",IF((E$4-$A54)&gt;45,0,INDEX(Data_Sales!$B$5:$B$65,MATCH($A54,Data_Sales!$A$5:$A$65,0))*INDEX(Survival!$C$6:$T$51,(E$4-$A54)+1,MATCH(E$4,Survival!$C$3:$T$3,0))+INDEX(Data_Sales!$C$5:$C$65,MATCH($A54,Data_Sales!$A$5:$A$65,0))*INDEX(Survival!$C$55:$T$100,(E$4-$A54)+1,MATCH(E$4,Survival!$C$3:$T$3,0))))</f>
        <v/>
      </c>
      <c r="F54" s="27">
        <f>IF(F$4&lt;$A54,"",IF((F$4-$A54)&gt;45,0,INDEX(Data_Sales!$B$5:$B$65,MATCH($A54,Data_Sales!$A$5:$A$65,0))*INDEX(Survival!$C$6:$T$51,(F$4-$A54)+1,MATCH(F$4,Survival!$C$3:$T$3,0))+INDEX(Data_Sales!$C$5:$C$65,MATCH($A54,Data_Sales!$A$5:$A$65,0))*INDEX(Survival!$C$55:$T$100,(F$4-$A54)+1,MATCH(F$4,Survival!$C$3:$T$3,0))))</f>
        <v/>
      </c>
      <c r="G54" s="27">
        <f>IF(G$4&lt;$A54,"",IF((G$4-$A54)&gt;45,0,INDEX(Data_Sales!$B$5:$B$65,MATCH($A54,Data_Sales!$A$5:$A$65,0))*INDEX(Survival!$C$6:$T$51,(G$4-$A54)+1,MATCH(G$4,Survival!$C$3:$T$3,0))+INDEX(Data_Sales!$C$5:$C$65,MATCH($A54,Data_Sales!$A$5:$A$65,0))*INDEX(Survival!$C$55:$T$100,(G$4-$A54)+1,MATCH(G$4,Survival!$C$3:$T$3,0))))</f>
        <v/>
      </c>
      <c r="H54" s="27">
        <f>IF(H$4&lt;$A54,"",IF((H$4-$A54)&gt;45,0,INDEX(Data_Sales!$B$5:$B$65,MATCH($A54,Data_Sales!$A$5:$A$65,0))*INDEX(Survival!$C$6:$T$51,(H$4-$A54)+1,MATCH(H$4,Survival!$C$3:$T$3,0))+INDEX(Data_Sales!$C$5:$C$65,MATCH($A54,Data_Sales!$A$5:$A$65,0))*INDEX(Survival!$C$55:$T$100,(H$4-$A54)+1,MATCH(H$4,Survival!$C$3:$T$3,0))))</f>
        <v/>
      </c>
      <c r="I54" s="27">
        <f>IF(I$4&lt;$A54,"",IF((I$4-$A54)&gt;45,0,INDEX(Data_Sales!$B$5:$B$65,MATCH($A54,Data_Sales!$A$5:$A$65,0))*INDEX(Survival!$C$6:$T$51,(I$4-$A54)+1,MATCH(I$4,Survival!$C$3:$T$3,0))+INDEX(Data_Sales!$C$5:$C$65,MATCH($A54,Data_Sales!$A$5:$A$65,0))*INDEX(Survival!$C$55:$T$100,(I$4-$A54)+1,MATCH(I$4,Survival!$C$3:$T$3,0))))</f>
        <v/>
      </c>
      <c r="J54" s="27">
        <f>IF(J$4&lt;$A54,"",IF((J$4-$A54)&gt;45,0,INDEX(Data_Sales!$B$5:$B$65,MATCH($A54,Data_Sales!$A$5:$A$65,0))*INDEX(Survival!$C$6:$T$51,(J$4-$A54)+1,MATCH(J$4,Survival!$C$3:$T$3,0))+INDEX(Data_Sales!$C$5:$C$65,MATCH($A54,Data_Sales!$A$5:$A$65,0))*INDEX(Survival!$C$55:$T$100,(J$4-$A54)+1,MATCH(J$4,Survival!$C$3:$T$3,0))))</f>
        <v/>
      </c>
      <c r="K54" s="27">
        <f>IF(K$4&lt;$A54,"",IF((K$4-$A54)&gt;45,0,INDEX(Data_Sales!$B$5:$B$65,MATCH($A54,Data_Sales!$A$5:$A$65,0))*INDEX(Survival!$C$6:$T$51,(K$4-$A54)+1,MATCH(K$4,Survival!$C$3:$T$3,0))+INDEX(Data_Sales!$C$5:$C$65,MATCH($A54,Data_Sales!$A$5:$A$65,0))*INDEX(Survival!$C$55:$T$100,(K$4-$A54)+1,MATCH(K$4,Survival!$C$3:$T$3,0))))</f>
        <v/>
      </c>
      <c r="L54" s="27">
        <f>IF(L$4&lt;$A54,"",IF((L$4-$A54)&gt;45,0,INDEX(Data_Sales!$B$5:$B$65,MATCH($A54,Data_Sales!$A$5:$A$65,0))*INDEX(Survival!$C$6:$T$51,(L$4-$A54)+1,MATCH(L$4,Survival!$C$3:$T$3,0))+INDEX(Data_Sales!$C$5:$C$65,MATCH($A54,Data_Sales!$A$5:$A$65,0))*INDEX(Survival!$C$55:$T$100,(L$4-$A54)+1,MATCH(L$4,Survival!$C$3:$T$3,0))))</f>
        <v/>
      </c>
      <c r="M54" s="27">
        <f>IF(M$4&lt;$A54,"",IF((M$4-$A54)&gt;45,0,INDEX(Data_Sales!$B$5:$B$65,MATCH($A54,Data_Sales!$A$5:$A$65,0))*INDEX(Survival!$C$6:$T$51,(M$4-$A54)+1,MATCH(M$4,Survival!$C$3:$T$3,0))+INDEX(Data_Sales!$C$5:$C$65,MATCH($A54,Data_Sales!$A$5:$A$65,0))*INDEX(Survival!$C$55:$T$100,(M$4-$A54)+1,MATCH(M$4,Survival!$C$3:$T$3,0))))</f>
        <v/>
      </c>
      <c r="N54" s="27">
        <f>IF(N$4&lt;$A54,"",IF((N$4-$A54)&gt;45,0,INDEX(Data_Sales!$B$5:$B$65,MATCH($A54,Data_Sales!$A$5:$A$65,0))*INDEX(Survival!$C$6:$T$51,(N$4-$A54)+1,MATCH(N$4,Survival!$C$3:$T$3,0))+INDEX(Data_Sales!$C$5:$C$65,MATCH($A54,Data_Sales!$A$5:$A$65,0))*INDEX(Survival!$C$55:$T$100,(N$4-$A54)+1,MATCH(N$4,Survival!$C$3:$T$3,0))))</f>
        <v/>
      </c>
      <c r="O54" s="27">
        <f>IF(O$4&lt;$A54,"",IF((O$4-$A54)&gt;45,0,INDEX(Data_Sales!$B$5:$B$65,MATCH($A54,Data_Sales!$A$5:$A$65,0))*INDEX(Survival!$C$6:$T$51,(O$4-$A54)+1,MATCH(O$4,Survival!$C$3:$T$3,0))+INDEX(Data_Sales!$C$5:$C$65,MATCH($A54,Data_Sales!$A$5:$A$65,0))*INDEX(Survival!$C$55:$T$100,(O$4-$A54)+1,MATCH(O$4,Survival!$C$3:$T$3,0))))</f>
        <v/>
      </c>
      <c r="P54" s="27">
        <f>IF(P$4&lt;$A54,"",IF((P$4-$A54)&gt;45,0,INDEX(Data_Sales!$B$5:$B$65,MATCH($A54,Data_Sales!$A$5:$A$65,0))*INDEX(Survival!$C$6:$T$51,(P$4-$A54)+1,MATCH(P$4,Survival!$C$3:$T$3,0))+INDEX(Data_Sales!$C$5:$C$65,MATCH($A54,Data_Sales!$A$5:$A$65,0))*INDEX(Survival!$C$55:$T$100,(P$4-$A54)+1,MATCH(P$4,Survival!$C$3:$T$3,0))))</f>
        <v/>
      </c>
      <c r="Q54" s="27">
        <f>IF(Q$4&lt;$A54,"",IF((Q$4-$A54)&gt;45,0,INDEX(Data_Sales!$B$5:$B$65,MATCH($A54,Data_Sales!$A$5:$A$65,0))*INDEX(Survival!$C$6:$T$51,(Q$4-$A54)+1,MATCH(Q$4,Survival!$C$3:$T$3,0))+INDEX(Data_Sales!$C$5:$C$65,MATCH($A54,Data_Sales!$A$5:$A$65,0))*INDEX(Survival!$C$55:$T$100,(Q$4-$A54)+1,MATCH(Q$4,Survival!$C$3:$T$3,0))))</f>
        <v/>
      </c>
      <c r="R54" s="27">
        <f>IF(R$4&lt;$A54,"",IF((R$4-$A54)&gt;45,0,INDEX(Data_Sales!$B$5:$B$65,MATCH($A54,Data_Sales!$A$5:$A$65,0))*INDEX(Survival!$C$6:$T$51,(R$4-$A54)+1,MATCH(R$4,Survival!$C$3:$T$3,0))+INDEX(Data_Sales!$C$5:$C$65,MATCH($A54,Data_Sales!$A$5:$A$65,0))*INDEX(Survival!$C$55:$T$100,(R$4-$A54)+1,MATCH(R$4,Survival!$C$3:$T$3,0))))</f>
        <v/>
      </c>
      <c r="S54" s="27">
        <f>IF(S$4&lt;$A54,"",IF((S$4-$A54)&gt;45,0,INDEX(Data_Sales!$B$5:$B$65,MATCH($A54,Data_Sales!$A$5:$A$65,0))*INDEX(Survival!$C$6:$T$51,(S$4-$A54)+1,MATCH(S$4,Survival!$C$3:$T$3,0))+INDEX(Data_Sales!$C$5:$C$65,MATCH($A54,Data_Sales!$A$5:$A$65,0))*INDEX(Survival!$C$55:$T$100,(S$4-$A54)+1,MATCH(S$4,Survival!$C$3:$T$3,0))))</f>
        <v/>
      </c>
      <c r="T54" s="27">
        <f>IF(T$4&lt;$A54,"",IF((T$4-$A54)&gt;45,0,INDEX(Data_Sales!$B$5:$B$65,MATCH($A54,Data_Sales!$A$5:$A$65,0))*INDEX(Survival!$C$6:$T$51,(T$4-$A54)+1,MATCH(T$4,Survival!$C$3:$T$3,0))+INDEX(Data_Sales!$C$5:$C$65,MATCH($A54,Data_Sales!$A$5:$A$65,0))*INDEX(Survival!$C$55:$T$100,(T$4-$A54)+1,MATCH(T$4,Survival!$C$3:$T$3,0))))</f>
        <v/>
      </c>
    </row>
    <row r="55">
      <c r="A55" s="9" t="n">
        <v>2019</v>
      </c>
      <c r="C55" s="27">
        <f>IF(C$4&lt;$A55,"",IF((C$4-$A55)&gt;45,0,INDEX(Data_Sales!$B$5:$B$65,MATCH($A55,Data_Sales!$A$5:$A$65,0))*INDEX(Survival!$C$6:$T$51,(C$4-$A55)+1,MATCH(C$4,Survival!$C$3:$T$3,0))+INDEX(Data_Sales!$C$5:$C$65,MATCH($A55,Data_Sales!$A$5:$A$65,0))*INDEX(Survival!$C$55:$T$100,(C$4-$A55)+1,MATCH(C$4,Survival!$C$3:$T$3,0))))</f>
        <v/>
      </c>
      <c r="D55" s="27">
        <f>IF(D$4&lt;$A55,"",IF((D$4-$A55)&gt;45,0,INDEX(Data_Sales!$B$5:$B$65,MATCH($A55,Data_Sales!$A$5:$A$65,0))*INDEX(Survival!$C$6:$T$51,(D$4-$A55)+1,MATCH(D$4,Survival!$C$3:$T$3,0))+INDEX(Data_Sales!$C$5:$C$65,MATCH($A55,Data_Sales!$A$5:$A$65,0))*INDEX(Survival!$C$55:$T$100,(D$4-$A55)+1,MATCH(D$4,Survival!$C$3:$T$3,0))))</f>
        <v/>
      </c>
      <c r="E55" s="27">
        <f>IF(E$4&lt;$A55,"",IF((E$4-$A55)&gt;45,0,INDEX(Data_Sales!$B$5:$B$65,MATCH($A55,Data_Sales!$A$5:$A$65,0))*INDEX(Survival!$C$6:$T$51,(E$4-$A55)+1,MATCH(E$4,Survival!$C$3:$T$3,0))+INDEX(Data_Sales!$C$5:$C$65,MATCH($A55,Data_Sales!$A$5:$A$65,0))*INDEX(Survival!$C$55:$T$100,(E$4-$A55)+1,MATCH(E$4,Survival!$C$3:$T$3,0))))</f>
        <v/>
      </c>
      <c r="F55" s="27">
        <f>IF(F$4&lt;$A55,"",IF((F$4-$A55)&gt;45,0,INDEX(Data_Sales!$B$5:$B$65,MATCH($A55,Data_Sales!$A$5:$A$65,0))*INDEX(Survival!$C$6:$T$51,(F$4-$A55)+1,MATCH(F$4,Survival!$C$3:$T$3,0))+INDEX(Data_Sales!$C$5:$C$65,MATCH($A55,Data_Sales!$A$5:$A$65,0))*INDEX(Survival!$C$55:$T$100,(F$4-$A55)+1,MATCH(F$4,Survival!$C$3:$T$3,0))))</f>
        <v/>
      </c>
      <c r="G55" s="27">
        <f>IF(G$4&lt;$A55,"",IF((G$4-$A55)&gt;45,0,INDEX(Data_Sales!$B$5:$B$65,MATCH($A55,Data_Sales!$A$5:$A$65,0))*INDEX(Survival!$C$6:$T$51,(G$4-$A55)+1,MATCH(G$4,Survival!$C$3:$T$3,0))+INDEX(Data_Sales!$C$5:$C$65,MATCH($A55,Data_Sales!$A$5:$A$65,0))*INDEX(Survival!$C$55:$T$100,(G$4-$A55)+1,MATCH(G$4,Survival!$C$3:$T$3,0))))</f>
        <v/>
      </c>
      <c r="H55" s="27">
        <f>IF(H$4&lt;$A55,"",IF((H$4-$A55)&gt;45,0,INDEX(Data_Sales!$B$5:$B$65,MATCH($A55,Data_Sales!$A$5:$A$65,0))*INDEX(Survival!$C$6:$T$51,(H$4-$A55)+1,MATCH(H$4,Survival!$C$3:$T$3,0))+INDEX(Data_Sales!$C$5:$C$65,MATCH($A55,Data_Sales!$A$5:$A$65,0))*INDEX(Survival!$C$55:$T$100,(H$4-$A55)+1,MATCH(H$4,Survival!$C$3:$T$3,0))))</f>
        <v/>
      </c>
      <c r="I55" s="27">
        <f>IF(I$4&lt;$A55,"",IF((I$4-$A55)&gt;45,0,INDEX(Data_Sales!$B$5:$B$65,MATCH($A55,Data_Sales!$A$5:$A$65,0))*INDEX(Survival!$C$6:$T$51,(I$4-$A55)+1,MATCH(I$4,Survival!$C$3:$T$3,0))+INDEX(Data_Sales!$C$5:$C$65,MATCH($A55,Data_Sales!$A$5:$A$65,0))*INDEX(Survival!$C$55:$T$100,(I$4-$A55)+1,MATCH(I$4,Survival!$C$3:$T$3,0))))</f>
        <v/>
      </c>
      <c r="J55" s="27">
        <f>IF(J$4&lt;$A55,"",IF((J$4-$A55)&gt;45,0,INDEX(Data_Sales!$B$5:$B$65,MATCH($A55,Data_Sales!$A$5:$A$65,0))*INDEX(Survival!$C$6:$T$51,(J$4-$A55)+1,MATCH(J$4,Survival!$C$3:$T$3,0))+INDEX(Data_Sales!$C$5:$C$65,MATCH($A55,Data_Sales!$A$5:$A$65,0))*INDEX(Survival!$C$55:$T$100,(J$4-$A55)+1,MATCH(J$4,Survival!$C$3:$T$3,0))))</f>
        <v/>
      </c>
      <c r="K55" s="27">
        <f>IF(K$4&lt;$A55,"",IF((K$4-$A55)&gt;45,0,INDEX(Data_Sales!$B$5:$B$65,MATCH($A55,Data_Sales!$A$5:$A$65,0))*INDEX(Survival!$C$6:$T$51,(K$4-$A55)+1,MATCH(K$4,Survival!$C$3:$T$3,0))+INDEX(Data_Sales!$C$5:$C$65,MATCH($A55,Data_Sales!$A$5:$A$65,0))*INDEX(Survival!$C$55:$T$100,(K$4-$A55)+1,MATCH(K$4,Survival!$C$3:$T$3,0))))</f>
        <v/>
      </c>
      <c r="L55" s="27">
        <f>IF(L$4&lt;$A55,"",IF((L$4-$A55)&gt;45,0,INDEX(Data_Sales!$B$5:$B$65,MATCH($A55,Data_Sales!$A$5:$A$65,0))*INDEX(Survival!$C$6:$T$51,(L$4-$A55)+1,MATCH(L$4,Survival!$C$3:$T$3,0))+INDEX(Data_Sales!$C$5:$C$65,MATCH($A55,Data_Sales!$A$5:$A$65,0))*INDEX(Survival!$C$55:$T$100,(L$4-$A55)+1,MATCH(L$4,Survival!$C$3:$T$3,0))))</f>
        <v/>
      </c>
      <c r="M55" s="27">
        <f>IF(M$4&lt;$A55,"",IF((M$4-$A55)&gt;45,0,INDEX(Data_Sales!$B$5:$B$65,MATCH($A55,Data_Sales!$A$5:$A$65,0))*INDEX(Survival!$C$6:$T$51,(M$4-$A55)+1,MATCH(M$4,Survival!$C$3:$T$3,0))+INDEX(Data_Sales!$C$5:$C$65,MATCH($A55,Data_Sales!$A$5:$A$65,0))*INDEX(Survival!$C$55:$T$100,(M$4-$A55)+1,MATCH(M$4,Survival!$C$3:$T$3,0))))</f>
        <v/>
      </c>
      <c r="N55" s="27">
        <f>IF(N$4&lt;$A55,"",IF((N$4-$A55)&gt;45,0,INDEX(Data_Sales!$B$5:$B$65,MATCH($A55,Data_Sales!$A$5:$A$65,0))*INDEX(Survival!$C$6:$T$51,(N$4-$A55)+1,MATCH(N$4,Survival!$C$3:$T$3,0))+INDEX(Data_Sales!$C$5:$C$65,MATCH($A55,Data_Sales!$A$5:$A$65,0))*INDEX(Survival!$C$55:$T$100,(N$4-$A55)+1,MATCH(N$4,Survival!$C$3:$T$3,0))))</f>
        <v/>
      </c>
      <c r="O55" s="27">
        <f>IF(O$4&lt;$A55,"",IF((O$4-$A55)&gt;45,0,INDEX(Data_Sales!$B$5:$B$65,MATCH($A55,Data_Sales!$A$5:$A$65,0))*INDEX(Survival!$C$6:$T$51,(O$4-$A55)+1,MATCH(O$4,Survival!$C$3:$T$3,0))+INDEX(Data_Sales!$C$5:$C$65,MATCH($A55,Data_Sales!$A$5:$A$65,0))*INDEX(Survival!$C$55:$T$100,(O$4-$A55)+1,MATCH(O$4,Survival!$C$3:$T$3,0))))</f>
        <v/>
      </c>
      <c r="P55" s="27">
        <f>IF(P$4&lt;$A55,"",IF((P$4-$A55)&gt;45,0,INDEX(Data_Sales!$B$5:$B$65,MATCH($A55,Data_Sales!$A$5:$A$65,0))*INDEX(Survival!$C$6:$T$51,(P$4-$A55)+1,MATCH(P$4,Survival!$C$3:$T$3,0))+INDEX(Data_Sales!$C$5:$C$65,MATCH($A55,Data_Sales!$A$5:$A$65,0))*INDEX(Survival!$C$55:$T$100,(P$4-$A55)+1,MATCH(P$4,Survival!$C$3:$T$3,0))))</f>
        <v/>
      </c>
      <c r="Q55" s="27">
        <f>IF(Q$4&lt;$A55,"",IF((Q$4-$A55)&gt;45,0,INDEX(Data_Sales!$B$5:$B$65,MATCH($A55,Data_Sales!$A$5:$A$65,0))*INDEX(Survival!$C$6:$T$51,(Q$4-$A55)+1,MATCH(Q$4,Survival!$C$3:$T$3,0))+INDEX(Data_Sales!$C$5:$C$65,MATCH($A55,Data_Sales!$A$5:$A$65,0))*INDEX(Survival!$C$55:$T$100,(Q$4-$A55)+1,MATCH(Q$4,Survival!$C$3:$T$3,0))))</f>
        <v/>
      </c>
      <c r="R55" s="27">
        <f>IF(R$4&lt;$A55,"",IF((R$4-$A55)&gt;45,0,INDEX(Data_Sales!$B$5:$B$65,MATCH($A55,Data_Sales!$A$5:$A$65,0))*INDEX(Survival!$C$6:$T$51,(R$4-$A55)+1,MATCH(R$4,Survival!$C$3:$T$3,0))+INDEX(Data_Sales!$C$5:$C$65,MATCH($A55,Data_Sales!$A$5:$A$65,0))*INDEX(Survival!$C$55:$T$100,(R$4-$A55)+1,MATCH(R$4,Survival!$C$3:$T$3,0))))</f>
        <v/>
      </c>
      <c r="S55" s="27">
        <f>IF(S$4&lt;$A55,"",IF((S$4-$A55)&gt;45,0,INDEX(Data_Sales!$B$5:$B$65,MATCH($A55,Data_Sales!$A$5:$A$65,0))*INDEX(Survival!$C$6:$T$51,(S$4-$A55)+1,MATCH(S$4,Survival!$C$3:$T$3,0))+INDEX(Data_Sales!$C$5:$C$65,MATCH($A55,Data_Sales!$A$5:$A$65,0))*INDEX(Survival!$C$55:$T$100,(S$4-$A55)+1,MATCH(S$4,Survival!$C$3:$T$3,0))))</f>
        <v/>
      </c>
      <c r="T55" s="27">
        <f>IF(T$4&lt;$A55,"",IF((T$4-$A55)&gt;45,0,INDEX(Data_Sales!$B$5:$B$65,MATCH($A55,Data_Sales!$A$5:$A$65,0))*INDEX(Survival!$C$6:$T$51,(T$4-$A55)+1,MATCH(T$4,Survival!$C$3:$T$3,0))+INDEX(Data_Sales!$C$5:$C$65,MATCH($A55,Data_Sales!$A$5:$A$65,0))*INDEX(Survival!$C$55:$T$100,(T$4-$A55)+1,MATCH(T$4,Survival!$C$3:$T$3,0))))</f>
        <v/>
      </c>
    </row>
    <row r="56">
      <c r="A56" s="9" t="n">
        <v>2020</v>
      </c>
      <c r="C56" s="27">
        <f>IF(C$4&lt;$A56,"",IF((C$4-$A56)&gt;45,0,INDEX(Data_Sales!$B$5:$B$65,MATCH($A56,Data_Sales!$A$5:$A$65,0))*INDEX(Survival!$C$6:$T$51,(C$4-$A56)+1,MATCH(C$4,Survival!$C$3:$T$3,0))+INDEX(Data_Sales!$C$5:$C$65,MATCH($A56,Data_Sales!$A$5:$A$65,0))*INDEX(Survival!$C$55:$T$100,(C$4-$A56)+1,MATCH(C$4,Survival!$C$3:$T$3,0))))</f>
        <v/>
      </c>
      <c r="D56" s="27">
        <f>IF(D$4&lt;$A56,"",IF((D$4-$A56)&gt;45,0,INDEX(Data_Sales!$B$5:$B$65,MATCH($A56,Data_Sales!$A$5:$A$65,0))*INDEX(Survival!$C$6:$T$51,(D$4-$A56)+1,MATCH(D$4,Survival!$C$3:$T$3,0))+INDEX(Data_Sales!$C$5:$C$65,MATCH($A56,Data_Sales!$A$5:$A$65,0))*INDEX(Survival!$C$55:$T$100,(D$4-$A56)+1,MATCH(D$4,Survival!$C$3:$T$3,0))))</f>
        <v/>
      </c>
      <c r="E56" s="27">
        <f>IF(E$4&lt;$A56,"",IF((E$4-$A56)&gt;45,0,INDEX(Data_Sales!$B$5:$B$65,MATCH($A56,Data_Sales!$A$5:$A$65,0))*INDEX(Survival!$C$6:$T$51,(E$4-$A56)+1,MATCH(E$4,Survival!$C$3:$T$3,0))+INDEX(Data_Sales!$C$5:$C$65,MATCH($A56,Data_Sales!$A$5:$A$65,0))*INDEX(Survival!$C$55:$T$100,(E$4-$A56)+1,MATCH(E$4,Survival!$C$3:$T$3,0))))</f>
        <v/>
      </c>
      <c r="F56" s="27">
        <f>IF(F$4&lt;$A56,"",IF((F$4-$A56)&gt;45,0,INDEX(Data_Sales!$B$5:$B$65,MATCH($A56,Data_Sales!$A$5:$A$65,0))*INDEX(Survival!$C$6:$T$51,(F$4-$A56)+1,MATCH(F$4,Survival!$C$3:$T$3,0))+INDEX(Data_Sales!$C$5:$C$65,MATCH($A56,Data_Sales!$A$5:$A$65,0))*INDEX(Survival!$C$55:$T$100,(F$4-$A56)+1,MATCH(F$4,Survival!$C$3:$T$3,0))))</f>
        <v/>
      </c>
      <c r="G56" s="27">
        <f>IF(G$4&lt;$A56,"",IF((G$4-$A56)&gt;45,0,INDEX(Data_Sales!$B$5:$B$65,MATCH($A56,Data_Sales!$A$5:$A$65,0))*INDEX(Survival!$C$6:$T$51,(G$4-$A56)+1,MATCH(G$4,Survival!$C$3:$T$3,0))+INDEX(Data_Sales!$C$5:$C$65,MATCH($A56,Data_Sales!$A$5:$A$65,0))*INDEX(Survival!$C$55:$T$100,(G$4-$A56)+1,MATCH(G$4,Survival!$C$3:$T$3,0))))</f>
        <v/>
      </c>
      <c r="H56" s="27">
        <f>IF(H$4&lt;$A56,"",IF((H$4-$A56)&gt;45,0,INDEX(Data_Sales!$B$5:$B$65,MATCH($A56,Data_Sales!$A$5:$A$65,0))*INDEX(Survival!$C$6:$T$51,(H$4-$A56)+1,MATCH(H$4,Survival!$C$3:$T$3,0))+INDEX(Data_Sales!$C$5:$C$65,MATCH($A56,Data_Sales!$A$5:$A$65,0))*INDEX(Survival!$C$55:$T$100,(H$4-$A56)+1,MATCH(H$4,Survival!$C$3:$T$3,0))))</f>
        <v/>
      </c>
      <c r="I56" s="27">
        <f>IF(I$4&lt;$A56,"",IF((I$4-$A56)&gt;45,0,INDEX(Data_Sales!$B$5:$B$65,MATCH($A56,Data_Sales!$A$5:$A$65,0))*INDEX(Survival!$C$6:$T$51,(I$4-$A56)+1,MATCH(I$4,Survival!$C$3:$T$3,0))+INDEX(Data_Sales!$C$5:$C$65,MATCH($A56,Data_Sales!$A$5:$A$65,0))*INDEX(Survival!$C$55:$T$100,(I$4-$A56)+1,MATCH(I$4,Survival!$C$3:$T$3,0))))</f>
        <v/>
      </c>
      <c r="J56" s="27">
        <f>IF(J$4&lt;$A56,"",IF((J$4-$A56)&gt;45,0,INDEX(Data_Sales!$B$5:$B$65,MATCH($A56,Data_Sales!$A$5:$A$65,0))*INDEX(Survival!$C$6:$T$51,(J$4-$A56)+1,MATCH(J$4,Survival!$C$3:$T$3,0))+INDEX(Data_Sales!$C$5:$C$65,MATCH($A56,Data_Sales!$A$5:$A$65,0))*INDEX(Survival!$C$55:$T$100,(J$4-$A56)+1,MATCH(J$4,Survival!$C$3:$T$3,0))))</f>
        <v/>
      </c>
      <c r="K56" s="27">
        <f>IF(K$4&lt;$A56,"",IF((K$4-$A56)&gt;45,0,INDEX(Data_Sales!$B$5:$B$65,MATCH($A56,Data_Sales!$A$5:$A$65,0))*INDEX(Survival!$C$6:$T$51,(K$4-$A56)+1,MATCH(K$4,Survival!$C$3:$T$3,0))+INDEX(Data_Sales!$C$5:$C$65,MATCH($A56,Data_Sales!$A$5:$A$65,0))*INDEX(Survival!$C$55:$T$100,(K$4-$A56)+1,MATCH(K$4,Survival!$C$3:$T$3,0))))</f>
        <v/>
      </c>
      <c r="L56" s="27">
        <f>IF(L$4&lt;$A56,"",IF((L$4-$A56)&gt;45,0,INDEX(Data_Sales!$B$5:$B$65,MATCH($A56,Data_Sales!$A$5:$A$65,0))*INDEX(Survival!$C$6:$T$51,(L$4-$A56)+1,MATCH(L$4,Survival!$C$3:$T$3,0))+INDEX(Data_Sales!$C$5:$C$65,MATCH($A56,Data_Sales!$A$5:$A$65,0))*INDEX(Survival!$C$55:$T$100,(L$4-$A56)+1,MATCH(L$4,Survival!$C$3:$T$3,0))))</f>
        <v/>
      </c>
      <c r="M56" s="27">
        <f>IF(M$4&lt;$A56,"",IF((M$4-$A56)&gt;45,0,INDEX(Data_Sales!$B$5:$B$65,MATCH($A56,Data_Sales!$A$5:$A$65,0))*INDEX(Survival!$C$6:$T$51,(M$4-$A56)+1,MATCH(M$4,Survival!$C$3:$T$3,0))+INDEX(Data_Sales!$C$5:$C$65,MATCH($A56,Data_Sales!$A$5:$A$65,0))*INDEX(Survival!$C$55:$T$100,(M$4-$A56)+1,MATCH(M$4,Survival!$C$3:$T$3,0))))</f>
        <v/>
      </c>
      <c r="N56" s="27">
        <f>IF(N$4&lt;$A56,"",IF((N$4-$A56)&gt;45,0,INDEX(Data_Sales!$B$5:$B$65,MATCH($A56,Data_Sales!$A$5:$A$65,0))*INDEX(Survival!$C$6:$T$51,(N$4-$A56)+1,MATCH(N$4,Survival!$C$3:$T$3,0))+INDEX(Data_Sales!$C$5:$C$65,MATCH($A56,Data_Sales!$A$5:$A$65,0))*INDEX(Survival!$C$55:$T$100,(N$4-$A56)+1,MATCH(N$4,Survival!$C$3:$T$3,0))))</f>
        <v/>
      </c>
      <c r="O56" s="27">
        <f>IF(O$4&lt;$A56,"",IF((O$4-$A56)&gt;45,0,INDEX(Data_Sales!$B$5:$B$65,MATCH($A56,Data_Sales!$A$5:$A$65,0))*INDEX(Survival!$C$6:$T$51,(O$4-$A56)+1,MATCH(O$4,Survival!$C$3:$T$3,0))+INDEX(Data_Sales!$C$5:$C$65,MATCH($A56,Data_Sales!$A$5:$A$65,0))*INDEX(Survival!$C$55:$T$100,(O$4-$A56)+1,MATCH(O$4,Survival!$C$3:$T$3,0))))</f>
        <v/>
      </c>
      <c r="P56" s="27">
        <f>IF(P$4&lt;$A56,"",IF((P$4-$A56)&gt;45,0,INDEX(Data_Sales!$B$5:$B$65,MATCH($A56,Data_Sales!$A$5:$A$65,0))*INDEX(Survival!$C$6:$T$51,(P$4-$A56)+1,MATCH(P$4,Survival!$C$3:$T$3,0))+INDEX(Data_Sales!$C$5:$C$65,MATCH($A56,Data_Sales!$A$5:$A$65,0))*INDEX(Survival!$C$55:$T$100,(P$4-$A56)+1,MATCH(P$4,Survival!$C$3:$T$3,0))))</f>
        <v/>
      </c>
      <c r="Q56" s="27">
        <f>IF(Q$4&lt;$A56,"",IF((Q$4-$A56)&gt;45,0,INDEX(Data_Sales!$B$5:$B$65,MATCH($A56,Data_Sales!$A$5:$A$65,0))*INDEX(Survival!$C$6:$T$51,(Q$4-$A56)+1,MATCH(Q$4,Survival!$C$3:$T$3,0))+INDEX(Data_Sales!$C$5:$C$65,MATCH($A56,Data_Sales!$A$5:$A$65,0))*INDEX(Survival!$C$55:$T$100,(Q$4-$A56)+1,MATCH(Q$4,Survival!$C$3:$T$3,0))))</f>
        <v/>
      </c>
      <c r="R56" s="27">
        <f>IF(R$4&lt;$A56,"",IF((R$4-$A56)&gt;45,0,INDEX(Data_Sales!$B$5:$B$65,MATCH($A56,Data_Sales!$A$5:$A$65,0))*INDEX(Survival!$C$6:$T$51,(R$4-$A56)+1,MATCH(R$4,Survival!$C$3:$T$3,0))+INDEX(Data_Sales!$C$5:$C$65,MATCH($A56,Data_Sales!$A$5:$A$65,0))*INDEX(Survival!$C$55:$T$100,(R$4-$A56)+1,MATCH(R$4,Survival!$C$3:$T$3,0))))</f>
        <v/>
      </c>
      <c r="S56" s="27">
        <f>IF(S$4&lt;$A56,"",IF((S$4-$A56)&gt;45,0,INDEX(Data_Sales!$B$5:$B$65,MATCH($A56,Data_Sales!$A$5:$A$65,0))*INDEX(Survival!$C$6:$T$51,(S$4-$A56)+1,MATCH(S$4,Survival!$C$3:$T$3,0))+INDEX(Data_Sales!$C$5:$C$65,MATCH($A56,Data_Sales!$A$5:$A$65,0))*INDEX(Survival!$C$55:$T$100,(S$4-$A56)+1,MATCH(S$4,Survival!$C$3:$T$3,0))))</f>
        <v/>
      </c>
      <c r="T56" s="27">
        <f>IF(T$4&lt;$A56,"",IF((T$4-$A56)&gt;45,0,INDEX(Data_Sales!$B$5:$B$65,MATCH($A56,Data_Sales!$A$5:$A$65,0))*INDEX(Survival!$C$6:$T$51,(T$4-$A56)+1,MATCH(T$4,Survival!$C$3:$T$3,0))+INDEX(Data_Sales!$C$5:$C$65,MATCH($A56,Data_Sales!$A$5:$A$65,0))*INDEX(Survival!$C$55:$T$100,(T$4-$A56)+1,MATCH(T$4,Survival!$C$3:$T$3,0))))</f>
        <v/>
      </c>
    </row>
    <row r="57">
      <c r="A57" s="9" t="n">
        <v>2021</v>
      </c>
      <c r="C57" s="27">
        <f>IF(C$4&lt;$A57,"",IF((C$4-$A57)&gt;45,0,INDEX(Data_Sales!$B$5:$B$65,MATCH($A57,Data_Sales!$A$5:$A$65,0))*INDEX(Survival!$C$6:$T$51,(C$4-$A57)+1,MATCH(C$4,Survival!$C$3:$T$3,0))+INDEX(Data_Sales!$C$5:$C$65,MATCH($A57,Data_Sales!$A$5:$A$65,0))*INDEX(Survival!$C$55:$T$100,(C$4-$A57)+1,MATCH(C$4,Survival!$C$3:$T$3,0))))</f>
        <v/>
      </c>
      <c r="D57" s="27">
        <f>IF(D$4&lt;$A57,"",IF((D$4-$A57)&gt;45,0,INDEX(Data_Sales!$B$5:$B$65,MATCH($A57,Data_Sales!$A$5:$A$65,0))*INDEX(Survival!$C$6:$T$51,(D$4-$A57)+1,MATCH(D$4,Survival!$C$3:$T$3,0))+INDEX(Data_Sales!$C$5:$C$65,MATCH($A57,Data_Sales!$A$5:$A$65,0))*INDEX(Survival!$C$55:$T$100,(D$4-$A57)+1,MATCH(D$4,Survival!$C$3:$T$3,0))))</f>
        <v/>
      </c>
      <c r="E57" s="27">
        <f>IF(E$4&lt;$A57,"",IF((E$4-$A57)&gt;45,0,INDEX(Data_Sales!$B$5:$B$65,MATCH($A57,Data_Sales!$A$5:$A$65,0))*INDEX(Survival!$C$6:$T$51,(E$4-$A57)+1,MATCH(E$4,Survival!$C$3:$T$3,0))+INDEX(Data_Sales!$C$5:$C$65,MATCH($A57,Data_Sales!$A$5:$A$65,0))*INDEX(Survival!$C$55:$T$100,(E$4-$A57)+1,MATCH(E$4,Survival!$C$3:$T$3,0))))</f>
        <v/>
      </c>
      <c r="F57" s="27">
        <f>IF(F$4&lt;$A57,"",IF((F$4-$A57)&gt;45,0,INDEX(Data_Sales!$B$5:$B$65,MATCH($A57,Data_Sales!$A$5:$A$65,0))*INDEX(Survival!$C$6:$T$51,(F$4-$A57)+1,MATCH(F$4,Survival!$C$3:$T$3,0))+INDEX(Data_Sales!$C$5:$C$65,MATCH($A57,Data_Sales!$A$5:$A$65,0))*INDEX(Survival!$C$55:$T$100,(F$4-$A57)+1,MATCH(F$4,Survival!$C$3:$T$3,0))))</f>
        <v/>
      </c>
      <c r="G57" s="27">
        <f>IF(G$4&lt;$A57,"",IF((G$4-$A57)&gt;45,0,INDEX(Data_Sales!$B$5:$B$65,MATCH($A57,Data_Sales!$A$5:$A$65,0))*INDEX(Survival!$C$6:$T$51,(G$4-$A57)+1,MATCH(G$4,Survival!$C$3:$T$3,0))+INDEX(Data_Sales!$C$5:$C$65,MATCH($A57,Data_Sales!$A$5:$A$65,0))*INDEX(Survival!$C$55:$T$100,(G$4-$A57)+1,MATCH(G$4,Survival!$C$3:$T$3,0))))</f>
        <v/>
      </c>
      <c r="H57" s="27">
        <f>IF(H$4&lt;$A57,"",IF((H$4-$A57)&gt;45,0,INDEX(Data_Sales!$B$5:$B$65,MATCH($A57,Data_Sales!$A$5:$A$65,0))*INDEX(Survival!$C$6:$T$51,(H$4-$A57)+1,MATCH(H$4,Survival!$C$3:$T$3,0))+INDEX(Data_Sales!$C$5:$C$65,MATCH($A57,Data_Sales!$A$5:$A$65,0))*INDEX(Survival!$C$55:$T$100,(H$4-$A57)+1,MATCH(H$4,Survival!$C$3:$T$3,0))))</f>
        <v/>
      </c>
      <c r="I57" s="27">
        <f>IF(I$4&lt;$A57,"",IF((I$4-$A57)&gt;45,0,INDEX(Data_Sales!$B$5:$B$65,MATCH($A57,Data_Sales!$A$5:$A$65,0))*INDEX(Survival!$C$6:$T$51,(I$4-$A57)+1,MATCH(I$4,Survival!$C$3:$T$3,0))+INDEX(Data_Sales!$C$5:$C$65,MATCH($A57,Data_Sales!$A$5:$A$65,0))*INDEX(Survival!$C$55:$T$100,(I$4-$A57)+1,MATCH(I$4,Survival!$C$3:$T$3,0))))</f>
        <v/>
      </c>
      <c r="J57" s="27">
        <f>IF(J$4&lt;$A57,"",IF((J$4-$A57)&gt;45,0,INDEX(Data_Sales!$B$5:$B$65,MATCH($A57,Data_Sales!$A$5:$A$65,0))*INDEX(Survival!$C$6:$T$51,(J$4-$A57)+1,MATCH(J$4,Survival!$C$3:$T$3,0))+INDEX(Data_Sales!$C$5:$C$65,MATCH($A57,Data_Sales!$A$5:$A$65,0))*INDEX(Survival!$C$55:$T$100,(J$4-$A57)+1,MATCH(J$4,Survival!$C$3:$T$3,0))))</f>
        <v/>
      </c>
      <c r="K57" s="27">
        <f>IF(K$4&lt;$A57,"",IF((K$4-$A57)&gt;45,0,INDEX(Data_Sales!$B$5:$B$65,MATCH($A57,Data_Sales!$A$5:$A$65,0))*INDEX(Survival!$C$6:$T$51,(K$4-$A57)+1,MATCH(K$4,Survival!$C$3:$T$3,0))+INDEX(Data_Sales!$C$5:$C$65,MATCH($A57,Data_Sales!$A$5:$A$65,0))*INDEX(Survival!$C$55:$T$100,(K$4-$A57)+1,MATCH(K$4,Survival!$C$3:$T$3,0))))</f>
        <v/>
      </c>
      <c r="L57" s="27">
        <f>IF(L$4&lt;$A57,"",IF((L$4-$A57)&gt;45,0,INDEX(Data_Sales!$B$5:$B$65,MATCH($A57,Data_Sales!$A$5:$A$65,0))*INDEX(Survival!$C$6:$T$51,(L$4-$A57)+1,MATCH(L$4,Survival!$C$3:$T$3,0))+INDEX(Data_Sales!$C$5:$C$65,MATCH($A57,Data_Sales!$A$5:$A$65,0))*INDEX(Survival!$C$55:$T$100,(L$4-$A57)+1,MATCH(L$4,Survival!$C$3:$T$3,0))))</f>
        <v/>
      </c>
      <c r="M57" s="27">
        <f>IF(M$4&lt;$A57,"",IF((M$4-$A57)&gt;45,0,INDEX(Data_Sales!$B$5:$B$65,MATCH($A57,Data_Sales!$A$5:$A$65,0))*INDEX(Survival!$C$6:$T$51,(M$4-$A57)+1,MATCH(M$4,Survival!$C$3:$T$3,0))+INDEX(Data_Sales!$C$5:$C$65,MATCH($A57,Data_Sales!$A$5:$A$65,0))*INDEX(Survival!$C$55:$T$100,(M$4-$A57)+1,MATCH(M$4,Survival!$C$3:$T$3,0))))</f>
        <v/>
      </c>
      <c r="N57" s="27">
        <f>IF(N$4&lt;$A57,"",IF((N$4-$A57)&gt;45,0,INDEX(Data_Sales!$B$5:$B$65,MATCH($A57,Data_Sales!$A$5:$A$65,0))*INDEX(Survival!$C$6:$T$51,(N$4-$A57)+1,MATCH(N$4,Survival!$C$3:$T$3,0))+INDEX(Data_Sales!$C$5:$C$65,MATCH($A57,Data_Sales!$A$5:$A$65,0))*INDEX(Survival!$C$55:$T$100,(N$4-$A57)+1,MATCH(N$4,Survival!$C$3:$T$3,0))))</f>
        <v/>
      </c>
      <c r="O57" s="27">
        <f>IF(O$4&lt;$A57,"",IF((O$4-$A57)&gt;45,0,INDEX(Data_Sales!$B$5:$B$65,MATCH($A57,Data_Sales!$A$5:$A$65,0))*INDEX(Survival!$C$6:$T$51,(O$4-$A57)+1,MATCH(O$4,Survival!$C$3:$T$3,0))+INDEX(Data_Sales!$C$5:$C$65,MATCH($A57,Data_Sales!$A$5:$A$65,0))*INDEX(Survival!$C$55:$T$100,(O$4-$A57)+1,MATCH(O$4,Survival!$C$3:$T$3,0))))</f>
        <v/>
      </c>
      <c r="P57" s="27">
        <f>IF(P$4&lt;$A57,"",IF((P$4-$A57)&gt;45,0,INDEX(Data_Sales!$B$5:$B$65,MATCH($A57,Data_Sales!$A$5:$A$65,0))*INDEX(Survival!$C$6:$T$51,(P$4-$A57)+1,MATCH(P$4,Survival!$C$3:$T$3,0))+INDEX(Data_Sales!$C$5:$C$65,MATCH($A57,Data_Sales!$A$5:$A$65,0))*INDEX(Survival!$C$55:$T$100,(P$4-$A57)+1,MATCH(P$4,Survival!$C$3:$T$3,0))))</f>
        <v/>
      </c>
      <c r="Q57" s="27">
        <f>IF(Q$4&lt;$A57,"",IF((Q$4-$A57)&gt;45,0,INDEX(Data_Sales!$B$5:$B$65,MATCH($A57,Data_Sales!$A$5:$A$65,0))*INDEX(Survival!$C$6:$T$51,(Q$4-$A57)+1,MATCH(Q$4,Survival!$C$3:$T$3,0))+INDEX(Data_Sales!$C$5:$C$65,MATCH($A57,Data_Sales!$A$5:$A$65,0))*INDEX(Survival!$C$55:$T$100,(Q$4-$A57)+1,MATCH(Q$4,Survival!$C$3:$T$3,0))))</f>
        <v/>
      </c>
      <c r="R57" s="27">
        <f>IF(R$4&lt;$A57,"",IF((R$4-$A57)&gt;45,0,INDEX(Data_Sales!$B$5:$B$65,MATCH($A57,Data_Sales!$A$5:$A$65,0))*INDEX(Survival!$C$6:$T$51,(R$4-$A57)+1,MATCH(R$4,Survival!$C$3:$T$3,0))+INDEX(Data_Sales!$C$5:$C$65,MATCH($A57,Data_Sales!$A$5:$A$65,0))*INDEX(Survival!$C$55:$T$100,(R$4-$A57)+1,MATCH(R$4,Survival!$C$3:$T$3,0))))</f>
        <v/>
      </c>
      <c r="S57" s="27">
        <f>IF(S$4&lt;$A57,"",IF((S$4-$A57)&gt;45,0,INDEX(Data_Sales!$B$5:$B$65,MATCH($A57,Data_Sales!$A$5:$A$65,0))*INDEX(Survival!$C$6:$T$51,(S$4-$A57)+1,MATCH(S$4,Survival!$C$3:$T$3,0))+INDEX(Data_Sales!$C$5:$C$65,MATCH($A57,Data_Sales!$A$5:$A$65,0))*INDEX(Survival!$C$55:$T$100,(S$4-$A57)+1,MATCH(S$4,Survival!$C$3:$T$3,0))))</f>
        <v/>
      </c>
      <c r="T57" s="27">
        <f>IF(T$4&lt;$A57,"",IF((T$4-$A57)&gt;45,0,INDEX(Data_Sales!$B$5:$B$65,MATCH($A57,Data_Sales!$A$5:$A$65,0))*INDEX(Survival!$C$6:$T$51,(T$4-$A57)+1,MATCH(T$4,Survival!$C$3:$T$3,0))+INDEX(Data_Sales!$C$5:$C$65,MATCH($A57,Data_Sales!$A$5:$A$65,0))*INDEX(Survival!$C$55:$T$100,(T$4-$A57)+1,MATCH(T$4,Survival!$C$3:$T$3,0))))</f>
        <v/>
      </c>
    </row>
    <row r="58">
      <c r="A58" s="9" t="n">
        <v>2022</v>
      </c>
      <c r="C58" s="27">
        <f>IF(C$4&lt;$A58,"",IF((C$4-$A58)&gt;45,0,INDEX(Data_Sales!$B$5:$B$65,MATCH($A58,Data_Sales!$A$5:$A$65,0))*INDEX(Survival!$C$6:$T$51,(C$4-$A58)+1,MATCH(C$4,Survival!$C$3:$T$3,0))+INDEX(Data_Sales!$C$5:$C$65,MATCH($A58,Data_Sales!$A$5:$A$65,0))*INDEX(Survival!$C$55:$T$100,(C$4-$A58)+1,MATCH(C$4,Survival!$C$3:$T$3,0))))</f>
        <v/>
      </c>
      <c r="D58" s="27">
        <f>IF(D$4&lt;$A58,"",IF((D$4-$A58)&gt;45,0,INDEX(Data_Sales!$B$5:$B$65,MATCH($A58,Data_Sales!$A$5:$A$65,0))*INDEX(Survival!$C$6:$T$51,(D$4-$A58)+1,MATCH(D$4,Survival!$C$3:$T$3,0))+INDEX(Data_Sales!$C$5:$C$65,MATCH($A58,Data_Sales!$A$5:$A$65,0))*INDEX(Survival!$C$55:$T$100,(D$4-$A58)+1,MATCH(D$4,Survival!$C$3:$T$3,0))))</f>
        <v/>
      </c>
      <c r="E58" s="27">
        <f>IF(E$4&lt;$A58,"",IF((E$4-$A58)&gt;45,0,INDEX(Data_Sales!$B$5:$B$65,MATCH($A58,Data_Sales!$A$5:$A$65,0))*INDEX(Survival!$C$6:$T$51,(E$4-$A58)+1,MATCH(E$4,Survival!$C$3:$T$3,0))+INDEX(Data_Sales!$C$5:$C$65,MATCH($A58,Data_Sales!$A$5:$A$65,0))*INDEX(Survival!$C$55:$T$100,(E$4-$A58)+1,MATCH(E$4,Survival!$C$3:$T$3,0))))</f>
        <v/>
      </c>
      <c r="F58" s="27">
        <f>IF(F$4&lt;$A58,"",IF((F$4-$A58)&gt;45,0,INDEX(Data_Sales!$B$5:$B$65,MATCH($A58,Data_Sales!$A$5:$A$65,0))*INDEX(Survival!$C$6:$T$51,(F$4-$A58)+1,MATCH(F$4,Survival!$C$3:$T$3,0))+INDEX(Data_Sales!$C$5:$C$65,MATCH($A58,Data_Sales!$A$5:$A$65,0))*INDEX(Survival!$C$55:$T$100,(F$4-$A58)+1,MATCH(F$4,Survival!$C$3:$T$3,0))))</f>
        <v/>
      </c>
      <c r="G58" s="27">
        <f>IF(G$4&lt;$A58,"",IF((G$4-$A58)&gt;45,0,INDEX(Data_Sales!$B$5:$B$65,MATCH($A58,Data_Sales!$A$5:$A$65,0))*INDEX(Survival!$C$6:$T$51,(G$4-$A58)+1,MATCH(G$4,Survival!$C$3:$T$3,0))+INDEX(Data_Sales!$C$5:$C$65,MATCH($A58,Data_Sales!$A$5:$A$65,0))*INDEX(Survival!$C$55:$T$100,(G$4-$A58)+1,MATCH(G$4,Survival!$C$3:$T$3,0))))</f>
        <v/>
      </c>
      <c r="H58" s="27">
        <f>IF(H$4&lt;$A58,"",IF((H$4-$A58)&gt;45,0,INDEX(Data_Sales!$B$5:$B$65,MATCH($A58,Data_Sales!$A$5:$A$65,0))*INDEX(Survival!$C$6:$T$51,(H$4-$A58)+1,MATCH(H$4,Survival!$C$3:$T$3,0))+INDEX(Data_Sales!$C$5:$C$65,MATCH($A58,Data_Sales!$A$5:$A$65,0))*INDEX(Survival!$C$55:$T$100,(H$4-$A58)+1,MATCH(H$4,Survival!$C$3:$T$3,0))))</f>
        <v/>
      </c>
      <c r="I58" s="27">
        <f>IF(I$4&lt;$A58,"",IF((I$4-$A58)&gt;45,0,INDEX(Data_Sales!$B$5:$B$65,MATCH($A58,Data_Sales!$A$5:$A$65,0))*INDEX(Survival!$C$6:$T$51,(I$4-$A58)+1,MATCH(I$4,Survival!$C$3:$T$3,0))+INDEX(Data_Sales!$C$5:$C$65,MATCH($A58,Data_Sales!$A$5:$A$65,0))*INDEX(Survival!$C$55:$T$100,(I$4-$A58)+1,MATCH(I$4,Survival!$C$3:$T$3,0))))</f>
        <v/>
      </c>
      <c r="J58" s="27">
        <f>IF(J$4&lt;$A58,"",IF((J$4-$A58)&gt;45,0,INDEX(Data_Sales!$B$5:$B$65,MATCH($A58,Data_Sales!$A$5:$A$65,0))*INDEX(Survival!$C$6:$T$51,(J$4-$A58)+1,MATCH(J$4,Survival!$C$3:$T$3,0))+INDEX(Data_Sales!$C$5:$C$65,MATCH($A58,Data_Sales!$A$5:$A$65,0))*INDEX(Survival!$C$55:$T$100,(J$4-$A58)+1,MATCH(J$4,Survival!$C$3:$T$3,0))))</f>
        <v/>
      </c>
      <c r="K58" s="27">
        <f>IF(K$4&lt;$A58,"",IF((K$4-$A58)&gt;45,0,INDEX(Data_Sales!$B$5:$B$65,MATCH($A58,Data_Sales!$A$5:$A$65,0))*INDEX(Survival!$C$6:$T$51,(K$4-$A58)+1,MATCH(K$4,Survival!$C$3:$T$3,0))+INDEX(Data_Sales!$C$5:$C$65,MATCH($A58,Data_Sales!$A$5:$A$65,0))*INDEX(Survival!$C$55:$T$100,(K$4-$A58)+1,MATCH(K$4,Survival!$C$3:$T$3,0))))</f>
        <v/>
      </c>
      <c r="L58" s="27">
        <f>IF(L$4&lt;$A58,"",IF((L$4-$A58)&gt;45,0,INDEX(Data_Sales!$B$5:$B$65,MATCH($A58,Data_Sales!$A$5:$A$65,0))*INDEX(Survival!$C$6:$T$51,(L$4-$A58)+1,MATCH(L$4,Survival!$C$3:$T$3,0))+INDEX(Data_Sales!$C$5:$C$65,MATCH($A58,Data_Sales!$A$5:$A$65,0))*INDEX(Survival!$C$55:$T$100,(L$4-$A58)+1,MATCH(L$4,Survival!$C$3:$T$3,0))))</f>
        <v/>
      </c>
      <c r="M58" s="27">
        <f>IF(M$4&lt;$A58,"",IF((M$4-$A58)&gt;45,0,INDEX(Data_Sales!$B$5:$B$65,MATCH($A58,Data_Sales!$A$5:$A$65,0))*INDEX(Survival!$C$6:$T$51,(M$4-$A58)+1,MATCH(M$4,Survival!$C$3:$T$3,0))+INDEX(Data_Sales!$C$5:$C$65,MATCH($A58,Data_Sales!$A$5:$A$65,0))*INDEX(Survival!$C$55:$T$100,(M$4-$A58)+1,MATCH(M$4,Survival!$C$3:$T$3,0))))</f>
        <v/>
      </c>
      <c r="N58" s="27">
        <f>IF(N$4&lt;$A58,"",IF((N$4-$A58)&gt;45,0,INDEX(Data_Sales!$B$5:$B$65,MATCH($A58,Data_Sales!$A$5:$A$65,0))*INDEX(Survival!$C$6:$T$51,(N$4-$A58)+1,MATCH(N$4,Survival!$C$3:$T$3,0))+INDEX(Data_Sales!$C$5:$C$65,MATCH($A58,Data_Sales!$A$5:$A$65,0))*INDEX(Survival!$C$55:$T$100,(N$4-$A58)+1,MATCH(N$4,Survival!$C$3:$T$3,0))))</f>
        <v/>
      </c>
      <c r="O58" s="27">
        <f>IF(O$4&lt;$A58,"",IF((O$4-$A58)&gt;45,0,INDEX(Data_Sales!$B$5:$B$65,MATCH($A58,Data_Sales!$A$5:$A$65,0))*INDEX(Survival!$C$6:$T$51,(O$4-$A58)+1,MATCH(O$4,Survival!$C$3:$T$3,0))+INDEX(Data_Sales!$C$5:$C$65,MATCH($A58,Data_Sales!$A$5:$A$65,0))*INDEX(Survival!$C$55:$T$100,(O$4-$A58)+1,MATCH(O$4,Survival!$C$3:$T$3,0))))</f>
        <v/>
      </c>
      <c r="P58" s="27">
        <f>IF(P$4&lt;$A58,"",IF((P$4-$A58)&gt;45,0,INDEX(Data_Sales!$B$5:$B$65,MATCH($A58,Data_Sales!$A$5:$A$65,0))*INDEX(Survival!$C$6:$T$51,(P$4-$A58)+1,MATCH(P$4,Survival!$C$3:$T$3,0))+INDEX(Data_Sales!$C$5:$C$65,MATCH($A58,Data_Sales!$A$5:$A$65,0))*INDEX(Survival!$C$55:$T$100,(P$4-$A58)+1,MATCH(P$4,Survival!$C$3:$T$3,0))))</f>
        <v/>
      </c>
      <c r="Q58" s="27">
        <f>IF(Q$4&lt;$A58,"",IF((Q$4-$A58)&gt;45,0,INDEX(Data_Sales!$B$5:$B$65,MATCH($A58,Data_Sales!$A$5:$A$65,0))*INDEX(Survival!$C$6:$T$51,(Q$4-$A58)+1,MATCH(Q$4,Survival!$C$3:$T$3,0))+INDEX(Data_Sales!$C$5:$C$65,MATCH($A58,Data_Sales!$A$5:$A$65,0))*INDEX(Survival!$C$55:$T$100,(Q$4-$A58)+1,MATCH(Q$4,Survival!$C$3:$T$3,0))))</f>
        <v/>
      </c>
      <c r="R58" s="27">
        <f>IF(R$4&lt;$A58,"",IF((R$4-$A58)&gt;45,0,INDEX(Data_Sales!$B$5:$B$65,MATCH($A58,Data_Sales!$A$5:$A$65,0))*INDEX(Survival!$C$6:$T$51,(R$4-$A58)+1,MATCH(R$4,Survival!$C$3:$T$3,0))+INDEX(Data_Sales!$C$5:$C$65,MATCH($A58,Data_Sales!$A$5:$A$65,0))*INDEX(Survival!$C$55:$T$100,(R$4-$A58)+1,MATCH(R$4,Survival!$C$3:$T$3,0))))</f>
        <v/>
      </c>
      <c r="S58" s="27">
        <f>IF(S$4&lt;$A58,"",IF((S$4-$A58)&gt;45,0,INDEX(Data_Sales!$B$5:$B$65,MATCH($A58,Data_Sales!$A$5:$A$65,0))*INDEX(Survival!$C$6:$T$51,(S$4-$A58)+1,MATCH(S$4,Survival!$C$3:$T$3,0))+INDEX(Data_Sales!$C$5:$C$65,MATCH($A58,Data_Sales!$A$5:$A$65,0))*INDEX(Survival!$C$55:$T$100,(S$4-$A58)+1,MATCH(S$4,Survival!$C$3:$T$3,0))))</f>
        <v/>
      </c>
      <c r="T58" s="27">
        <f>IF(T$4&lt;$A58,"",IF((T$4-$A58)&gt;45,0,INDEX(Data_Sales!$B$5:$B$65,MATCH($A58,Data_Sales!$A$5:$A$65,0))*INDEX(Survival!$C$6:$T$51,(T$4-$A58)+1,MATCH(T$4,Survival!$C$3:$T$3,0))+INDEX(Data_Sales!$C$5:$C$65,MATCH($A58,Data_Sales!$A$5:$A$65,0))*INDEX(Survival!$C$55:$T$100,(T$4-$A58)+1,MATCH(T$4,Survival!$C$3:$T$3,0))))</f>
        <v/>
      </c>
    </row>
    <row r="59">
      <c r="A59" s="9" t="n">
        <v>2023</v>
      </c>
      <c r="C59" s="27">
        <f>IF(C$4&lt;$A59,"",IF((C$4-$A59)&gt;45,0,INDEX(Data_Sales!$B$5:$B$65,MATCH($A59,Data_Sales!$A$5:$A$65,0))*INDEX(Survival!$C$6:$T$51,(C$4-$A59)+1,MATCH(C$4,Survival!$C$3:$T$3,0))+INDEX(Data_Sales!$C$5:$C$65,MATCH($A59,Data_Sales!$A$5:$A$65,0))*INDEX(Survival!$C$55:$T$100,(C$4-$A59)+1,MATCH(C$4,Survival!$C$3:$T$3,0))))</f>
        <v/>
      </c>
      <c r="D59" s="27">
        <f>IF(D$4&lt;$A59,"",IF((D$4-$A59)&gt;45,0,INDEX(Data_Sales!$B$5:$B$65,MATCH($A59,Data_Sales!$A$5:$A$65,0))*INDEX(Survival!$C$6:$T$51,(D$4-$A59)+1,MATCH(D$4,Survival!$C$3:$T$3,0))+INDEX(Data_Sales!$C$5:$C$65,MATCH($A59,Data_Sales!$A$5:$A$65,0))*INDEX(Survival!$C$55:$T$100,(D$4-$A59)+1,MATCH(D$4,Survival!$C$3:$T$3,0))))</f>
        <v/>
      </c>
      <c r="E59" s="27">
        <f>IF(E$4&lt;$A59,"",IF((E$4-$A59)&gt;45,0,INDEX(Data_Sales!$B$5:$B$65,MATCH($A59,Data_Sales!$A$5:$A$65,0))*INDEX(Survival!$C$6:$T$51,(E$4-$A59)+1,MATCH(E$4,Survival!$C$3:$T$3,0))+INDEX(Data_Sales!$C$5:$C$65,MATCH($A59,Data_Sales!$A$5:$A$65,0))*INDEX(Survival!$C$55:$T$100,(E$4-$A59)+1,MATCH(E$4,Survival!$C$3:$T$3,0))))</f>
        <v/>
      </c>
      <c r="F59" s="27">
        <f>IF(F$4&lt;$A59,"",IF((F$4-$A59)&gt;45,0,INDEX(Data_Sales!$B$5:$B$65,MATCH($A59,Data_Sales!$A$5:$A$65,0))*INDEX(Survival!$C$6:$T$51,(F$4-$A59)+1,MATCH(F$4,Survival!$C$3:$T$3,0))+INDEX(Data_Sales!$C$5:$C$65,MATCH($A59,Data_Sales!$A$5:$A$65,0))*INDEX(Survival!$C$55:$T$100,(F$4-$A59)+1,MATCH(F$4,Survival!$C$3:$T$3,0))))</f>
        <v/>
      </c>
      <c r="G59" s="27">
        <f>IF(G$4&lt;$A59,"",IF((G$4-$A59)&gt;45,0,INDEX(Data_Sales!$B$5:$B$65,MATCH($A59,Data_Sales!$A$5:$A$65,0))*INDEX(Survival!$C$6:$T$51,(G$4-$A59)+1,MATCH(G$4,Survival!$C$3:$T$3,0))+INDEX(Data_Sales!$C$5:$C$65,MATCH($A59,Data_Sales!$A$5:$A$65,0))*INDEX(Survival!$C$55:$T$100,(G$4-$A59)+1,MATCH(G$4,Survival!$C$3:$T$3,0))))</f>
        <v/>
      </c>
      <c r="H59" s="27">
        <f>IF(H$4&lt;$A59,"",IF((H$4-$A59)&gt;45,0,INDEX(Data_Sales!$B$5:$B$65,MATCH($A59,Data_Sales!$A$5:$A$65,0))*INDEX(Survival!$C$6:$T$51,(H$4-$A59)+1,MATCH(H$4,Survival!$C$3:$T$3,0))+INDEX(Data_Sales!$C$5:$C$65,MATCH($A59,Data_Sales!$A$5:$A$65,0))*INDEX(Survival!$C$55:$T$100,(H$4-$A59)+1,MATCH(H$4,Survival!$C$3:$T$3,0))))</f>
        <v/>
      </c>
      <c r="I59" s="27">
        <f>IF(I$4&lt;$A59,"",IF((I$4-$A59)&gt;45,0,INDEX(Data_Sales!$B$5:$B$65,MATCH($A59,Data_Sales!$A$5:$A$65,0))*INDEX(Survival!$C$6:$T$51,(I$4-$A59)+1,MATCH(I$4,Survival!$C$3:$T$3,0))+INDEX(Data_Sales!$C$5:$C$65,MATCH($A59,Data_Sales!$A$5:$A$65,0))*INDEX(Survival!$C$55:$T$100,(I$4-$A59)+1,MATCH(I$4,Survival!$C$3:$T$3,0))))</f>
        <v/>
      </c>
      <c r="J59" s="27">
        <f>IF(J$4&lt;$A59,"",IF((J$4-$A59)&gt;45,0,INDEX(Data_Sales!$B$5:$B$65,MATCH($A59,Data_Sales!$A$5:$A$65,0))*INDEX(Survival!$C$6:$T$51,(J$4-$A59)+1,MATCH(J$4,Survival!$C$3:$T$3,0))+INDEX(Data_Sales!$C$5:$C$65,MATCH($A59,Data_Sales!$A$5:$A$65,0))*INDEX(Survival!$C$55:$T$100,(J$4-$A59)+1,MATCH(J$4,Survival!$C$3:$T$3,0))))</f>
        <v/>
      </c>
      <c r="K59" s="27">
        <f>IF(K$4&lt;$A59,"",IF((K$4-$A59)&gt;45,0,INDEX(Data_Sales!$B$5:$B$65,MATCH($A59,Data_Sales!$A$5:$A$65,0))*INDEX(Survival!$C$6:$T$51,(K$4-$A59)+1,MATCH(K$4,Survival!$C$3:$T$3,0))+INDEX(Data_Sales!$C$5:$C$65,MATCH($A59,Data_Sales!$A$5:$A$65,0))*INDEX(Survival!$C$55:$T$100,(K$4-$A59)+1,MATCH(K$4,Survival!$C$3:$T$3,0))))</f>
        <v/>
      </c>
      <c r="L59" s="27">
        <f>IF(L$4&lt;$A59,"",IF((L$4-$A59)&gt;45,0,INDEX(Data_Sales!$B$5:$B$65,MATCH($A59,Data_Sales!$A$5:$A$65,0))*INDEX(Survival!$C$6:$T$51,(L$4-$A59)+1,MATCH(L$4,Survival!$C$3:$T$3,0))+INDEX(Data_Sales!$C$5:$C$65,MATCH($A59,Data_Sales!$A$5:$A$65,0))*INDEX(Survival!$C$55:$T$100,(L$4-$A59)+1,MATCH(L$4,Survival!$C$3:$T$3,0))))</f>
        <v/>
      </c>
      <c r="M59" s="27">
        <f>IF(M$4&lt;$A59,"",IF((M$4-$A59)&gt;45,0,INDEX(Data_Sales!$B$5:$B$65,MATCH($A59,Data_Sales!$A$5:$A$65,0))*INDEX(Survival!$C$6:$T$51,(M$4-$A59)+1,MATCH(M$4,Survival!$C$3:$T$3,0))+INDEX(Data_Sales!$C$5:$C$65,MATCH($A59,Data_Sales!$A$5:$A$65,0))*INDEX(Survival!$C$55:$T$100,(M$4-$A59)+1,MATCH(M$4,Survival!$C$3:$T$3,0))))</f>
        <v/>
      </c>
      <c r="N59" s="27">
        <f>IF(N$4&lt;$A59,"",IF((N$4-$A59)&gt;45,0,INDEX(Data_Sales!$B$5:$B$65,MATCH($A59,Data_Sales!$A$5:$A$65,0))*INDEX(Survival!$C$6:$T$51,(N$4-$A59)+1,MATCH(N$4,Survival!$C$3:$T$3,0))+INDEX(Data_Sales!$C$5:$C$65,MATCH($A59,Data_Sales!$A$5:$A$65,0))*INDEX(Survival!$C$55:$T$100,(N$4-$A59)+1,MATCH(N$4,Survival!$C$3:$T$3,0))))</f>
        <v/>
      </c>
      <c r="O59" s="27">
        <f>IF(O$4&lt;$A59,"",IF((O$4-$A59)&gt;45,0,INDEX(Data_Sales!$B$5:$B$65,MATCH($A59,Data_Sales!$A$5:$A$65,0))*INDEX(Survival!$C$6:$T$51,(O$4-$A59)+1,MATCH(O$4,Survival!$C$3:$T$3,0))+INDEX(Data_Sales!$C$5:$C$65,MATCH($A59,Data_Sales!$A$5:$A$65,0))*INDEX(Survival!$C$55:$T$100,(O$4-$A59)+1,MATCH(O$4,Survival!$C$3:$T$3,0))))</f>
        <v/>
      </c>
      <c r="P59" s="27">
        <f>IF(P$4&lt;$A59,"",IF((P$4-$A59)&gt;45,0,INDEX(Data_Sales!$B$5:$B$65,MATCH($A59,Data_Sales!$A$5:$A$65,0))*INDEX(Survival!$C$6:$T$51,(P$4-$A59)+1,MATCH(P$4,Survival!$C$3:$T$3,0))+INDEX(Data_Sales!$C$5:$C$65,MATCH($A59,Data_Sales!$A$5:$A$65,0))*INDEX(Survival!$C$55:$T$100,(P$4-$A59)+1,MATCH(P$4,Survival!$C$3:$T$3,0))))</f>
        <v/>
      </c>
      <c r="Q59" s="27">
        <f>IF(Q$4&lt;$A59,"",IF((Q$4-$A59)&gt;45,0,INDEX(Data_Sales!$B$5:$B$65,MATCH($A59,Data_Sales!$A$5:$A$65,0))*INDEX(Survival!$C$6:$T$51,(Q$4-$A59)+1,MATCH(Q$4,Survival!$C$3:$T$3,0))+INDEX(Data_Sales!$C$5:$C$65,MATCH($A59,Data_Sales!$A$5:$A$65,0))*INDEX(Survival!$C$55:$T$100,(Q$4-$A59)+1,MATCH(Q$4,Survival!$C$3:$T$3,0))))</f>
        <v/>
      </c>
      <c r="R59" s="27">
        <f>IF(R$4&lt;$A59,"",IF((R$4-$A59)&gt;45,0,INDEX(Data_Sales!$B$5:$B$65,MATCH($A59,Data_Sales!$A$5:$A$65,0))*INDEX(Survival!$C$6:$T$51,(R$4-$A59)+1,MATCH(R$4,Survival!$C$3:$T$3,0))+INDEX(Data_Sales!$C$5:$C$65,MATCH($A59,Data_Sales!$A$5:$A$65,0))*INDEX(Survival!$C$55:$T$100,(R$4-$A59)+1,MATCH(R$4,Survival!$C$3:$T$3,0))))</f>
        <v/>
      </c>
      <c r="S59" s="27">
        <f>IF(S$4&lt;$A59,"",IF((S$4-$A59)&gt;45,0,INDEX(Data_Sales!$B$5:$B$65,MATCH($A59,Data_Sales!$A$5:$A$65,0))*INDEX(Survival!$C$6:$T$51,(S$4-$A59)+1,MATCH(S$4,Survival!$C$3:$T$3,0))+INDEX(Data_Sales!$C$5:$C$65,MATCH($A59,Data_Sales!$A$5:$A$65,0))*INDEX(Survival!$C$55:$T$100,(S$4-$A59)+1,MATCH(S$4,Survival!$C$3:$T$3,0))))</f>
        <v/>
      </c>
      <c r="T59" s="27">
        <f>IF(T$4&lt;$A59,"",IF((T$4-$A59)&gt;45,0,INDEX(Data_Sales!$B$5:$B$65,MATCH($A59,Data_Sales!$A$5:$A$65,0))*INDEX(Survival!$C$6:$T$51,(T$4-$A59)+1,MATCH(T$4,Survival!$C$3:$T$3,0))+INDEX(Data_Sales!$C$5:$C$65,MATCH($A59,Data_Sales!$A$5:$A$65,0))*INDEX(Survival!$C$55:$T$100,(T$4-$A59)+1,MATCH(T$4,Survival!$C$3:$T$3,0))))</f>
        <v/>
      </c>
    </row>
    <row r="60">
      <c r="A60" s="9" t="n">
        <v>2024</v>
      </c>
      <c r="C60" s="27">
        <f>IF(C$4&lt;$A60,"",IF((C$4-$A60)&gt;45,0,INDEX(Data_Sales!$B$5:$B$65,MATCH($A60,Data_Sales!$A$5:$A$65,0))*INDEX(Survival!$C$6:$T$51,(C$4-$A60)+1,MATCH(C$4,Survival!$C$3:$T$3,0))+INDEX(Data_Sales!$C$5:$C$65,MATCH($A60,Data_Sales!$A$5:$A$65,0))*INDEX(Survival!$C$55:$T$100,(C$4-$A60)+1,MATCH(C$4,Survival!$C$3:$T$3,0))))</f>
        <v/>
      </c>
      <c r="D60" s="27">
        <f>IF(D$4&lt;$A60,"",IF((D$4-$A60)&gt;45,0,INDEX(Data_Sales!$B$5:$B$65,MATCH($A60,Data_Sales!$A$5:$A$65,0))*INDEX(Survival!$C$6:$T$51,(D$4-$A60)+1,MATCH(D$4,Survival!$C$3:$T$3,0))+INDEX(Data_Sales!$C$5:$C$65,MATCH($A60,Data_Sales!$A$5:$A$65,0))*INDEX(Survival!$C$55:$T$100,(D$4-$A60)+1,MATCH(D$4,Survival!$C$3:$T$3,0))))</f>
        <v/>
      </c>
      <c r="E60" s="27">
        <f>IF(E$4&lt;$A60,"",IF((E$4-$A60)&gt;45,0,INDEX(Data_Sales!$B$5:$B$65,MATCH($A60,Data_Sales!$A$5:$A$65,0))*INDEX(Survival!$C$6:$T$51,(E$4-$A60)+1,MATCH(E$4,Survival!$C$3:$T$3,0))+INDEX(Data_Sales!$C$5:$C$65,MATCH($A60,Data_Sales!$A$5:$A$65,0))*INDEX(Survival!$C$55:$T$100,(E$4-$A60)+1,MATCH(E$4,Survival!$C$3:$T$3,0))))</f>
        <v/>
      </c>
      <c r="F60" s="27">
        <f>IF(F$4&lt;$A60,"",IF((F$4-$A60)&gt;45,0,INDEX(Data_Sales!$B$5:$B$65,MATCH($A60,Data_Sales!$A$5:$A$65,0))*INDEX(Survival!$C$6:$T$51,(F$4-$A60)+1,MATCH(F$4,Survival!$C$3:$T$3,0))+INDEX(Data_Sales!$C$5:$C$65,MATCH($A60,Data_Sales!$A$5:$A$65,0))*INDEX(Survival!$C$55:$T$100,(F$4-$A60)+1,MATCH(F$4,Survival!$C$3:$T$3,0))))</f>
        <v/>
      </c>
      <c r="G60" s="27">
        <f>IF(G$4&lt;$A60,"",IF((G$4-$A60)&gt;45,0,INDEX(Data_Sales!$B$5:$B$65,MATCH($A60,Data_Sales!$A$5:$A$65,0))*INDEX(Survival!$C$6:$T$51,(G$4-$A60)+1,MATCH(G$4,Survival!$C$3:$T$3,0))+INDEX(Data_Sales!$C$5:$C$65,MATCH($A60,Data_Sales!$A$5:$A$65,0))*INDEX(Survival!$C$55:$T$100,(G$4-$A60)+1,MATCH(G$4,Survival!$C$3:$T$3,0))))</f>
        <v/>
      </c>
      <c r="H60" s="27">
        <f>IF(H$4&lt;$A60,"",IF((H$4-$A60)&gt;45,0,INDEX(Data_Sales!$B$5:$B$65,MATCH($A60,Data_Sales!$A$5:$A$65,0))*INDEX(Survival!$C$6:$T$51,(H$4-$A60)+1,MATCH(H$4,Survival!$C$3:$T$3,0))+INDEX(Data_Sales!$C$5:$C$65,MATCH($A60,Data_Sales!$A$5:$A$65,0))*INDEX(Survival!$C$55:$T$100,(H$4-$A60)+1,MATCH(H$4,Survival!$C$3:$T$3,0))))</f>
        <v/>
      </c>
      <c r="I60" s="27">
        <f>IF(I$4&lt;$A60,"",IF((I$4-$A60)&gt;45,0,INDEX(Data_Sales!$B$5:$B$65,MATCH($A60,Data_Sales!$A$5:$A$65,0))*INDEX(Survival!$C$6:$T$51,(I$4-$A60)+1,MATCH(I$4,Survival!$C$3:$T$3,0))+INDEX(Data_Sales!$C$5:$C$65,MATCH($A60,Data_Sales!$A$5:$A$65,0))*INDEX(Survival!$C$55:$T$100,(I$4-$A60)+1,MATCH(I$4,Survival!$C$3:$T$3,0))))</f>
        <v/>
      </c>
      <c r="J60" s="27">
        <f>IF(J$4&lt;$A60,"",IF((J$4-$A60)&gt;45,0,INDEX(Data_Sales!$B$5:$B$65,MATCH($A60,Data_Sales!$A$5:$A$65,0))*INDEX(Survival!$C$6:$T$51,(J$4-$A60)+1,MATCH(J$4,Survival!$C$3:$T$3,0))+INDEX(Data_Sales!$C$5:$C$65,MATCH($A60,Data_Sales!$A$5:$A$65,0))*INDEX(Survival!$C$55:$T$100,(J$4-$A60)+1,MATCH(J$4,Survival!$C$3:$T$3,0))))</f>
        <v/>
      </c>
      <c r="K60" s="27">
        <f>IF(K$4&lt;$A60,"",IF((K$4-$A60)&gt;45,0,INDEX(Data_Sales!$B$5:$B$65,MATCH($A60,Data_Sales!$A$5:$A$65,0))*INDEX(Survival!$C$6:$T$51,(K$4-$A60)+1,MATCH(K$4,Survival!$C$3:$T$3,0))+INDEX(Data_Sales!$C$5:$C$65,MATCH($A60,Data_Sales!$A$5:$A$65,0))*INDEX(Survival!$C$55:$T$100,(K$4-$A60)+1,MATCH(K$4,Survival!$C$3:$T$3,0))))</f>
        <v/>
      </c>
      <c r="L60" s="27">
        <f>IF(L$4&lt;$A60,"",IF((L$4-$A60)&gt;45,0,INDEX(Data_Sales!$B$5:$B$65,MATCH($A60,Data_Sales!$A$5:$A$65,0))*INDEX(Survival!$C$6:$T$51,(L$4-$A60)+1,MATCH(L$4,Survival!$C$3:$T$3,0))+INDEX(Data_Sales!$C$5:$C$65,MATCH($A60,Data_Sales!$A$5:$A$65,0))*INDEX(Survival!$C$55:$T$100,(L$4-$A60)+1,MATCH(L$4,Survival!$C$3:$T$3,0))))</f>
        <v/>
      </c>
      <c r="M60" s="27">
        <f>IF(M$4&lt;$A60,"",IF((M$4-$A60)&gt;45,0,INDEX(Data_Sales!$B$5:$B$65,MATCH($A60,Data_Sales!$A$5:$A$65,0))*INDEX(Survival!$C$6:$T$51,(M$4-$A60)+1,MATCH(M$4,Survival!$C$3:$T$3,0))+INDEX(Data_Sales!$C$5:$C$65,MATCH($A60,Data_Sales!$A$5:$A$65,0))*INDEX(Survival!$C$55:$T$100,(M$4-$A60)+1,MATCH(M$4,Survival!$C$3:$T$3,0))))</f>
        <v/>
      </c>
      <c r="N60" s="27">
        <f>IF(N$4&lt;$A60,"",IF((N$4-$A60)&gt;45,0,INDEX(Data_Sales!$B$5:$B$65,MATCH($A60,Data_Sales!$A$5:$A$65,0))*INDEX(Survival!$C$6:$T$51,(N$4-$A60)+1,MATCH(N$4,Survival!$C$3:$T$3,0))+INDEX(Data_Sales!$C$5:$C$65,MATCH($A60,Data_Sales!$A$5:$A$65,0))*INDEX(Survival!$C$55:$T$100,(N$4-$A60)+1,MATCH(N$4,Survival!$C$3:$T$3,0))))</f>
        <v/>
      </c>
      <c r="O60" s="27">
        <f>IF(O$4&lt;$A60,"",IF((O$4-$A60)&gt;45,0,INDEX(Data_Sales!$B$5:$B$65,MATCH($A60,Data_Sales!$A$5:$A$65,0))*INDEX(Survival!$C$6:$T$51,(O$4-$A60)+1,MATCH(O$4,Survival!$C$3:$T$3,0))+INDEX(Data_Sales!$C$5:$C$65,MATCH($A60,Data_Sales!$A$5:$A$65,0))*INDEX(Survival!$C$55:$T$100,(O$4-$A60)+1,MATCH(O$4,Survival!$C$3:$T$3,0))))</f>
        <v/>
      </c>
      <c r="P60" s="27">
        <f>IF(P$4&lt;$A60,"",IF((P$4-$A60)&gt;45,0,INDEX(Data_Sales!$B$5:$B$65,MATCH($A60,Data_Sales!$A$5:$A$65,0))*INDEX(Survival!$C$6:$T$51,(P$4-$A60)+1,MATCH(P$4,Survival!$C$3:$T$3,0))+INDEX(Data_Sales!$C$5:$C$65,MATCH($A60,Data_Sales!$A$5:$A$65,0))*INDEX(Survival!$C$55:$T$100,(P$4-$A60)+1,MATCH(P$4,Survival!$C$3:$T$3,0))))</f>
        <v/>
      </c>
      <c r="Q60" s="27">
        <f>IF(Q$4&lt;$A60,"",IF((Q$4-$A60)&gt;45,0,INDEX(Data_Sales!$B$5:$B$65,MATCH($A60,Data_Sales!$A$5:$A$65,0))*INDEX(Survival!$C$6:$T$51,(Q$4-$A60)+1,MATCH(Q$4,Survival!$C$3:$T$3,0))+INDEX(Data_Sales!$C$5:$C$65,MATCH($A60,Data_Sales!$A$5:$A$65,0))*INDEX(Survival!$C$55:$T$100,(Q$4-$A60)+1,MATCH(Q$4,Survival!$C$3:$T$3,0))))</f>
        <v/>
      </c>
      <c r="R60" s="27">
        <f>IF(R$4&lt;$A60,"",IF((R$4-$A60)&gt;45,0,INDEX(Data_Sales!$B$5:$B$65,MATCH($A60,Data_Sales!$A$5:$A$65,0))*INDEX(Survival!$C$6:$T$51,(R$4-$A60)+1,MATCH(R$4,Survival!$C$3:$T$3,0))+INDEX(Data_Sales!$C$5:$C$65,MATCH($A60,Data_Sales!$A$5:$A$65,0))*INDEX(Survival!$C$55:$T$100,(R$4-$A60)+1,MATCH(R$4,Survival!$C$3:$T$3,0))))</f>
        <v/>
      </c>
      <c r="S60" s="27">
        <f>IF(S$4&lt;$A60,"",IF((S$4-$A60)&gt;45,0,INDEX(Data_Sales!$B$5:$B$65,MATCH($A60,Data_Sales!$A$5:$A$65,0))*INDEX(Survival!$C$6:$T$51,(S$4-$A60)+1,MATCH(S$4,Survival!$C$3:$T$3,0))+INDEX(Data_Sales!$C$5:$C$65,MATCH($A60,Data_Sales!$A$5:$A$65,0))*INDEX(Survival!$C$55:$T$100,(S$4-$A60)+1,MATCH(S$4,Survival!$C$3:$T$3,0))))</f>
        <v/>
      </c>
      <c r="T60" s="27">
        <f>IF(T$4&lt;$A60,"",IF((T$4-$A60)&gt;45,0,INDEX(Data_Sales!$B$5:$B$65,MATCH($A60,Data_Sales!$A$5:$A$65,0))*INDEX(Survival!$C$6:$T$51,(T$4-$A60)+1,MATCH(T$4,Survival!$C$3:$T$3,0))+INDEX(Data_Sales!$C$5:$C$65,MATCH($A60,Data_Sales!$A$5:$A$65,0))*INDEX(Survival!$C$55:$T$100,(T$4-$A60)+1,MATCH(T$4,Survival!$C$3:$T$3,0))))</f>
        <v/>
      </c>
    </row>
    <row r="61">
      <c r="A61" s="9" t="n">
        <v>2025</v>
      </c>
      <c r="C61" s="27">
        <f>IF(C$4&lt;$A61,"",IF((C$4-$A61)&gt;45,0,INDEX(Data_Sales!$B$5:$B$65,MATCH($A61,Data_Sales!$A$5:$A$65,0))*INDEX(Survival!$C$6:$T$51,(C$4-$A61)+1,MATCH(C$4,Survival!$C$3:$T$3,0))+INDEX(Data_Sales!$C$5:$C$65,MATCH($A61,Data_Sales!$A$5:$A$65,0))*INDEX(Survival!$C$55:$T$100,(C$4-$A61)+1,MATCH(C$4,Survival!$C$3:$T$3,0))))</f>
        <v/>
      </c>
      <c r="D61" s="27">
        <f>IF(D$4&lt;$A61,"",IF((D$4-$A61)&gt;45,0,INDEX(Data_Sales!$B$5:$B$65,MATCH($A61,Data_Sales!$A$5:$A$65,0))*INDEX(Survival!$C$6:$T$51,(D$4-$A61)+1,MATCH(D$4,Survival!$C$3:$T$3,0))+INDEX(Data_Sales!$C$5:$C$65,MATCH($A61,Data_Sales!$A$5:$A$65,0))*INDEX(Survival!$C$55:$T$100,(D$4-$A61)+1,MATCH(D$4,Survival!$C$3:$T$3,0))))</f>
        <v/>
      </c>
      <c r="E61" s="27">
        <f>IF(E$4&lt;$A61,"",IF((E$4-$A61)&gt;45,0,INDEX(Data_Sales!$B$5:$B$65,MATCH($A61,Data_Sales!$A$5:$A$65,0))*INDEX(Survival!$C$6:$T$51,(E$4-$A61)+1,MATCH(E$4,Survival!$C$3:$T$3,0))+INDEX(Data_Sales!$C$5:$C$65,MATCH($A61,Data_Sales!$A$5:$A$65,0))*INDEX(Survival!$C$55:$T$100,(E$4-$A61)+1,MATCH(E$4,Survival!$C$3:$T$3,0))))</f>
        <v/>
      </c>
      <c r="F61" s="27">
        <f>IF(F$4&lt;$A61,"",IF((F$4-$A61)&gt;45,0,INDEX(Data_Sales!$B$5:$B$65,MATCH($A61,Data_Sales!$A$5:$A$65,0))*INDEX(Survival!$C$6:$T$51,(F$4-$A61)+1,MATCH(F$4,Survival!$C$3:$T$3,0))+INDEX(Data_Sales!$C$5:$C$65,MATCH($A61,Data_Sales!$A$5:$A$65,0))*INDEX(Survival!$C$55:$T$100,(F$4-$A61)+1,MATCH(F$4,Survival!$C$3:$T$3,0))))</f>
        <v/>
      </c>
      <c r="G61" s="27">
        <f>IF(G$4&lt;$A61,"",IF((G$4-$A61)&gt;45,0,INDEX(Data_Sales!$B$5:$B$65,MATCH($A61,Data_Sales!$A$5:$A$65,0))*INDEX(Survival!$C$6:$T$51,(G$4-$A61)+1,MATCH(G$4,Survival!$C$3:$T$3,0))+INDEX(Data_Sales!$C$5:$C$65,MATCH($A61,Data_Sales!$A$5:$A$65,0))*INDEX(Survival!$C$55:$T$100,(G$4-$A61)+1,MATCH(G$4,Survival!$C$3:$T$3,0))))</f>
        <v/>
      </c>
      <c r="H61" s="27">
        <f>IF(H$4&lt;$A61,"",IF((H$4-$A61)&gt;45,0,INDEX(Data_Sales!$B$5:$B$65,MATCH($A61,Data_Sales!$A$5:$A$65,0))*INDEX(Survival!$C$6:$T$51,(H$4-$A61)+1,MATCH(H$4,Survival!$C$3:$T$3,0))+INDEX(Data_Sales!$C$5:$C$65,MATCH($A61,Data_Sales!$A$5:$A$65,0))*INDEX(Survival!$C$55:$T$100,(H$4-$A61)+1,MATCH(H$4,Survival!$C$3:$T$3,0))))</f>
        <v/>
      </c>
      <c r="I61" s="27">
        <f>IF(I$4&lt;$A61,"",IF((I$4-$A61)&gt;45,0,INDEX(Data_Sales!$B$5:$B$65,MATCH($A61,Data_Sales!$A$5:$A$65,0))*INDEX(Survival!$C$6:$T$51,(I$4-$A61)+1,MATCH(I$4,Survival!$C$3:$T$3,0))+INDEX(Data_Sales!$C$5:$C$65,MATCH($A61,Data_Sales!$A$5:$A$65,0))*INDEX(Survival!$C$55:$T$100,(I$4-$A61)+1,MATCH(I$4,Survival!$C$3:$T$3,0))))</f>
        <v/>
      </c>
      <c r="J61" s="27">
        <f>IF(J$4&lt;$A61,"",IF((J$4-$A61)&gt;45,0,INDEX(Data_Sales!$B$5:$B$65,MATCH($A61,Data_Sales!$A$5:$A$65,0))*INDEX(Survival!$C$6:$T$51,(J$4-$A61)+1,MATCH(J$4,Survival!$C$3:$T$3,0))+INDEX(Data_Sales!$C$5:$C$65,MATCH($A61,Data_Sales!$A$5:$A$65,0))*INDEX(Survival!$C$55:$T$100,(J$4-$A61)+1,MATCH(J$4,Survival!$C$3:$T$3,0))))</f>
        <v/>
      </c>
      <c r="K61" s="27">
        <f>IF(K$4&lt;$A61,"",IF((K$4-$A61)&gt;45,0,INDEX(Data_Sales!$B$5:$B$65,MATCH($A61,Data_Sales!$A$5:$A$65,0))*INDEX(Survival!$C$6:$T$51,(K$4-$A61)+1,MATCH(K$4,Survival!$C$3:$T$3,0))+INDEX(Data_Sales!$C$5:$C$65,MATCH($A61,Data_Sales!$A$5:$A$65,0))*INDEX(Survival!$C$55:$T$100,(K$4-$A61)+1,MATCH(K$4,Survival!$C$3:$T$3,0))))</f>
        <v/>
      </c>
      <c r="L61" s="27">
        <f>IF(L$4&lt;$A61,"",IF((L$4-$A61)&gt;45,0,INDEX(Data_Sales!$B$5:$B$65,MATCH($A61,Data_Sales!$A$5:$A$65,0))*INDEX(Survival!$C$6:$T$51,(L$4-$A61)+1,MATCH(L$4,Survival!$C$3:$T$3,0))+INDEX(Data_Sales!$C$5:$C$65,MATCH($A61,Data_Sales!$A$5:$A$65,0))*INDEX(Survival!$C$55:$T$100,(L$4-$A61)+1,MATCH(L$4,Survival!$C$3:$T$3,0))))</f>
        <v/>
      </c>
      <c r="M61" s="27">
        <f>IF(M$4&lt;$A61,"",IF((M$4-$A61)&gt;45,0,INDEX(Data_Sales!$B$5:$B$65,MATCH($A61,Data_Sales!$A$5:$A$65,0))*INDEX(Survival!$C$6:$T$51,(M$4-$A61)+1,MATCH(M$4,Survival!$C$3:$T$3,0))+INDEX(Data_Sales!$C$5:$C$65,MATCH($A61,Data_Sales!$A$5:$A$65,0))*INDEX(Survival!$C$55:$T$100,(M$4-$A61)+1,MATCH(M$4,Survival!$C$3:$T$3,0))))</f>
        <v/>
      </c>
      <c r="N61" s="27">
        <f>IF(N$4&lt;$A61,"",IF((N$4-$A61)&gt;45,0,INDEX(Data_Sales!$B$5:$B$65,MATCH($A61,Data_Sales!$A$5:$A$65,0))*INDEX(Survival!$C$6:$T$51,(N$4-$A61)+1,MATCH(N$4,Survival!$C$3:$T$3,0))+INDEX(Data_Sales!$C$5:$C$65,MATCH($A61,Data_Sales!$A$5:$A$65,0))*INDEX(Survival!$C$55:$T$100,(N$4-$A61)+1,MATCH(N$4,Survival!$C$3:$T$3,0))))</f>
        <v/>
      </c>
      <c r="O61" s="27">
        <f>IF(O$4&lt;$A61,"",IF((O$4-$A61)&gt;45,0,INDEX(Data_Sales!$B$5:$B$65,MATCH($A61,Data_Sales!$A$5:$A$65,0))*INDEX(Survival!$C$6:$T$51,(O$4-$A61)+1,MATCH(O$4,Survival!$C$3:$T$3,0))+INDEX(Data_Sales!$C$5:$C$65,MATCH($A61,Data_Sales!$A$5:$A$65,0))*INDEX(Survival!$C$55:$T$100,(O$4-$A61)+1,MATCH(O$4,Survival!$C$3:$T$3,0))))</f>
        <v/>
      </c>
      <c r="P61" s="27">
        <f>IF(P$4&lt;$A61,"",IF((P$4-$A61)&gt;45,0,INDEX(Data_Sales!$B$5:$B$65,MATCH($A61,Data_Sales!$A$5:$A$65,0))*INDEX(Survival!$C$6:$T$51,(P$4-$A61)+1,MATCH(P$4,Survival!$C$3:$T$3,0))+INDEX(Data_Sales!$C$5:$C$65,MATCH($A61,Data_Sales!$A$5:$A$65,0))*INDEX(Survival!$C$55:$T$100,(P$4-$A61)+1,MATCH(P$4,Survival!$C$3:$T$3,0))))</f>
        <v/>
      </c>
      <c r="Q61" s="27">
        <f>IF(Q$4&lt;$A61,"",IF((Q$4-$A61)&gt;45,0,INDEX(Data_Sales!$B$5:$B$65,MATCH($A61,Data_Sales!$A$5:$A$65,0))*INDEX(Survival!$C$6:$T$51,(Q$4-$A61)+1,MATCH(Q$4,Survival!$C$3:$T$3,0))+INDEX(Data_Sales!$C$5:$C$65,MATCH($A61,Data_Sales!$A$5:$A$65,0))*INDEX(Survival!$C$55:$T$100,(Q$4-$A61)+1,MATCH(Q$4,Survival!$C$3:$T$3,0))))</f>
        <v/>
      </c>
      <c r="R61" s="27">
        <f>IF(R$4&lt;$A61,"",IF((R$4-$A61)&gt;45,0,INDEX(Data_Sales!$B$5:$B$65,MATCH($A61,Data_Sales!$A$5:$A$65,0))*INDEX(Survival!$C$6:$T$51,(R$4-$A61)+1,MATCH(R$4,Survival!$C$3:$T$3,0))+INDEX(Data_Sales!$C$5:$C$65,MATCH($A61,Data_Sales!$A$5:$A$65,0))*INDEX(Survival!$C$55:$T$100,(R$4-$A61)+1,MATCH(R$4,Survival!$C$3:$T$3,0))))</f>
        <v/>
      </c>
      <c r="S61" s="27">
        <f>IF(S$4&lt;$A61,"",IF((S$4-$A61)&gt;45,0,INDEX(Data_Sales!$B$5:$B$65,MATCH($A61,Data_Sales!$A$5:$A$65,0))*INDEX(Survival!$C$6:$T$51,(S$4-$A61)+1,MATCH(S$4,Survival!$C$3:$T$3,0))+INDEX(Data_Sales!$C$5:$C$65,MATCH($A61,Data_Sales!$A$5:$A$65,0))*INDEX(Survival!$C$55:$T$100,(S$4-$A61)+1,MATCH(S$4,Survival!$C$3:$T$3,0))))</f>
        <v/>
      </c>
      <c r="T61" s="27">
        <f>IF(T$4&lt;$A61,"",IF((T$4-$A61)&gt;45,0,INDEX(Data_Sales!$B$5:$B$65,MATCH($A61,Data_Sales!$A$5:$A$65,0))*INDEX(Survival!$C$6:$T$51,(T$4-$A61)+1,MATCH(T$4,Survival!$C$3:$T$3,0))+INDEX(Data_Sales!$C$5:$C$65,MATCH($A61,Data_Sales!$A$5:$A$65,0))*INDEX(Survival!$C$55:$T$100,(T$4-$A61)+1,MATCH(T$4,Survival!$C$3:$T$3,0))))</f>
        <v/>
      </c>
    </row>
    <row r="62">
      <c r="A62" s="9" t="n">
        <v>2026</v>
      </c>
      <c r="C62" s="27">
        <f>IF(C$4&lt;$A62,"",IF((C$4-$A62)&gt;45,0,INDEX(Data_Sales!$B$5:$B$65,MATCH($A62,Data_Sales!$A$5:$A$65,0))*INDEX(Survival!$C$6:$T$51,(C$4-$A62)+1,MATCH(C$4,Survival!$C$3:$T$3,0))+INDEX(Data_Sales!$C$5:$C$65,MATCH($A62,Data_Sales!$A$5:$A$65,0))*INDEX(Survival!$C$55:$T$100,(C$4-$A62)+1,MATCH(C$4,Survival!$C$3:$T$3,0))))</f>
        <v/>
      </c>
      <c r="D62" s="27">
        <f>IF(D$4&lt;$A62,"",IF((D$4-$A62)&gt;45,0,INDEX(Data_Sales!$B$5:$B$65,MATCH($A62,Data_Sales!$A$5:$A$65,0))*INDEX(Survival!$C$6:$T$51,(D$4-$A62)+1,MATCH(D$4,Survival!$C$3:$T$3,0))+INDEX(Data_Sales!$C$5:$C$65,MATCH($A62,Data_Sales!$A$5:$A$65,0))*INDEX(Survival!$C$55:$T$100,(D$4-$A62)+1,MATCH(D$4,Survival!$C$3:$T$3,0))))</f>
        <v/>
      </c>
      <c r="E62" s="27">
        <f>IF(E$4&lt;$A62,"",IF((E$4-$A62)&gt;45,0,INDEX(Data_Sales!$B$5:$B$65,MATCH($A62,Data_Sales!$A$5:$A$65,0))*INDEX(Survival!$C$6:$T$51,(E$4-$A62)+1,MATCH(E$4,Survival!$C$3:$T$3,0))+INDEX(Data_Sales!$C$5:$C$65,MATCH($A62,Data_Sales!$A$5:$A$65,0))*INDEX(Survival!$C$55:$T$100,(E$4-$A62)+1,MATCH(E$4,Survival!$C$3:$T$3,0))))</f>
        <v/>
      </c>
      <c r="F62" s="27">
        <f>IF(F$4&lt;$A62,"",IF((F$4-$A62)&gt;45,0,INDEX(Data_Sales!$B$5:$B$65,MATCH($A62,Data_Sales!$A$5:$A$65,0))*INDEX(Survival!$C$6:$T$51,(F$4-$A62)+1,MATCH(F$4,Survival!$C$3:$T$3,0))+INDEX(Data_Sales!$C$5:$C$65,MATCH($A62,Data_Sales!$A$5:$A$65,0))*INDEX(Survival!$C$55:$T$100,(F$4-$A62)+1,MATCH(F$4,Survival!$C$3:$T$3,0))))</f>
        <v/>
      </c>
      <c r="G62" s="27">
        <f>IF(G$4&lt;$A62,"",IF((G$4-$A62)&gt;45,0,INDEX(Data_Sales!$B$5:$B$65,MATCH($A62,Data_Sales!$A$5:$A$65,0))*INDEX(Survival!$C$6:$T$51,(G$4-$A62)+1,MATCH(G$4,Survival!$C$3:$T$3,0))+INDEX(Data_Sales!$C$5:$C$65,MATCH($A62,Data_Sales!$A$5:$A$65,0))*INDEX(Survival!$C$55:$T$100,(G$4-$A62)+1,MATCH(G$4,Survival!$C$3:$T$3,0))))</f>
        <v/>
      </c>
      <c r="H62" s="27">
        <f>IF(H$4&lt;$A62,"",IF((H$4-$A62)&gt;45,0,INDEX(Data_Sales!$B$5:$B$65,MATCH($A62,Data_Sales!$A$5:$A$65,0))*INDEX(Survival!$C$6:$T$51,(H$4-$A62)+1,MATCH(H$4,Survival!$C$3:$T$3,0))+INDEX(Data_Sales!$C$5:$C$65,MATCH($A62,Data_Sales!$A$5:$A$65,0))*INDEX(Survival!$C$55:$T$100,(H$4-$A62)+1,MATCH(H$4,Survival!$C$3:$T$3,0))))</f>
        <v/>
      </c>
      <c r="I62" s="27">
        <f>IF(I$4&lt;$A62,"",IF((I$4-$A62)&gt;45,0,INDEX(Data_Sales!$B$5:$B$65,MATCH($A62,Data_Sales!$A$5:$A$65,0))*INDEX(Survival!$C$6:$T$51,(I$4-$A62)+1,MATCH(I$4,Survival!$C$3:$T$3,0))+INDEX(Data_Sales!$C$5:$C$65,MATCH($A62,Data_Sales!$A$5:$A$65,0))*INDEX(Survival!$C$55:$T$100,(I$4-$A62)+1,MATCH(I$4,Survival!$C$3:$T$3,0))))</f>
        <v/>
      </c>
      <c r="J62" s="27">
        <f>IF(J$4&lt;$A62,"",IF((J$4-$A62)&gt;45,0,INDEX(Data_Sales!$B$5:$B$65,MATCH($A62,Data_Sales!$A$5:$A$65,0))*INDEX(Survival!$C$6:$T$51,(J$4-$A62)+1,MATCH(J$4,Survival!$C$3:$T$3,0))+INDEX(Data_Sales!$C$5:$C$65,MATCH($A62,Data_Sales!$A$5:$A$65,0))*INDEX(Survival!$C$55:$T$100,(J$4-$A62)+1,MATCH(J$4,Survival!$C$3:$T$3,0))))</f>
        <v/>
      </c>
      <c r="K62" s="27">
        <f>IF(K$4&lt;$A62,"",IF((K$4-$A62)&gt;45,0,INDEX(Data_Sales!$B$5:$B$65,MATCH($A62,Data_Sales!$A$5:$A$65,0))*INDEX(Survival!$C$6:$T$51,(K$4-$A62)+1,MATCH(K$4,Survival!$C$3:$T$3,0))+INDEX(Data_Sales!$C$5:$C$65,MATCH($A62,Data_Sales!$A$5:$A$65,0))*INDEX(Survival!$C$55:$T$100,(K$4-$A62)+1,MATCH(K$4,Survival!$C$3:$T$3,0))))</f>
        <v/>
      </c>
      <c r="L62" s="27">
        <f>IF(L$4&lt;$A62,"",IF((L$4-$A62)&gt;45,0,INDEX(Data_Sales!$B$5:$B$65,MATCH($A62,Data_Sales!$A$5:$A$65,0))*INDEX(Survival!$C$6:$T$51,(L$4-$A62)+1,MATCH(L$4,Survival!$C$3:$T$3,0))+INDEX(Data_Sales!$C$5:$C$65,MATCH($A62,Data_Sales!$A$5:$A$65,0))*INDEX(Survival!$C$55:$T$100,(L$4-$A62)+1,MATCH(L$4,Survival!$C$3:$T$3,0))))</f>
        <v/>
      </c>
      <c r="M62" s="27">
        <f>IF(M$4&lt;$A62,"",IF((M$4-$A62)&gt;45,0,INDEX(Data_Sales!$B$5:$B$65,MATCH($A62,Data_Sales!$A$5:$A$65,0))*INDEX(Survival!$C$6:$T$51,(M$4-$A62)+1,MATCH(M$4,Survival!$C$3:$T$3,0))+INDEX(Data_Sales!$C$5:$C$65,MATCH($A62,Data_Sales!$A$5:$A$65,0))*INDEX(Survival!$C$55:$T$100,(M$4-$A62)+1,MATCH(M$4,Survival!$C$3:$T$3,0))))</f>
        <v/>
      </c>
      <c r="N62" s="27">
        <f>IF(N$4&lt;$A62,"",IF((N$4-$A62)&gt;45,0,INDEX(Data_Sales!$B$5:$B$65,MATCH($A62,Data_Sales!$A$5:$A$65,0))*INDEX(Survival!$C$6:$T$51,(N$4-$A62)+1,MATCH(N$4,Survival!$C$3:$T$3,0))+INDEX(Data_Sales!$C$5:$C$65,MATCH($A62,Data_Sales!$A$5:$A$65,0))*INDEX(Survival!$C$55:$T$100,(N$4-$A62)+1,MATCH(N$4,Survival!$C$3:$T$3,0))))</f>
        <v/>
      </c>
      <c r="O62" s="27">
        <f>IF(O$4&lt;$A62,"",IF((O$4-$A62)&gt;45,0,INDEX(Data_Sales!$B$5:$B$65,MATCH($A62,Data_Sales!$A$5:$A$65,0))*INDEX(Survival!$C$6:$T$51,(O$4-$A62)+1,MATCH(O$4,Survival!$C$3:$T$3,0))+INDEX(Data_Sales!$C$5:$C$65,MATCH($A62,Data_Sales!$A$5:$A$65,0))*INDEX(Survival!$C$55:$T$100,(O$4-$A62)+1,MATCH(O$4,Survival!$C$3:$T$3,0))))</f>
        <v/>
      </c>
      <c r="P62" s="27">
        <f>IF(P$4&lt;$A62,"",IF((P$4-$A62)&gt;45,0,INDEX(Data_Sales!$B$5:$B$65,MATCH($A62,Data_Sales!$A$5:$A$65,0))*INDEX(Survival!$C$6:$T$51,(P$4-$A62)+1,MATCH(P$4,Survival!$C$3:$T$3,0))+INDEX(Data_Sales!$C$5:$C$65,MATCH($A62,Data_Sales!$A$5:$A$65,0))*INDEX(Survival!$C$55:$T$100,(P$4-$A62)+1,MATCH(P$4,Survival!$C$3:$T$3,0))))</f>
        <v/>
      </c>
      <c r="Q62" s="27">
        <f>IF(Q$4&lt;$A62,"",IF((Q$4-$A62)&gt;45,0,INDEX(Data_Sales!$B$5:$B$65,MATCH($A62,Data_Sales!$A$5:$A$65,0))*INDEX(Survival!$C$6:$T$51,(Q$4-$A62)+1,MATCH(Q$4,Survival!$C$3:$T$3,0))+INDEX(Data_Sales!$C$5:$C$65,MATCH($A62,Data_Sales!$A$5:$A$65,0))*INDEX(Survival!$C$55:$T$100,(Q$4-$A62)+1,MATCH(Q$4,Survival!$C$3:$T$3,0))))</f>
        <v/>
      </c>
      <c r="R62" s="27">
        <f>IF(R$4&lt;$A62,"",IF((R$4-$A62)&gt;45,0,INDEX(Data_Sales!$B$5:$B$65,MATCH($A62,Data_Sales!$A$5:$A$65,0))*INDEX(Survival!$C$6:$T$51,(R$4-$A62)+1,MATCH(R$4,Survival!$C$3:$T$3,0))+INDEX(Data_Sales!$C$5:$C$65,MATCH($A62,Data_Sales!$A$5:$A$65,0))*INDEX(Survival!$C$55:$T$100,(R$4-$A62)+1,MATCH(R$4,Survival!$C$3:$T$3,0))))</f>
        <v/>
      </c>
      <c r="S62" s="27">
        <f>IF(S$4&lt;$A62,"",IF((S$4-$A62)&gt;45,0,INDEX(Data_Sales!$B$5:$B$65,MATCH($A62,Data_Sales!$A$5:$A$65,0))*INDEX(Survival!$C$6:$T$51,(S$4-$A62)+1,MATCH(S$4,Survival!$C$3:$T$3,0))+INDEX(Data_Sales!$C$5:$C$65,MATCH($A62,Data_Sales!$A$5:$A$65,0))*INDEX(Survival!$C$55:$T$100,(S$4-$A62)+1,MATCH(S$4,Survival!$C$3:$T$3,0))))</f>
        <v/>
      </c>
      <c r="T62" s="27">
        <f>IF(T$4&lt;$A62,"",IF((T$4-$A62)&gt;45,0,INDEX(Data_Sales!$B$5:$B$65,MATCH($A62,Data_Sales!$A$5:$A$65,0))*INDEX(Survival!$C$6:$T$51,(T$4-$A62)+1,MATCH(T$4,Survival!$C$3:$T$3,0))+INDEX(Data_Sales!$C$5:$C$65,MATCH($A62,Data_Sales!$A$5:$A$65,0))*INDEX(Survival!$C$55:$T$100,(T$4-$A62)+1,MATCH(T$4,Survival!$C$3:$T$3,0))))</f>
        <v/>
      </c>
    </row>
    <row r="63">
      <c r="A63" s="9" t="n">
        <v>2027</v>
      </c>
      <c r="C63" s="27">
        <f>IF(C$4&lt;$A63,"",IF((C$4-$A63)&gt;45,0,INDEX(Data_Sales!$B$5:$B$65,MATCH($A63,Data_Sales!$A$5:$A$65,0))*INDEX(Survival!$C$6:$T$51,(C$4-$A63)+1,MATCH(C$4,Survival!$C$3:$T$3,0))+INDEX(Data_Sales!$C$5:$C$65,MATCH($A63,Data_Sales!$A$5:$A$65,0))*INDEX(Survival!$C$55:$T$100,(C$4-$A63)+1,MATCH(C$4,Survival!$C$3:$T$3,0))))</f>
        <v/>
      </c>
      <c r="D63" s="27">
        <f>IF(D$4&lt;$A63,"",IF((D$4-$A63)&gt;45,0,INDEX(Data_Sales!$B$5:$B$65,MATCH($A63,Data_Sales!$A$5:$A$65,0))*INDEX(Survival!$C$6:$T$51,(D$4-$A63)+1,MATCH(D$4,Survival!$C$3:$T$3,0))+INDEX(Data_Sales!$C$5:$C$65,MATCH($A63,Data_Sales!$A$5:$A$65,0))*INDEX(Survival!$C$55:$T$100,(D$4-$A63)+1,MATCH(D$4,Survival!$C$3:$T$3,0))))</f>
        <v/>
      </c>
      <c r="E63" s="27">
        <f>IF(E$4&lt;$A63,"",IF((E$4-$A63)&gt;45,0,INDEX(Data_Sales!$B$5:$B$65,MATCH($A63,Data_Sales!$A$5:$A$65,0))*INDEX(Survival!$C$6:$T$51,(E$4-$A63)+1,MATCH(E$4,Survival!$C$3:$T$3,0))+INDEX(Data_Sales!$C$5:$C$65,MATCH($A63,Data_Sales!$A$5:$A$65,0))*INDEX(Survival!$C$55:$T$100,(E$4-$A63)+1,MATCH(E$4,Survival!$C$3:$T$3,0))))</f>
        <v/>
      </c>
      <c r="F63" s="27">
        <f>IF(F$4&lt;$A63,"",IF((F$4-$A63)&gt;45,0,INDEX(Data_Sales!$B$5:$B$65,MATCH($A63,Data_Sales!$A$5:$A$65,0))*INDEX(Survival!$C$6:$T$51,(F$4-$A63)+1,MATCH(F$4,Survival!$C$3:$T$3,0))+INDEX(Data_Sales!$C$5:$C$65,MATCH($A63,Data_Sales!$A$5:$A$65,0))*INDEX(Survival!$C$55:$T$100,(F$4-$A63)+1,MATCH(F$4,Survival!$C$3:$T$3,0))))</f>
        <v/>
      </c>
      <c r="G63" s="27">
        <f>IF(G$4&lt;$A63,"",IF((G$4-$A63)&gt;45,0,INDEX(Data_Sales!$B$5:$B$65,MATCH($A63,Data_Sales!$A$5:$A$65,0))*INDEX(Survival!$C$6:$T$51,(G$4-$A63)+1,MATCH(G$4,Survival!$C$3:$T$3,0))+INDEX(Data_Sales!$C$5:$C$65,MATCH($A63,Data_Sales!$A$5:$A$65,0))*INDEX(Survival!$C$55:$T$100,(G$4-$A63)+1,MATCH(G$4,Survival!$C$3:$T$3,0))))</f>
        <v/>
      </c>
      <c r="H63" s="27">
        <f>IF(H$4&lt;$A63,"",IF((H$4-$A63)&gt;45,0,INDEX(Data_Sales!$B$5:$B$65,MATCH($A63,Data_Sales!$A$5:$A$65,0))*INDEX(Survival!$C$6:$T$51,(H$4-$A63)+1,MATCH(H$4,Survival!$C$3:$T$3,0))+INDEX(Data_Sales!$C$5:$C$65,MATCH($A63,Data_Sales!$A$5:$A$65,0))*INDEX(Survival!$C$55:$T$100,(H$4-$A63)+1,MATCH(H$4,Survival!$C$3:$T$3,0))))</f>
        <v/>
      </c>
      <c r="I63" s="27">
        <f>IF(I$4&lt;$A63,"",IF((I$4-$A63)&gt;45,0,INDEX(Data_Sales!$B$5:$B$65,MATCH($A63,Data_Sales!$A$5:$A$65,0))*INDEX(Survival!$C$6:$T$51,(I$4-$A63)+1,MATCH(I$4,Survival!$C$3:$T$3,0))+INDEX(Data_Sales!$C$5:$C$65,MATCH($A63,Data_Sales!$A$5:$A$65,0))*INDEX(Survival!$C$55:$T$100,(I$4-$A63)+1,MATCH(I$4,Survival!$C$3:$T$3,0))))</f>
        <v/>
      </c>
      <c r="J63" s="27">
        <f>IF(J$4&lt;$A63,"",IF((J$4-$A63)&gt;45,0,INDEX(Data_Sales!$B$5:$B$65,MATCH($A63,Data_Sales!$A$5:$A$65,0))*INDEX(Survival!$C$6:$T$51,(J$4-$A63)+1,MATCH(J$4,Survival!$C$3:$T$3,0))+INDEX(Data_Sales!$C$5:$C$65,MATCH($A63,Data_Sales!$A$5:$A$65,0))*INDEX(Survival!$C$55:$T$100,(J$4-$A63)+1,MATCH(J$4,Survival!$C$3:$T$3,0))))</f>
        <v/>
      </c>
      <c r="K63" s="27">
        <f>IF(K$4&lt;$A63,"",IF((K$4-$A63)&gt;45,0,INDEX(Data_Sales!$B$5:$B$65,MATCH($A63,Data_Sales!$A$5:$A$65,0))*INDEX(Survival!$C$6:$T$51,(K$4-$A63)+1,MATCH(K$4,Survival!$C$3:$T$3,0))+INDEX(Data_Sales!$C$5:$C$65,MATCH($A63,Data_Sales!$A$5:$A$65,0))*INDEX(Survival!$C$55:$T$100,(K$4-$A63)+1,MATCH(K$4,Survival!$C$3:$T$3,0))))</f>
        <v/>
      </c>
      <c r="L63" s="27">
        <f>IF(L$4&lt;$A63,"",IF((L$4-$A63)&gt;45,0,INDEX(Data_Sales!$B$5:$B$65,MATCH($A63,Data_Sales!$A$5:$A$65,0))*INDEX(Survival!$C$6:$T$51,(L$4-$A63)+1,MATCH(L$4,Survival!$C$3:$T$3,0))+INDEX(Data_Sales!$C$5:$C$65,MATCH($A63,Data_Sales!$A$5:$A$65,0))*INDEX(Survival!$C$55:$T$100,(L$4-$A63)+1,MATCH(L$4,Survival!$C$3:$T$3,0))))</f>
        <v/>
      </c>
      <c r="M63" s="27">
        <f>IF(M$4&lt;$A63,"",IF((M$4-$A63)&gt;45,0,INDEX(Data_Sales!$B$5:$B$65,MATCH($A63,Data_Sales!$A$5:$A$65,0))*INDEX(Survival!$C$6:$T$51,(M$4-$A63)+1,MATCH(M$4,Survival!$C$3:$T$3,0))+INDEX(Data_Sales!$C$5:$C$65,MATCH($A63,Data_Sales!$A$5:$A$65,0))*INDEX(Survival!$C$55:$T$100,(M$4-$A63)+1,MATCH(M$4,Survival!$C$3:$T$3,0))))</f>
        <v/>
      </c>
      <c r="N63" s="27">
        <f>IF(N$4&lt;$A63,"",IF((N$4-$A63)&gt;45,0,INDEX(Data_Sales!$B$5:$B$65,MATCH($A63,Data_Sales!$A$5:$A$65,0))*INDEX(Survival!$C$6:$T$51,(N$4-$A63)+1,MATCH(N$4,Survival!$C$3:$T$3,0))+INDEX(Data_Sales!$C$5:$C$65,MATCH($A63,Data_Sales!$A$5:$A$65,0))*INDEX(Survival!$C$55:$T$100,(N$4-$A63)+1,MATCH(N$4,Survival!$C$3:$T$3,0))))</f>
        <v/>
      </c>
      <c r="O63" s="27">
        <f>IF(O$4&lt;$A63,"",IF((O$4-$A63)&gt;45,0,INDEX(Data_Sales!$B$5:$B$65,MATCH($A63,Data_Sales!$A$5:$A$65,0))*INDEX(Survival!$C$6:$T$51,(O$4-$A63)+1,MATCH(O$4,Survival!$C$3:$T$3,0))+INDEX(Data_Sales!$C$5:$C$65,MATCH($A63,Data_Sales!$A$5:$A$65,0))*INDEX(Survival!$C$55:$T$100,(O$4-$A63)+1,MATCH(O$4,Survival!$C$3:$T$3,0))))</f>
        <v/>
      </c>
      <c r="P63" s="27">
        <f>IF(P$4&lt;$A63,"",IF((P$4-$A63)&gt;45,0,INDEX(Data_Sales!$B$5:$B$65,MATCH($A63,Data_Sales!$A$5:$A$65,0))*INDEX(Survival!$C$6:$T$51,(P$4-$A63)+1,MATCH(P$4,Survival!$C$3:$T$3,0))+INDEX(Data_Sales!$C$5:$C$65,MATCH($A63,Data_Sales!$A$5:$A$65,0))*INDEX(Survival!$C$55:$T$100,(P$4-$A63)+1,MATCH(P$4,Survival!$C$3:$T$3,0))))</f>
        <v/>
      </c>
      <c r="Q63" s="27">
        <f>IF(Q$4&lt;$A63,"",IF((Q$4-$A63)&gt;45,0,INDEX(Data_Sales!$B$5:$B$65,MATCH($A63,Data_Sales!$A$5:$A$65,0))*INDEX(Survival!$C$6:$T$51,(Q$4-$A63)+1,MATCH(Q$4,Survival!$C$3:$T$3,0))+INDEX(Data_Sales!$C$5:$C$65,MATCH($A63,Data_Sales!$A$5:$A$65,0))*INDEX(Survival!$C$55:$T$100,(Q$4-$A63)+1,MATCH(Q$4,Survival!$C$3:$T$3,0))))</f>
        <v/>
      </c>
      <c r="R63" s="27">
        <f>IF(R$4&lt;$A63,"",IF((R$4-$A63)&gt;45,0,INDEX(Data_Sales!$B$5:$B$65,MATCH($A63,Data_Sales!$A$5:$A$65,0))*INDEX(Survival!$C$6:$T$51,(R$4-$A63)+1,MATCH(R$4,Survival!$C$3:$T$3,0))+INDEX(Data_Sales!$C$5:$C$65,MATCH($A63,Data_Sales!$A$5:$A$65,0))*INDEX(Survival!$C$55:$T$100,(R$4-$A63)+1,MATCH(R$4,Survival!$C$3:$T$3,0))))</f>
        <v/>
      </c>
      <c r="S63" s="27">
        <f>IF(S$4&lt;$A63,"",IF((S$4-$A63)&gt;45,0,INDEX(Data_Sales!$B$5:$B$65,MATCH($A63,Data_Sales!$A$5:$A$65,0))*INDEX(Survival!$C$6:$T$51,(S$4-$A63)+1,MATCH(S$4,Survival!$C$3:$T$3,0))+INDEX(Data_Sales!$C$5:$C$65,MATCH($A63,Data_Sales!$A$5:$A$65,0))*INDEX(Survival!$C$55:$T$100,(S$4-$A63)+1,MATCH(S$4,Survival!$C$3:$T$3,0))))</f>
        <v/>
      </c>
      <c r="T63" s="27">
        <f>IF(T$4&lt;$A63,"",IF((T$4-$A63)&gt;45,0,INDEX(Data_Sales!$B$5:$B$65,MATCH($A63,Data_Sales!$A$5:$A$65,0))*INDEX(Survival!$C$6:$T$51,(T$4-$A63)+1,MATCH(T$4,Survival!$C$3:$T$3,0))+INDEX(Data_Sales!$C$5:$C$65,MATCH($A63,Data_Sales!$A$5:$A$65,0))*INDEX(Survival!$C$55:$T$100,(T$4-$A63)+1,MATCH(T$4,Survival!$C$3:$T$3,0))))</f>
        <v/>
      </c>
    </row>
    <row r="64">
      <c r="A64" s="9" t="n">
        <v>2028</v>
      </c>
      <c r="C64" s="27">
        <f>IF(C$4&lt;$A64,"",IF((C$4-$A64)&gt;45,0,INDEX(Data_Sales!$B$5:$B$65,MATCH($A64,Data_Sales!$A$5:$A$65,0))*INDEX(Survival!$C$6:$T$51,(C$4-$A64)+1,MATCH(C$4,Survival!$C$3:$T$3,0))+INDEX(Data_Sales!$C$5:$C$65,MATCH($A64,Data_Sales!$A$5:$A$65,0))*INDEX(Survival!$C$55:$T$100,(C$4-$A64)+1,MATCH(C$4,Survival!$C$3:$T$3,0))))</f>
        <v/>
      </c>
      <c r="D64" s="27">
        <f>IF(D$4&lt;$A64,"",IF((D$4-$A64)&gt;45,0,INDEX(Data_Sales!$B$5:$B$65,MATCH($A64,Data_Sales!$A$5:$A$65,0))*INDEX(Survival!$C$6:$T$51,(D$4-$A64)+1,MATCH(D$4,Survival!$C$3:$T$3,0))+INDEX(Data_Sales!$C$5:$C$65,MATCH($A64,Data_Sales!$A$5:$A$65,0))*INDEX(Survival!$C$55:$T$100,(D$4-$A64)+1,MATCH(D$4,Survival!$C$3:$T$3,0))))</f>
        <v/>
      </c>
      <c r="E64" s="27">
        <f>IF(E$4&lt;$A64,"",IF((E$4-$A64)&gt;45,0,INDEX(Data_Sales!$B$5:$B$65,MATCH($A64,Data_Sales!$A$5:$A$65,0))*INDEX(Survival!$C$6:$T$51,(E$4-$A64)+1,MATCH(E$4,Survival!$C$3:$T$3,0))+INDEX(Data_Sales!$C$5:$C$65,MATCH($A64,Data_Sales!$A$5:$A$65,0))*INDEX(Survival!$C$55:$T$100,(E$4-$A64)+1,MATCH(E$4,Survival!$C$3:$T$3,0))))</f>
        <v/>
      </c>
      <c r="F64" s="27">
        <f>IF(F$4&lt;$A64,"",IF((F$4-$A64)&gt;45,0,INDEX(Data_Sales!$B$5:$B$65,MATCH($A64,Data_Sales!$A$5:$A$65,0))*INDEX(Survival!$C$6:$T$51,(F$4-$A64)+1,MATCH(F$4,Survival!$C$3:$T$3,0))+INDEX(Data_Sales!$C$5:$C$65,MATCH($A64,Data_Sales!$A$5:$A$65,0))*INDEX(Survival!$C$55:$T$100,(F$4-$A64)+1,MATCH(F$4,Survival!$C$3:$T$3,0))))</f>
        <v/>
      </c>
      <c r="G64" s="27">
        <f>IF(G$4&lt;$A64,"",IF((G$4-$A64)&gt;45,0,INDEX(Data_Sales!$B$5:$B$65,MATCH($A64,Data_Sales!$A$5:$A$65,0))*INDEX(Survival!$C$6:$T$51,(G$4-$A64)+1,MATCH(G$4,Survival!$C$3:$T$3,0))+INDEX(Data_Sales!$C$5:$C$65,MATCH($A64,Data_Sales!$A$5:$A$65,0))*INDEX(Survival!$C$55:$T$100,(G$4-$A64)+1,MATCH(G$4,Survival!$C$3:$T$3,0))))</f>
        <v/>
      </c>
      <c r="H64" s="27">
        <f>IF(H$4&lt;$A64,"",IF((H$4-$A64)&gt;45,0,INDEX(Data_Sales!$B$5:$B$65,MATCH($A64,Data_Sales!$A$5:$A$65,0))*INDEX(Survival!$C$6:$T$51,(H$4-$A64)+1,MATCH(H$4,Survival!$C$3:$T$3,0))+INDEX(Data_Sales!$C$5:$C$65,MATCH($A64,Data_Sales!$A$5:$A$65,0))*INDEX(Survival!$C$55:$T$100,(H$4-$A64)+1,MATCH(H$4,Survival!$C$3:$T$3,0))))</f>
        <v/>
      </c>
      <c r="I64" s="27">
        <f>IF(I$4&lt;$A64,"",IF((I$4-$A64)&gt;45,0,INDEX(Data_Sales!$B$5:$B$65,MATCH($A64,Data_Sales!$A$5:$A$65,0))*INDEX(Survival!$C$6:$T$51,(I$4-$A64)+1,MATCH(I$4,Survival!$C$3:$T$3,0))+INDEX(Data_Sales!$C$5:$C$65,MATCH($A64,Data_Sales!$A$5:$A$65,0))*INDEX(Survival!$C$55:$T$100,(I$4-$A64)+1,MATCH(I$4,Survival!$C$3:$T$3,0))))</f>
        <v/>
      </c>
      <c r="J64" s="27">
        <f>IF(J$4&lt;$A64,"",IF((J$4-$A64)&gt;45,0,INDEX(Data_Sales!$B$5:$B$65,MATCH($A64,Data_Sales!$A$5:$A$65,0))*INDEX(Survival!$C$6:$T$51,(J$4-$A64)+1,MATCH(J$4,Survival!$C$3:$T$3,0))+INDEX(Data_Sales!$C$5:$C$65,MATCH($A64,Data_Sales!$A$5:$A$65,0))*INDEX(Survival!$C$55:$T$100,(J$4-$A64)+1,MATCH(J$4,Survival!$C$3:$T$3,0))))</f>
        <v/>
      </c>
      <c r="K64" s="27">
        <f>IF(K$4&lt;$A64,"",IF((K$4-$A64)&gt;45,0,INDEX(Data_Sales!$B$5:$B$65,MATCH($A64,Data_Sales!$A$5:$A$65,0))*INDEX(Survival!$C$6:$T$51,(K$4-$A64)+1,MATCH(K$4,Survival!$C$3:$T$3,0))+INDEX(Data_Sales!$C$5:$C$65,MATCH($A64,Data_Sales!$A$5:$A$65,0))*INDEX(Survival!$C$55:$T$100,(K$4-$A64)+1,MATCH(K$4,Survival!$C$3:$T$3,0))))</f>
        <v/>
      </c>
      <c r="L64" s="27">
        <f>IF(L$4&lt;$A64,"",IF((L$4-$A64)&gt;45,0,INDEX(Data_Sales!$B$5:$B$65,MATCH($A64,Data_Sales!$A$5:$A$65,0))*INDEX(Survival!$C$6:$T$51,(L$4-$A64)+1,MATCH(L$4,Survival!$C$3:$T$3,0))+INDEX(Data_Sales!$C$5:$C$65,MATCH($A64,Data_Sales!$A$5:$A$65,0))*INDEX(Survival!$C$55:$T$100,(L$4-$A64)+1,MATCH(L$4,Survival!$C$3:$T$3,0))))</f>
        <v/>
      </c>
      <c r="M64" s="27">
        <f>IF(M$4&lt;$A64,"",IF((M$4-$A64)&gt;45,0,INDEX(Data_Sales!$B$5:$B$65,MATCH($A64,Data_Sales!$A$5:$A$65,0))*INDEX(Survival!$C$6:$T$51,(M$4-$A64)+1,MATCH(M$4,Survival!$C$3:$T$3,0))+INDEX(Data_Sales!$C$5:$C$65,MATCH($A64,Data_Sales!$A$5:$A$65,0))*INDEX(Survival!$C$55:$T$100,(M$4-$A64)+1,MATCH(M$4,Survival!$C$3:$T$3,0))))</f>
        <v/>
      </c>
      <c r="N64" s="27">
        <f>IF(N$4&lt;$A64,"",IF((N$4-$A64)&gt;45,0,INDEX(Data_Sales!$B$5:$B$65,MATCH($A64,Data_Sales!$A$5:$A$65,0))*INDEX(Survival!$C$6:$T$51,(N$4-$A64)+1,MATCH(N$4,Survival!$C$3:$T$3,0))+INDEX(Data_Sales!$C$5:$C$65,MATCH($A64,Data_Sales!$A$5:$A$65,0))*INDEX(Survival!$C$55:$T$100,(N$4-$A64)+1,MATCH(N$4,Survival!$C$3:$T$3,0))))</f>
        <v/>
      </c>
      <c r="O64" s="27">
        <f>IF(O$4&lt;$A64,"",IF((O$4-$A64)&gt;45,0,INDEX(Data_Sales!$B$5:$B$65,MATCH($A64,Data_Sales!$A$5:$A$65,0))*INDEX(Survival!$C$6:$T$51,(O$4-$A64)+1,MATCH(O$4,Survival!$C$3:$T$3,0))+INDEX(Data_Sales!$C$5:$C$65,MATCH($A64,Data_Sales!$A$5:$A$65,0))*INDEX(Survival!$C$55:$T$100,(O$4-$A64)+1,MATCH(O$4,Survival!$C$3:$T$3,0))))</f>
        <v/>
      </c>
      <c r="P64" s="27">
        <f>IF(P$4&lt;$A64,"",IF((P$4-$A64)&gt;45,0,INDEX(Data_Sales!$B$5:$B$65,MATCH($A64,Data_Sales!$A$5:$A$65,0))*INDEX(Survival!$C$6:$T$51,(P$4-$A64)+1,MATCH(P$4,Survival!$C$3:$T$3,0))+INDEX(Data_Sales!$C$5:$C$65,MATCH($A64,Data_Sales!$A$5:$A$65,0))*INDEX(Survival!$C$55:$T$100,(P$4-$A64)+1,MATCH(P$4,Survival!$C$3:$T$3,0))))</f>
        <v/>
      </c>
      <c r="Q64" s="27">
        <f>IF(Q$4&lt;$A64,"",IF((Q$4-$A64)&gt;45,0,INDEX(Data_Sales!$B$5:$B$65,MATCH($A64,Data_Sales!$A$5:$A$65,0))*INDEX(Survival!$C$6:$T$51,(Q$4-$A64)+1,MATCH(Q$4,Survival!$C$3:$T$3,0))+INDEX(Data_Sales!$C$5:$C$65,MATCH($A64,Data_Sales!$A$5:$A$65,0))*INDEX(Survival!$C$55:$T$100,(Q$4-$A64)+1,MATCH(Q$4,Survival!$C$3:$T$3,0))))</f>
        <v/>
      </c>
      <c r="R64" s="27">
        <f>IF(R$4&lt;$A64,"",IF((R$4-$A64)&gt;45,0,INDEX(Data_Sales!$B$5:$B$65,MATCH($A64,Data_Sales!$A$5:$A$65,0))*INDEX(Survival!$C$6:$T$51,(R$4-$A64)+1,MATCH(R$4,Survival!$C$3:$T$3,0))+INDEX(Data_Sales!$C$5:$C$65,MATCH($A64,Data_Sales!$A$5:$A$65,0))*INDEX(Survival!$C$55:$T$100,(R$4-$A64)+1,MATCH(R$4,Survival!$C$3:$T$3,0))))</f>
        <v/>
      </c>
      <c r="S64" s="27">
        <f>IF(S$4&lt;$A64,"",IF((S$4-$A64)&gt;45,0,INDEX(Data_Sales!$B$5:$B$65,MATCH($A64,Data_Sales!$A$5:$A$65,0))*INDEX(Survival!$C$6:$T$51,(S$4-$A64)+1,MATCH(S$4,Survival!$C$3:$T$3,0))+INDEX(Data_Sales!$C$5:$C$65,MATCH($A64,Data_Sales!$A$5:$A$65,0))*INDEX(Survival!$C$55:$T$100,(S$4-$A64)+1,MATCH(S$4,Survival!$C$3:$T$3,0))))</f>
        <v/>
      </c>
      <c r="T64" s="27">
        <f>IF(T$4&lt;$A64,"",IF((T$4-$A64)&gt;45,0,INDEX(Data_Sales!$B$5:$B$65,MATCH($A64,Data_Sales!$A$5:$A$65,0))*INDEX(Survival!$C$6:$T$51,(T$4-$A64)+1,MATCH(T$4,Survival!$C$3:$T$3,0))+INDEX(Data_Sales!$C$5:$C$65,MATCH($A64,Data_Sales!$A$5:$A$65,0))*INDEX(Survival!$C$55:$T$100,(T$4-$A64)+1,MATCH(T$4,Survival!$C$3:$T$3,0))))</f>
        <v/>
      </c>
    </row>
    <row r="65">
      <c r="A65" s="9" t="n">
        <v>2029</v>
      </c>
      <c r="C65" s="27">
        <f>IF(C$4&lt;$A65,"",IF((C$4-$A65)&gt;45,0,INDEX(Data_Sales!$B$5:$B$65,MATCH($A65,Data_Sales!$A$5:$A$65,0))*INDEX(Survival!$C$6:$T$51,(C$4-$A65)+1,MATCH(C$4,Survival!$C$3:$T$3,0))+INDEX(Data_Sales!$C$5:$C$65,MATCH($A65,Data_Sales!$A$5:$A$65,0))*INDEX(Survival!$C$55:$T$100,(C$4-$A65)+1,MATCH(C$4,Survival!$C$3:$T$3,0))))</f>
        <v/>
      </c>
      <c r="D65" s="27">
        <f>IF(D$4&lt;$A65,"",IF((D$4-$A65)&gt;45,0,INDEX(Data_Sales!$B$5:$B$65,MATCH($A65,Data_Sales!$A$5:$A$65,0))*INDEX(Survival!$C$6:$T$51,(D$4-$A65)+1,MATCH(D$4,Survival!$C$3:$T$3,0))+INDEX(Data_Sales!$C$5:$C$65,MATCH($A65,Data_Sales!$A$5:$A$65,0))*INDEX(Survival!$C$55:$T$100,(D$4-$A65)+1,MATCH(D$4,Survival!$C$3:$T$3,0))))</f>
        <v/>
      </c>
      <c r="E65" s="27">
        <f>IF(E$4&lt;$A65,"",IF((E$4-$A65)&gt;45,0,INDEX(Data_Sales!$B$5:$B$65,MATCH($A65,Data_Sales!$A$5:$A$65,0))*INDEX(Survival!$C$6:$T$51,(E$4-$A65)+1,MATCH(E$4,Survival!$C$3:$T$3,0))+INDEX(Data_Sales!$C$5:$C$65,MATCH($A65,Data_Sales!$A$5:$A$65,0))*INDEX(Survival!$C$55:$T$100,(E$4-$A65)+1,MATCH(E$4,Survival!$C$3:$T$3,0))))</f>
        <v/>
      </c>
      <c r="F65" s="27">
        <f>IF(F$4&lt;$A65,"",IF((F$4-$A65)&gt;45,0,INDEX(Data_Sales!$B$5:$B$65,MATCH($A65,Data_Sales!$A$5:$A$65,0))*INDEX(Survival!$C$6:$T$51,(F$4-$A65)+1,MATCH(F$4,Survival!$C$3:$T$3,0))+INDEX(Data_Sales!$C$5:$C$65,MATCH($A65,Data_Sales!$A$5:$A$65,0))*INDEX(Survival!$C$55:$T$100,(F$4-$A65)+1,MATCH(F$4,Survival!$C$3:$T$3,0))))</f>
        <v/>
      </c>
      <c r="G65" s="27">
        <f>IF(G$4&lt;$A65,"",IF((G$4-$A65)&gt;45,0,INDEX(Data_Sales!$B$5:$B$65,MATCH($A65,Data_Sales!$A$5:$A$65,0))*INDEX(Survival!$C$6:$T$51,(G$4-$A65)+1,MATCH(G$4,Survival!$C$3:$T$3,0))+INDEX(Data_Sales!$C$5:$C$65,MATCH($A65,Data_Sales!$A$5:$A$65,0))*INDEX(Survival!$C$55:$T$100,(G$4-$A65)+1,MATCH(G$4,Survival!$C$3:$T$3,0))))</f>
        <v/>
      </c>
      <c r="H65" s="27">
        <f>IF(H$4&lt;$A65,"",IF((H$4-$A65)&gt;45,0,INDEX(Data_Sales!$B$5:$B$65,MATCH($A65,Data_Sales!$A$5:$A$65,0))*INDEX(Survival!$C$6:$T$51,(H$4-$A65)+1,MATCH(H$4,Survival!$C$3:$T$3,0))+INDEX(Data_Sales!$C$5:$C$65,MATCH($A65,Data_Sales!$A$5:$A$65,0))*INDEX(Survival!$C$55:$T$100,(H$4-$A65)+1,MATCH(H$4,Survival!$C$3:$T$3,0))))</f>
        <v/>
      </c>
      <c r="I65" s="27">
        <f>IF(I$4&lt;$A65,"",IF((I$4-$A65)&gt;45,0,INDEX(Data_Sales!$B$5:$B$65,MATCH($A65,Data_Sales!$A$5:$A$65,0))*INDEX(Survival!$C$6:$T$51,(I$4-$A65)+1,MATCH(I$4,Survival!$C$3:$T$3,0))+INDEX(Data_Sales!$C$5:$C$65,MATCH($A65,Data_Sales!$A$5:$A$65,0))*INDEX(Survival!$C$55:$T$100,(I$4-$A65)+1,MATCH(I$4,Survival!$C$3:$T$3,0))))</f>
        <v/>
      </c>
      <c r="J65" s="27">
        <f>IF(J$4&lt;$A65,"",IF((J$4-$A65)&gt;45,0,INDEX(Data_Sales!$B$5:$B$65,MATCH($A65,Data_Sales!$A$5:$A$65,0))*INDEX(Survival!$C$6:$T$51,(J$4-$A65)+1,MATCH(J$4,Survival!$C$3:$T$3,0))+INDEX(Data_Sales!$C$5:$C$65,MATCH($A65,Data_Sales!$A$5:$A$65,0))*INDEX(Survival!$C$55:$T$100,(J$4-$A65)+1,MATCH(J$4,Survival!$C$3:$T$3,0))))</f>
        <v/>
      </c>
      <c r="K65" s="27">
        <f>IF(K$4&lt;$A65,"",IF((K$4-$A65)&gt;45,0,INDEX(Data_Sales!$B$5:$B$65,MATCH($A65,Data_Sales!$A$5:$A$65,0))*INDEX(Survival!$C$6:$T$51,(K$4-$A65)+1,MATCH(K$4,Survival!$C$3:$T$3,0))+INDEX(Data_Sales!$C$5:$C$65,MATCH($A65,Data_Sales!$A$5:$A$65,0))*INDEX(Survival!$C$55:$T$100,(K$4-$A65)+1,MATCH(K$4,Survival!$C$3:$T$3,0))))</f>
        <v/>
      </c>
      <c r="L65" s="27">
        <f>IF(L$4&lt;$A65,"",IF((L$4-$A65)&gt;45,0,INDEX(Data_Sales!$B$5:$B$65,MATCH($A65,Data_Sales!$A$5:$A$65,0))*INDEX(Survival!$C$6:$T$51,(L$4-$A65)+1,MATCH(L$4,Survival!$C$3:$T$3,0))+INDEX(Data_Sales!$C$5:$C$65,MATCH($A65,Data_Sales!$A$5:$A$65,0))*INDEX(Survival!$C$55:$T$100,(L$4-$A65)+1,MATCH(L$4,Survival!$C$3:$T$3,0))))</f>
        <v/>
      </c>
      <c r="M65" s="27">
        <f>IF(M$4&lt;$A65,"",IF((M$4-$A65)&gt;45,0,INDEX(Data_Sales!$B$5:$B$65,MATCH($A65,Data_Sales!$A$5:$A$65,0))*INDEX(Survival!$C$6:$T$51,(M$4-$A65)+1,MATCH(M$4,Survival!$C$3:$T$3,0))+INDEX(Data_Sales!$C$5:$C$65,MATCH($A65,Data_Sales!$A$5:$A$65,0))*INDEX(Survival!$C$55:$T$100,(M$4-$A65)+1,MATCH(M$4,Survival!$C$3:$T$3,0))))</f>
        <v/>
      </c>
      <c r="N65" s="27">
        <f>IF(N$4&lt;$A65,"",IF((N$4-$A65)&gt;45,0,INDEX(Data_Sales!$B$5:$B$65,MATCH($A65,Data_Sales!$A$5:$A$65,0))*INDEX(Survival!$C$6:$T$51,(N$4-$A65)+1,MATCH(N$4,Survival!$C$3:$T$3,0))+INDEX(Data_Sales!$C$5:$C$65,MATCH($A65,Data_Sales!$A$5:$A$65,0))*INDEX(Survival!$C$55:$T$100,(N$4-$A65)+1,MATCH(N$4,Survival!$C$3:$T$3,0))))</f>
        <v/>
      </c>
      <c r="O65" s="27">
        <f>IF(O$4&lt;$A65,"",IF((O$4-$A65)&gt;45,0,INDEX(Data_Sales!$B$5:$B$65,MATCH($A65,Data_Sales!$A$5:$A$65,0))*INDEX(Survival!$C$6:$T$51,(O$4-$A65)+1,MATCH(O$4,Survival!$C$3:$T$3,0))+INDEX(Data_Sales!$C$5:$C$65,MATCH($A65,Data_Sales!$A$5:$A$65,0))*INDEX(Survival!$C$55:$T$100,(O$4-$A65)+1,MATCH(O$4,Survival!$C$3:$T$3,0))))</f>
        <v/>
      </c>
      <c r="P65" s="27">
        <f>IF(P$4&lt;$A65,"",IF((P$4-$A65)&gt;45,0,INDEX(Data_Sales!$B$5:$B$65,MATCH($A65,Data_Sales!$A$5:$A$65,0))*INDEX(Survival!$C$6:$T$51,(P$4-$A65)+1,MATCH(P$4,Survival!$C$3:$T$3,0))+INDEX(Data_Sales!$C$5:$C$65,MATCH($A65,Data_Sales!$A$5:$A$65,0))*INDEX(Survival!$C$55:$T$100,(P$4-$A65)+1,MATCH(P$4,Survival!$C$3:$T$3,0))))</f>
        <v/>
      </c>
      <c r="Q65" s="27">
        <f>IF(Q$4&lt;$A65,"",IF((Q$4-$A65)&gt;45,0,INDEX(Data_Sales!$B$5:$B$65,MATCH($A65,Data_Sales!$A$5:$A$65,0))*INDEX(Survival!$C$6:$T$51,(Q$4-$A65)+1,MATCH(Q$4,Survival!$C$3:$T$3,0))+INDEX(Data_Sales!$C$5:$C$65,MATCH($A65,Data_Sales!$A$5:$A$65,0))*INDEX(Survival!$C$55:$T$100,(Q$4-$A65)+1,MATCH(Q$4,Survival!$C$3:$T$3,0))))</f>
        <v/>
      </c>
      <c r="R65" s="27">
        <f>IF(R$4&lt;$A65,"",IF((R$4-$A65)&gt;45,0,INDEX(Data_Sales!$B$5:$B$65,MATCH($A65,Data_Sales!$A$5:$A$65,0))*INDEX(Survival!$C$6:$T$51,(R$4-$A65)+1,MATCH(R$4,Survival!$C$3:$T$3,0))+INDEX(Data_Sales!$C$5:$C$65,MATCH($A65,Data_Sales!$A$5:$A$65,0))*INDEX(Survival!$C$55:$T$100,(R$4-$A65)+1,MATCH(R$4,Survival!$C$3:$T$3,0))))</f>
        <v/>
      </c>
      <c r="S65" s="27">
        <f>IF(S$4&lt;$A65,"",IF((S$4-$A65)&gt;45,0,INDEX(Data_Sales!$B$5:$B$65,MATCH($A65,Data_Sales!$A$5:$A$65,0))*INDEX(Survival!$C$6:$T$51,(S$4-$A65)+1,MATCH(S$4,Survival!$C$3:$T$3,0))+INDEX(Data_Sales!$C$5:$C$65,MATCH($A65,Data_Sales!$A$5:$A$65,0))*INDEX(Survival!$C$55:$T$100,(S$4-$A65)+1,MATCH(S$4,Survival!$C$3:$T$3,0))))</f>
        <v/>
      </c>
      <c r="T65" s="27">
        <f>IF(T$4&lt;$A65,"",IF((T$4-$A65)&gt;45,0,INDEX(Data_Sales!$B$5:$B$65,MATCH($A65,Data_Sales!$A$5:$A$65,0))*INDEX(Survival!$C$6:$T$51,(T$4-$A65)+1,MATCH(T$4,Survival!$C$3:$T$3,0))+INDEX(Data_Sales!$C$5:$C$65,MATCH($A65,Data_Sales!$A$5:$A$65,0))*INDEX(Survival!$C$55:$T$100,(T$4-$A65)+1,MATCH(T$4,Survival!$C$3:$T$3,0))))</f>
        <v/>
      </c>
    </row>
    <row r="66">
      <c r="A66" s="9" t="n">
        <v>2030</v>
      </c>
      <c r="C66" s="27">
        <f>IF(C$4&lt;$A66,"",IF((C$4-$A66)&gt;45,0,INDEX(Data_Sales!$B$5:$B$65,MATCH($A66,Data_Sales!$A$5:$A$65,0))*INDEX(Survival!$C$6:$T$51,(C$4-$A66)+1,MATCH(C$4,Survival!$C$3:$T$3,0))+INDEX(Data_Sales!$C$5:$C$65,MATCH($A66,Data_Sales!$A$5:$A$65,0))*INDEX(Survival!$C$55:$T$100,(C$4-$A66)+1,MATCH(C$4,Survival!$C$3:$T$3,0))))</f>
        <v/>
      </c>
      <c r="D66" s="27">
        <f>IF(D$4&lt;$A66,"",IF((D$4-$A66)&gt;45,0,INDEX(Data_Sales!$B$5:$B$65,MATCH($A66,Data_Sales!$A$5:$A$65,0))*INDEX(Survival!$C$6:$T$51,(D$4-$A66)+1,MATCH(D$4,Survival!$C$3:$T$3,0))+INDEX(Data_Sales!$C$5:$C$65,MATCH($A66,Data_Sales!$A$5:$A$65,0))*INDEX(Survival!$C$55:$T$100,(D$4-$A66)+1,MATCH(D$4,Survival!$C$3:$T$3,0))))</f>
        <v/>
      </c>
      <c r="E66" s="27">
        <f>IF(E$4&lt;$A66,"",IF((E$4-$A66)&gt;45,0,INDEX(Data_Sales!$B$5:$B$65,MATCH($A66,Data_Sales!$A$5:$A$65,0))*INDEX(Survival!$C$6:$T$51,(E$4-$A66)+1,MATCH(E$4,Survival!$C$3:$T$3,0))+INDEX(Data_Sales!$C$5:$C$65,MATCH($A66,Data_Sales!$A$5:$A$65,0))*INDEX(Survival!$C$55:$T$100,(E$4-$A66)+1,MATCH(E$4,Survival!$C$3:$T$3,0))))</f>
        <v/>
      </c>
      <c r="F66" s="27">
        <f>IF(F$4&lt;$A66,"",IF((F$4-$A66)&gt;45,0,INDEX(Data_Sales!$B$5:$B$65,MATCH($A66,Data_Sales!$A$5:$A$65,0))*INDEX(Survival!$C$6:$T$51,(F$4-$A66)+1,MATCH(F$4,Survival!$C$3:$T$3,0))+INDEX(Data_Sales!$C$5:$C$65,MATCH($A66,Data_Sales!$A$5:$A$65,0))*INDEX(Survival!$C$55:$T$100,(F$4-$A66)+1,MATCH(F$4,Survival!$C$3:$T$3,0))))</f>
        <v/>
      </c>
      <c r="G66" s="27">
        <f>IF(G$4&lt;$A66,"",IF((G$4-$A66)&gt;45,0,INDEX(Data_Sales!$B$5:$B$65,MATCH($A66,Data_Sales!$A$5:$A$65,0))*INDEX(Survival!$C$6:$T$51,(G$4-$A66)+1,MATCH(G$4,Survival!$C$3:$T$3,0))+INDEX(Data_Sales!$C$5:$C$65,MATCH($A66,Data_Sales!$A$5:$A$65,0))*INDEX(Survival!$C$55:$T$100,(G$4-$A66)+1,MATCH(G$4,Survival!$C$3:$T$3,0))))</f>
        <v/>
      </c>
      <c r="H66" s="27">
        <f>IF(H$4&lt;$A66,"",IF((H$4-$A66)&gt;45,0,INDEX(Data_Sales!$B$5:$B$65,MATCH($A66,Data_Sales!$A$5:$A$65,0))*INDEX(Survival!$C$6:$T$51,(H$4-$A66)+1,MATCH(H$4,Survival!$C$3:$T$3,0))+INDEX(Data_Sales!$C$5:$C$65,MATCH($A66,Data_Sales!$A$5:$A$65,0))*INDEX(Survival!$C$55:$T$100,(H$4-$A66)+1,MATCH(H$4,Survival!$C$3:$T$3,0))))</f>
        <v/>
      </c>
      <c r="I66" s="27">
        <f>IF(I$4&lt;$A66,"",IF((I$4-$A66)&gt;45,0,INDEX(Data_Sales!$B$5:$B$65,MATCH($A66,Data_Sales!$A$5:$A$65,0))*INDEX(Survival!$C$6:$T$51,(I$4-$A66)+1,MATCH(I$4,Survival!$C$3:$T$3,0))+INDEX(Data_Sales!$C$5:$C$65,MATCH($A66,Data_Sales!$A$5:$A$65,0))*INDEX(Survival!$C$55:$T$100,(I$4-$A66)+1,MATCH(I$4,Survival!$C$3:$T$3,0))))</f>
        <v/>
      </c>
      <c r="J66" s="27">
        <f>IF(J$4&lt;$A66,"",IF((J$4-$A66)&gt;45,0,INDEX(Data_Sales!$B$5:$B$65,MATCH($A66,Data_Sales!$A$5:$A$65,0))*INDEX(Survival!$C$6:$T$51,(J$4-$A66)+1,MATCH(J$4,Survival!$C$3:$T$3,0))+INDEX(Data_Sales!$C$5:$C$65,MATCH($A66,Data_Sales!$A$5:$A$65,0))*INDEX(Survival!$C$55:$T$100,(J$4-$A66)+1,MATCH(J$4,Survival!$C$3:$T$3,0))))</f>
        <v/>
      </c>
      <c r="K66" s="27">
        <f>IF(K$4&lt;$A66,"",IF((K$4-$A66)&gt;45,0,INDEX(Data_Sales!$B$5:$B$65,MATCH($A66,Data_Sales!$A$5:$A$65,0))*INDEX(Survival!$C$6:$T$51,(K$4-$A66)+1,MATCH(K$4,Survival!$C$3:$T$3,0))+INDEX(Data_Sales!$C$5:$C$65,MATCH($A66,Data_Sales!$A$5:$A$65,0))*INDEX(Survival!$C$55:$T$100,(K$4-$A66)+1,MATCH(K$4,Survival!$C$3:$T$3,0))))</f>
        <v/>
      </c>
      <c r="L66" s="27">
        <f>IF(L$4&lt;$A66,"",IF((L$4-$A66)&gt;45,0,INDEX(Data_Sales!$B$5:$B$65,MATCH($A66,Data_Sales!$A$5:$A$65,0))*INDEX(Survival!$C$6:$T$51,(L$4-$A66)+1,MATCH(L$4,Survival!$C$3:$T$3,0))+INDEX(Data_Sales!$C$5:$C$65,MATCH($A66,Data_Sales!$A$5:$A$65,0))*INDEX(Survival!$C$55:$T$100,(L$4-$A66)+1,MATCH(L$4,Survival!$C$3:$T$3,0))))</f>
        <v/>
      </c>
      <c r="M66" s="27">
        <f>IF(M$4&lt;$A66,"",IF((M$4-$A66)&gt;45,0,INDEX(Data_Sales!$B$5:$B$65,MATCH($A66,Data_Sales!$A$5:$A$65,0))*INDEX(Survival!$C$6:$T$51,(M$4-$A66)+1,MATCH(M$4,Survival!$C$3:$T$3,0))+INDEX(Data_Sales!$C$5:$C$65,MATCH($A66,Data_Sales!$A$5:$A$65,0))*INDEX(Survival!$C$55:$T$100,(M$4-$A66)+1,MATCH(M$4,Survival!$C$3:$T$3,0))))</f>
        <v/>
      </c>
      <c r="N66" s="27">
        <f>IF(N$4&lt;$A66,"",IF((N$4-$A66)&gt;45,0,INDEX(Data_Sales!$B$5:$B$65,MATCH($A66,Data_Sales!$A$5:$A$65,0))*INDEX(Survival!$C$6:$T$51,(N$4-$A66)+1,MATCH(N$4,Survival!$C$3:$T$3,0))+INDEX(Data_Sales!$C$5:$C$65,MATCH($A66,Data_Sales!$A$5:$A$65,0))*INDEX(Survival!$C$55:$T$100,(N$4-$A66)+1,MATCH(N$4,Survival!$C$3:$T$3,0))))</f>
        <v/>
      </c>
      <c r="O66" s="27">
        <f>IF(O$4&lt;$A66,"",IF((O$4-$A66)&gt;45,0,INDEX(Data_Sales!$B$5:$B$65,MATCH($A66,Data_Sales!$A$5:$A$65,0))*INDEX(Survival!$C$6:$T$51,(O$4-$A66)+1,MATCH(O$4,Survival!$C$3:$T$3,0))+INDEX(Data_Sales!$C$5:$C$65,MATCH($A66,Data_Sales!$A$5:$A$65,0))*INDEX(Survival!$C$55:$T$100,(O$4-$A66)+1,MATCH(O$4,Survival!$C$3:$T$3,0))))</f>
        <v/>
      </c>
      <c r="P66" s="27">
        <f>IF(P$4&lt;$A66,"",IF((P$4-$A66)&gt;45,0,INDEX(Data_Sales!$B$5:$B$65,MATCH($A66,Data_Sales!$A$5:$A$65,0))*INDEX(Survival!$C$6:$T$51,(P$4-$A66)+1,MATCH(P$4,Survival!$C$3:$T$3,0))+INDEX(Data_Sales!$C$5:$C$65,MATCH($A66,Data_Sales!$A$5:$A$65,0))*INDEX(Survival!$C$55:$T$100,(P$4-$A66)+1,MATCH(P$4,Survival!$C$3:$T$3,0))))</f>
        <v/>
      </c>
      <c r="Q66" s="27">
        <f>IF(Q$4&lt;$A66,"",IF((Q$4-$A66)&gt;45,0,INDEX(Data_Sales!$B$5:$B$65,MATCH($A66,Data_Sales!$A$5:$A$65,0))*INDEX(Survival!$C$6:$T$51,(Q$4-$A66)+1,MATCH(Q$4,Survival!$C$3:$T$3,0))+INDEX(Data_Sales!$C$5:$C$65,MATCH($A66,Data_Sales!$A$5:$A$65,0))*INDEX(Survival!$C$55:$T$100,(Q$4-$A66)+1,MATCH(Q$4,Survival!$C$3:$T$3,0))))</f>
        <v/>
      </c>
      <c r="R66" s="27">
        <f>IF(R$4&lt;$A66,"",IF((R$4-$A66)&gt;45,0,INDEX(Data_Sales!$B$5:$B$65,MATCH($A66,Data_Sales!$A$5:$A$65,0))*INDEX(Survival!$C$6:$T$51,(R$4-$A66)+1,MATCH(R$4,Survival!$C$3:$T$3,0))+INDEX(Data_Sales!$C$5:$C$65,MATCH($A66,Data_Sales!$A$5:$A$65,0))*INDEX(Survival!$C$55:$T$100,(R$4-$A66)+1,MATCH(R$4,Survival!$C$3:$T$3,0))))</f>
        <v/>
      </c>
      <c r="S66" s="27">
        <f>IF(S$4&lt;$A66,"",IF((S$4-$A66)&gt;45,0,INDEX(Data_Sales!$B$5:$B$65,MATCH($A66,Data_Sales!$A$5:$A$65,0))*INDEX(Survival!$C$6:$T$51,(S$4-$A66)+1,MATCH(S$4,Survival!$C$3:$T$3,0))+INDEX(Data_Sales!$C$5:$C$65,MATCH($A66,Data_Sales!$A$5:$A$65,0))*INDEX(Survival!$C$55:$T$100,(S$4-$A66)+1,MATCH(S$4,Survival!$C$3:$T$3,0))))</f>
        <v/>
      </c>
      <c r="T66" s="27">
        <f>IF(T$4&lt;$A66,"",IF((T$4-$A66)&gt;45,0,INDEX(Data_Sales!$B$5:$B$65,MATCH($A66,Data_Sales!$A$5:$A$65,0))*INDEX(Survival!$C$6:$T$51,(T$4-$A66)+1,MATCH(T$4,Survival!$C$3:$T$3,0))+INDEX(Data_Sales!$C$5:$C$65,MATCH($A66,Data_Sales!$A$5:$A$65,0))*INDEX(Survival!$C$55:$T$100,(T$4-$A66)+1,MATCH(T$4,Survival!$C$3:$T$3,0))))</f>
        <v/>
      </c>
    </row>
    <row r="68">
      <c r="A68" s="3" t="inlineStr">
        <is>
          <t>Total VIO (thousands)</t>
        </is>
      </c>
      <c r="C68" s="28">
        <f>SUM(C6:C66)</f>
        <v/>
      </c>
      <c r="D68" s="28">
        <f>SUM(D6:D66)</f>
        <v/>
      </c>
      <c r="E68" s="28">
        <f>SUM(E6:E66)</f>
        <v/>
      </c>
      <c r="F68" s="28">
        <f>SUM(F6:F66)</f>
        <v/>
      </c>
      <c r="G68" s="28">
        <f>SUM(G6:G66)</f>
        <v/>
      </c>
      <c r="H68" s="28">
        <f>SUM(H6:H66)</f>
        <v/>
      </c>
      <c r="I68" s="28">
        <f>SUM(I6:I66)</f>
        <v/>
      </c>
      <c r="J68" s="28">
        <f>SUM(J6:J66)</f>
        <v/>
      </c>
      <c r="K68" s="28">
        <f>SUM(K6:K66)</f>
        <v/>
      </c>
      <c r="L68" s="28">
        <f>SUM(L6:L66)</f>
        <v/>
      </c>
      <c r="M68" s="28">
        <f>SUM(M6:M66)</f>
        <v/>
      </c>
      <c r="N68" s="28">
        <f>SUM(N6:N66)</f>
        <v/>
      </c>
      <c r="O68" s="28">
        <f>SUM(O6:O66)</f>
        <v/>
      </c>
      <c r="P68" s="28">
        <f>SUM(P6:P66)</f>
        <v/>
      </c>
      <c r="Q68" s="28">
        <f>SUM(Q6:Q66)</f>
        <v/>
      </c>
      <c r="R68" s="28">
        <f>SUM(R6:R66)</f>
        <v/>
      </c>
      <c r="S68" s="28">
        <f>SUM(S6:S66)</f>
        <v/>
      </c>
      <c r="T68" s="28">
        <f>SUM(T6:T66)</f>
        <v/>
      </c>
    </row>
  </sheetData>
  <mergeCells count="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8" customWidth="1" min="2" max="2"/>
  </cols>
  <sheetData>
    <row r="1">
      <c r="A1" s="1" t="inlineStr">
        <is>
          <t>Fleet by age and calendar year (thousands) + fleet statistics</t>
        </is>
      </c>
    </row>
    <row r="2" ht="30" customHeight="1">
      <c r="A2" s="6" t="inlineStr">
        <is>
          <t>fleet(a,t) = Fleet[MY = t−a, t]. Rows 53–57: VIO, share 7+, share 15+, count ≤6, average age (t−MY+0.5). Compare with Data_CCC_Targets rows marked S.</t>
        </is>
      </c>
    </row>
    <row r="4">
      <c r="A4" s="15" t="inlineStr">
        <is>
          <t>Age ↓ / Year →</t>
        </is>
      </c>
      <c r="B4" s="15" t="inlineStr">
        <is>
          <t>age+0.5</t>
        </is>
      </c>
      <c r="C4" s="23">
        <f>Inputs!C23</f>
        <v/>
      </c>
      <c r="D4" s="23">
        <f>Inputs!D23</f>
        <v/>
      </c>
      <c r="E4" s="23">
        <f>Inputs!E23</f>
        <v/>
      </c>
      <c r="F4" s="23">
        <f>Inputs!F23</f>
        <v/>
      </c>
      <c r="G4" s="23">
        <f>Inputs!G23</f>
        <v/>
      </c>
      <c r="H4" s="23">
        <f>Inputs!H23</f>
        <v/>
      </c>
      <c r="I4" s="23">
        <f>Inputs!I23</f>
        <v/>
      </c>
      <c r="J4" s="23">
        <f>Inputs!J23</f>
        <v/>
      </c>
      <c r="K4" s="23">
        <f>Inputs!K23</f>
        <v/>
      </c>
      <c r="L4" s="23">
        <f>Inputs!L23</f>
        <v/>
      </c>
      <c r="M4" s="23">
        <f>Inputs!M23</f>
        <v/>
      </c>
      <c r="N4" s="23">
        <f>Inputs!N23</f>
        <v/>
      </c>
      <c r="O4" s="23">
        <f>Inputs!O23</f>
        <v/>
      </c>
      <c r="P4" s="23">
        <f>Inputs!P23</f>
        <v/>
      </c>
      <c r="Q4" s="23">
        <f>Inputs!Q23</f>
        <v/>
      </c>
      <c r="R4" s="23">
        <f>Inputs!R23</f>
        <v/>
      </c>
      <c r="S4" s="23">
        <f>Inputs!S23</f>
        <v/>
      </c>
      <c r="T4" s="23">
        <f>Inputs!T23</f>
        <v/>
      </c>
    </row>
    <row r="6">
      <c r="A6" s="9" t="n">
        <v>0</v>
      </c>
      <c r="B6" s="29">
        <f>A6+0.5</f>
        <v/>
      </c>
      <c r="C6" s="27">
        <f>IF(C$4-$A6&lt;1970,0,INDEX(Fleet!$C$6:$T$66,MATCH(C$4-$A6,Fleet!$A$6:$A$66,0),MATCH(C$4,Fleet!$C$4:$T$4,0)))</f>
        <v/>
      </c>
      <c r="D6" s="27">
        <f>IF(D$4-$A6&lt;1970,0,INDEX(Fleet!$C$6:$T$66,MATCH(D$4-$A6,Fleet!$A$6:$A$66,0),MATCH(D$4,Fleet!$C$4:$T$4,0)))</f>
        <v/>
      </c>
      <c r="E6" s="27">
        <f>IF(E$4-$A6&lt;1970,0,INDEX(Fleet!$C$6:$T$66,MATCH(E$4-$A6,Fleet!$A$6:$A$66,0),MATCH(E$4,Fleet!$C$4:$T$4,0)))</f>
        <v/>
      </c>
      <c r="F6" s="27">
        <f>IF(F$4-$A6&lt;1970,0,INDEX(Fleet!$C$6:$T$66,MATCH(F$4-$A6,Fleet!$A$6:$A$66,0),MATCH(F$4,Fleet!$C$4:$T$4,0)))</f>
        <v/>
      </c>
      <c r="G6" s="27">
        <f>IF(G$4-$A6&lt;1970,0,INDEX(Fleet!$C$6:$T$66,MATCH(G$4-$A6,Fleet!$A$6:$A$66,0),MATCH(G$4,Fleet!$C$4:$T$4,0)))</f>
        <v/>
      </c>
      <c r="H6" s="27">
        <f>IF(H$4-$A6&lt;1970,0,INDEX(Fleet!$C$6:$T$66,MATCH(H$4-$A6,Fleet!$A$6:$A$66,0),MATCH(H$4,Fleet!$C$4:$T$4,0)))</f>
        <v/>
      </c>
      <c r="I6" s="27">
        <f>IF(I$4-$A6&lt;1970,0,INDEX(Fleet!$C$6:$T$66,MATCH(I$4-$A6,Fleet!$A$6:$A$66,0),MATCH(I$4,Fleet!$C$4:$T$4,0)))</f>
        <v/>
      </c>
      <c r="J6" s="27">
        <f>IF(J$4-$A6&lt;1970,0,INDEX(Fleet!$C$6:$T$66,MATCH(J$4-$A6,Fleet!$A$6:$A$66,0),MATCH(J$4,Fleet!$C$4:$T$4,0)))</f>
        <v/>
      </c>
      <c r="K6" s="27">
        <f>IF(K$4-$A6&lt;1970,0,INDEX(Fleet!$C$6:$T$66,MATCH(K$4-$A6,Fleet!$A$6:$A$66,0),MATCH(K$4,Fleet!$C$4:$T$4,0)))</f>
        <v/>
      </c>
      <c r="L6" s="27">
        <f>IF(L$4-$A6&lt;1970,0,INDEX(Fleet!$C$6:$T$66,MATCH(L$4-$A6,Fleet!$A$6:$A$66,0),MATCH(L$4,Fleet!$C$4:$T$4,0)))</f>
        <v/>
      </c>
      <c r="M6" s="27">
        <f>IF(M$4-$A6&lt;1970,0,INDEX(Fleet!$C$6:$T$66,MATCH(M$4-$A6,Fleet!$A$6:$A$66,0),MATCH(M$4,Fleet!$C$4:$T$4,0)))</f>
        <v/>
      </c>
      <c r="N6" s="27">
        <f>IF(N$4-$A6&lt;1970,0,INDEX(Fleet!$C$6:$T$66,MATCH(N$4-$A6,Fleet!$A$6:$A$66,0),MATCH(N$4,Fleet!$C$4:$T$4,0)))</f>
        <v/>
      </c>
      <c r="O6" s="27">
        <f>IF(O$4-$A6&lt;1970,0,INDEX(Fleet!$C$6:$T$66,MATCH(O$4-$A6,Fleet!$A$6:$A$66,0),MATCH(O$4,Fleet!$C$4:$T$4,0)))</f>
        <v/>
      </c>
      <c r="P6" s="27">
        <f>IF(P$4-$A6&lt;1970,0,INDEX(Fleet!$C$6:$T$66,MATCH(P$4-$A6,Fleet!$A$6:$A$66,0),MATCH(P$4,Fleet!$C$4:$T$4,0)))</f>
        <v/>
      </c>
      <c r="Q6" s="27">
        <f>IF(Q$4-$A6&lt;1970,0,INDEX(Fleet!$C$6:$T$66,MATCH(Q$4-$A6,Fleet!$A$6:$A$66,0),MATCH(Q$4,Fleet!$C$4:$T$4,0)))</f>
        <v/>
      </c>
      <c r="R6" s="27">
        <f>IF(R$4-$A6&lt;1970,0,INDEX(Fleet!$C$6:$T$66,MATCH(R$4-$A6,Fleet!$A$6:$A$66,0),MATCH(R$4,Fleet!$C$4:$T$4,0)))</f>
        <v/>
      </c>
      <c r="S6" s="27">
        <f>IF(S$4-$A6&lt;1970,0,INDEX(Fleet!$C$6:$T$66,MATCH(S$4-$A6,Fleet!$A$6:$A$66,0),MATCH(S$4,Fleet!$C$4:$T$4,0)))</f>
        <v/>
      </c>
      <c r="T6" s="27">
        <f>IF(T$4-$A6&lt;1970,0,INDEX(Fleet!$C$6:$T$66,MATCH(T$4-$A6,Fleet!$A$6:$A$66,0),MATCH(T$4,Fleet!$C$4:$T$4,0)))</f>
        <v/>
      </c>
    </row>
    <row r="7">
      <c r="A7" s="9" t="n">
        <v>1</v>
      </c>
      <c r="B7" s="29">
        <f>A7+0.5</f>
        <v/>
      </c>
      <c r="C7" s="27">
        <f>IF(C$4-$A7&lt;1970,0,INDEX(Fleet!$C$6:$T$66,MATCH(C$4-$A7,Fleet!$A$6:$A$66,0),MATCH(C$4,Fleet!$C$4:$T$4,0)))</f>
        <v/>
      </c>
      <c r="D7" s="27">
        <f>IF(D$4-$A7&lt;1970,0,INDEX(Fleet!$C$6:$T$66,MATCH(D$4-$A7,Fleet!$A$6:$A$66,0),MATCH(D$4,Fleet!$C$4:$T$4,0)))</f>
        <v/>
      </c>
      <c r="E7" s="27">
        <f>IF(E$4-$A7&lt;1970,0,INDEX(Fleet!$C$6:$T$66,MATCH(E$4-$A7,Fleet!$A$6:$A$66,0),MATCH(E$4,Fleet!$C$4:$T$4,0)))</f>
        <v/>
      </c>
      <c r="F7" s="27">
        <f>IF(F$4-$A7&lt;1970,0,INDEX(Fleet!$C$6:$T$66,MATCH(F$4-$A7,Fleet!$A$6:$A$66,0),MATCH(F$4,Fleet!$C$4:$T$4,0)))</f>
        <v/>
      </c>
      <c r="G7" s="27">
        <f>IF(G$4-$A7&lt;1970,0,INDEX(Fleet!$C$6:$T$66,MATCH(G$4-$A7,Fleet!$A$6:$A$66,0),MATCH(G$4,Fleet!$C$4:$T$4,0)))</f>
        <v/>
      </c>
      <c r="H7" s="27">
        <f>IF(H$4-$A7&lt;1970,0,INDEX(Fleet!$C$6:$T$66,MATCH(H$4-$A7,Fleet!$A$6:$A$66,0),MATCH(H$4,Fleet!$C$4:$T$4,0)))</f>
        <v/>
      </c>
      <c r="I7" s="27">
        <f>IF(I$4-$A7&lt;1970,0,INDEX(Fleet!$C$6:$T$66,MATCH(I$4-$A7,Fleet!$A$6:$A$66,0),MATCH(I$4,Fleet!$C$4:$T$4,0)))</f>
        <v/>
      </c>
      <c r="J7" s="27">
        <f>IF(J$4-$A7&lt;1970,0,INDEX(Fleet!$C$6:$T$66,MATCH(J$4-$A7,Fleet!$A$6:$A$66,0),MATCH(J$4,Fleet!$C$4:$T$4,0)))</f>
        <v/>
      </c>
      <c r="K7" s="27">
        <f>IF(K$4-$A7&lt;1970,0,INDEX(Fleet!$C$6:$T$66,MATCH(K$4-$A7,Fleet!$A$6:$A$66,0),MATCH(K$4,Fleet!$C$4:$T$4,0)))</f>
        <v/>
      </c>
      <c r="L7" s="27">
        <f>IF(L$4-$A7&lt;1970,0,INDEX(Fleet!$C$6:$T$66,MATCH(L$4-$A7,Fleet!$A$6:$A$66,0),MATCH(L$4,Fleet!$C$4:$T$4,0)))</f>
        <v/>
      </c>
      <c r="M7" s="27">
        <f>IF(M$4-$A7&lt;1970,0,INDEX(Fleet!$C$6:$T$66,MATCH(M$4-$A7,Fleet!$A$6:$A$66,0),MATCH(M$4,Fleet!$C$4:$T$4,0)))</f>
        <v/>
      </c>
      <c r="N7" s="27">
        <f>IF(N$4-$A7&lt;1970,0,INDEX(Fleet!$C$6:$T$66,MATCH(N$4-$A7,Fleet!$A$6:$A$66,0),MATCH(N$4,Fleet!$C$4:$T$4,0)))</f>
        <v/>
      </c>
      <c r="O7" s="27">
        <f>IF(O$4-$A7&lt;1970,0,INDEX(Fleet!$C$6:$T$66,MATCH(O$4-$A7,Fleet!$A$6:$A$66,0),MATCH(O$4,Fleet!$C$4:$T$4,0)))</f>
        <v/>
      </c>
      <c r="P7" s="27">
        <f>IF(P$4-$A7&lt;1970,0,INDEX(Fleet!$C$6:$T$66,MATCH(P$4-$A7,Fleet!$A$6:$A$66,0),MATCH(P$4,Fleet!$C$4:$T$4,0)))</f>
        <v/>
      </c>
      <c r="Q7" s="27">
        <f>IF(Q$4-$A7&lt;1970,0,INDEX(Fleet!$C$6:$T$66,MATCH(Q$4-$A7,Fleet!$A$6:$A$66,0),MATCH(Q$4,Fleet!$C$4:$T$4,0)))</f>
        <v/>
      </c>
      <c r="R7" s="27">
        <f>IF(R$4-$A7&lt;1970,0,INDEX(Fleet!$C$6:$T$66,MATCH(R$4-$A7,Fleet!$A$6:$A$66,0),MATCH(R$4,Fleet!$C$4:$T$4,0)))</f>
        <v/>
      </c>
      <c r="S7" s="27">
        <f>IF(S$4-$A7&lt;1970,0,INDEX(Fleet!$C$6:$T$66,MATCH(S$4-$A7,Fleet!$A$6:$A$66,0),MATCH(S$4,Fleet!$C$4:$T$4,0)))</f>
        <v/>
      </c>
      <c r="T7" s="27">
        <f>IF(T$4-$A7&lt;1970,0,INDEX(Fleet!$C$6:$T$66,MATCH(T$4-$A7,Fleet!$A$6:$A$66,0),MATCH(T$4,Fleet!$C$4:$T$4,0)))</f>
        <v/>
      </c>
    </row>
    <row r="8">
      <c r="A8" s="9" t="n">
        <v>2</v>
      </c>
      <c r="B8" s="29">
        <f>A8+0.5</f>
        <v/>
      </c>
      <c r="C8" s="27">
        <f>IF(C$4-$A8&lt;1970,0,INDEX(Fleet!$C$6:$T$66,MATCH(C$4-$A8,Fleet!$A$6:$A$66,0),MATCH(C$4,Fleet!$C$4:$T$4,0)))</f>
        <v/>
      </c>
      <c r="D8" s="27">
        <f>IF(D$4-$A8&lt;1970,0,INDEX(Fleet!$C$6:$T$66,MATCH(D$4-$A8,Fleet!$A$6:$A$66,0),MATCH(D$4,Fleet!$C$4:$T$4,0)))</f>
        <v/>
      </c>
      <c r="E8" s="27">
        <f>IF(E$4-$A8&lt;1970,0,INDEX(Fleet!$C$6:$T$66,MATCH(E$4-$A8,Fleet!$A$6:$A$66,0),MATCH(E$4,Fleet!$C$4:$T$4,0)))</f>
        <v/>
      </c>
      <c r="F8" s="27">
        <f>IF(F$4-$A8&lt;1970,0,INDEX(Fleet!$C$6:$T$66,MATCH(F$4-$A8,Fleet!$A$6:$A$66,0),MATCH(F$4,Fleet!$C$4:$T$4,0)))</f>
        <v/>
      </c>
      <c r="G8" s="27">
        <f>IF(G$4-$A8&lt;1970,0,INDEX(Fleet!$C$6:$T$66,MATCH(G$4-$A8,Fleet!$A$6:$A$66,0),MATCH(G$4,Fleet!$C$4:$T$4,0)))</f>
        <v/>
      </c>
      <c r="H8" s="27">
        <f>IF(H$4-$A8&lt;1970,0,INDEX(Fleet!$C$6:$T$66,MATCH(H$4-$A8,Fleet!$A$6:$A$66,0),MATCH(H$4,Fleet!$C$4:$T$4,0)))</f>
        <v/>
      </c>
      <c r="I8" s="27">
        <f>IF(I$4-$A8&lt;1970,0,INDEX(Fleet!$C$6:$T$66,MATCH(I$4-$A8,Fleet!$A$6:$A$66,0),MATCH(I$4,Fleet!$C$4:$T$4,0)))</f>
        <v/>
      </c>
      <c r="J8" s="27">
        <f>IF(J$4-$A8&lt;1970,0,INDEX(Fleet!$C$6:$T$66,MATCH(J$4-$A8,Fleet!$A$6:$A$66,0),MATCH(J$4,Fleet!$C$4:$T$4,0)))</f>
        <v/>
      </c>
      <c r="K8" s="27">
        <f>IF(K$4-$A8&lt;1970,0,INDEX(Fleet!$C$6:$T$66,MATCH(K$4-$A8,Fleet!$A$6:$A$66,0),MATCH(K$4,Fleet!$C$4:$T$4,0)))</f>
        <v/>
      </c>
      <c r="L8" s="27">
        <f>IF(L$4-$A8&lt;1970,0,INDEX(Fleet!$C$6:$T$66,MATCH(L$4-$A8,Fleet!$A$6:$A$66,0),MATCH(L$4,Fleet!$C$4:$T$4,0)))</f>
        <v/>
      </c>
      <c r="M8" s="27">
        <f>IF(M$4-$A8&lt;1970,0,INDEX(Fleet!$C$6:$T$66,MATCH(M$4-$A8,Fleet!$A$6:$A$66,0),MATCH(M$4,Fleet!$C$4:$T$4,0)))</f>
        <v/>
      </c>
      <c r="N8" s="27">
        <f>IF(N$4-$A8&lt;1970,0,INDEX(Fleet!$C$6:$T$66,MATCH(N$4-$A8,Fleet!$A$6:$A$66,0),MATCH(N$4,Fleet!$C$4:$T$4,0)))</f>
        <v/>
      </c>
      <c r="O8" s="27">
        <f>IF(O$4-$A8&lt;1970,0,INDEX(Fleet!$C$6:$T$66,MATCH(O$4-$A8,Fleet!$A$6:$A$66,0),MATCH(O$4,Fleet!$C$4:$T$4,0)))</f>
        <v/>
      </c>
      <c r="P8" s="27">
        <f>IF(P$4-$A8&lt;1970,0,INDEX(Fleet!$C$6:$T$66,MATCH(P$4-$A8,Fleet!$A$6:$A$66,0),MATCH(P$4,Fleet!$C$4:$T$4,0)))</f>
        <v/>
      </c>
      <c r="Q8" s="27">
        <f>IF(Q$4-$A8&lt;1970,0,INDEX(Fleet!$C$6:$T$66,MATCH(Q$4-$A8,Fleet!$A$6:$A$66,0),MATCH(Q$4,Fleet!$C$4:$T$4,0)))</f>
        <v/>
      </c>
      <c r="R8" s="27">
        <f>IF(R$4-$A8&lt;1970,0,INDEX(Fleet!$C$6:$T$66,MATCH(R$4-$A8,Fleet!$A$6:$A$66,0),MATCH(R$4,Fleet!$C$4:$T$4,0)))</f>
        <v/>
      </c>
      <c r="S8" s="27">
        <f>IF(S$4-$A8&lt;1970,0,INDEX(Fleet!$C$6:$T$66,MATCH(S$4-$A8,Fleet!$A$6:$A$66,0),MATCH(S$4,Fleet!$C$4:$T$4,0)))</f>
        <v/>
      </c>
      <c r="T8" s="27">
        <f>IF(T$4-$A8&lt;1970,0,INDEX(Fleet!$C$6:$T$66,MATCH(T$4-$A8,Fleet!$A$6:$A$66,0),MATCH(T$4,Fleet!$C$4:$T$4,0)))</f>
        <v/>
      </c>
    </row>
    <row r="9">
      <c r="A9" s="9" t="n">
        <v>3</v>
      </c>
      <c r="B9" s="29">
        <f>A9+0.5</f>
        <v/>
      </c>
      <c r="C9" s="27">
        <f>IF(C$4-$A9&lt;1970,0,INDEX(Fleet!$C$6:$T$66,MATCH(C$4-$A9,Fleet!$A$6:$A$66,0),MATCH(C$4,Fleet!$C$4:$T$4,0)))</f>
        <v/>
      </c>
      <c r="D9" s="27">
        <f>IF(D$4-$A9&lt;1970,0,INDEX(Fleet!$C$6:$T$66,MATCH(D$4-$A9,Fleet!$A$6:$A$66,0),MATCH(D$4,Fleet!$C$4:$T$4,0)))</f>
        <v/>
      </c>
      <c r="E9" s="27">
        <f>IF(E$4-$A9&lt;1970,0,INDEX(Fleet!$C$6:$T$66,MATCH(E$4-$A9,Fleet!$A$6:$A$66,0),MATCH(E$4,Fleet!$C$4:$T$4,0)))</f>
        <v/>
      </c>
      <c r="F9" s="27">
        <f>IF(F$4-$A9&lt;1970,0,INDEX(Fleet!$C$6:$T$66,MATCH(F$4-$A9,Fleet!$A$6:$A$66,0),MATCH(F$4,Fleet!$C$4:$T$4,0)))</f>
        <v/>
      </c>
      <c r="G9" s="27">
        <f>IF(G$4-$A9&lt;1970,0,INDEX(Fleet!$C$6:$T$66,MATCH(G$4-$A9,Fleet!$A$6:$A$66,0),MATCH(G$4,Fleet!$C$4:$T$4,0)))</f>
        <v/>
      </c>
      <c r="H9" s="27">
        <f>IF(H$4-$A9&lt;1970,0,INDEX(Fleet!$C$6:$T$66,MATCH(H$4-$A9,Fleet!$A$6:$A$66,0),MATCH(H$4,Fleet!$C$4:$T$4,0)))</f>
        <v/>
      </c>
      <c r="I9" s="27">
        <f>IF(I$4-$A9&lt;1970,0,INDEX(Fleet!$C$6:$T$66,MATCH(I$4-$A9,Fleet!$A$6:$A$66,0),MATCH(I$4,Fleet!$C$4:$T$4,0)))</f>
        <v/>
      </c>
      <c r="J9" s="27">
        <f>IF(J$4-$A9&lt;1970,0,INDEX(Fleet!$C$6:$T$66,MATCH(J$4-$A9,Fleet!$A$6:$A$66,0),MATCH(J$4,Fleet!$C$4:$T$4,0)))</f>
        <v/>
      </c>
      <c r="K9" s="27">
        <f>IF(K$4-$A9&lt;1970,0,INDEX(Fleet!$C$6:$T$66,MATCH(K$4-$A9,Fleet!$A$6:$A$66,0),MATCH(K$4,Fleet!$C$4:$T$4,0)))</f>
        <v/>
      </c>
      <c r="L9" s="27">
        <f>IF(L$4-$A9&lt;1970,0,INDEX(Fleet!$C$6:$T$66,MATCH(L$4-$A9,Fleet!$A$6:$A$66,0),MATCH(L$4,Fleet!$C$4:$T$4,0)))</f>
        <v/>
      </c>
      <c r="M9" s="27">
        <f>IF(M$4-$A9&lt;1970,0,INDEX(Fleet!$C$6:$T$66,MATCH(M$4-$A9,Fleet!$A$6:$A$66,0),MATCH(M$4,Fleet!$C$4:$T$4,0)))</f>
        <v/>
      </c>
      <c r="N9" s="27">
        <f>IF(N$4-$A9&lt;1970,0,INDEX(Fleet!$C$6:$T$66,MATCH(N$4-$A9,Fleet!$A$6:$A$66,0),MATCH(N$4,Fleet!$C$4:$T$4,0)))</f>
        <v/>
      </c>
      <c r="O9" s="27">
        <f>IF(O$4-$A9&lt;1970,0,INDEX(Fleet!$C$6:$T$66,MATCH(O$4-$A9,Fleet!$A$6:$A$66,0),MATCH(O$4,Fleet!$C$4:$T$4,0)))</f>
        <v/>
      </c>
      <c r="P9" s="27">
        <f>IF(P$4-$A9&lt;1970,0,INDEX(Fleet!$C$6:$T$66,MATCH(P$4-$A9,Fleet!$A$6:$A$66,0),MATCH(P$4,Fleet!$C$4:$T$4,0)))</f>
        <v/>
      </c>
      <c r="Q9" s="27">
        <f>IF(Q$4-$A9&lt;1970,0,INDEX(Fleet!$C$6:$T$66,MATCH(Q$4-$A9,Fleet!$A$6:$A$66,0),MATCH(Q$4,Fleet!$C$4:$T$4,0)))</f>
        <v/>
      </c>
      <c r="R9" s="27">
        <f>IF(R$4-$A9&lt;1970,0,INDEX(Fleet!$C$6:$T$66,MATCH(R$4-$A9,Fleet!$A$6:$A$66,0),MATCH(R$4,Fleet!$C$4:$T$4,0)))</f>
        <v/>
      </c>
      <c r="S9" s="27">
        <f>IF(S$4-$A9&lt;1970,0,INDEX(Fleet!$C$6:$T$66,MATCH(S$4-$A9,Fleet!$A$6:$A$66,0),MATCH(S$4,Fleet!$C$4:$T$4,0)))</f>
        <v/>
      </c>
      <c r="T9" s="27">
        <f>IF(T$4-$A9&lt;1970,0,INDEX(Fleet!$C$6:$T$66,MATCH(T$4-$A9,Fleet!$A$6:$A$66,0),MATCH(T$4,Fleet!$C$4:$T$4,0)))</f>
        <v/>
      </c>
    </row>
    <row r="10">
      <c r="A10" s="9" t="n">
        <v>4</v>
      </c>
      <c r="B10" s="29">
        <f>A10+0.5</f>
        <v/>
      </c>
      <c r="C10" s="27">
        <f>IF(C$4-$A10&lt;1970,0,INDEX(Fleet!$C$6:$T$66,MATCH(C$4-$A10,Fleet!$A$6:$A$66,0),MATCH(C$4,Fleet!$C$4:$T$4,0)))</f>
        <v/>
      </c>
      <c r="D10" s="27">
        <f>IF(D$4-$A10&lt;1970,0,INDEX(Fleet!$C$6:$T$66,MATCH(D$4-$A10,Fleet!$A$6:$A$66,0),MATCH(D$4,Fleet!$C$4:$T$4,0)))</f>
        <v/>
      </c>
      <c r="E10" s="27">
        <f>IF(E$4-$A10&lt;1970,0,INDEX(Fleet!$C$6:$T$66,MATCH(E$4-$A10,Fleet!$A$6:$A$66,0),MATCH(E$4,Fleet!$C$4:$T$4,0)))</f>
        <v/>
      </c>
      <c r="F10" s="27">
        <f>IF(F$4-$A10&lt;1970,0,INDEX(Fleet!$C$6:$T$66,MATCH(F$4-$A10,Fleet!$A$6:$A$66,0),MATCH(F$4,Fleet!$C$4:$T$4,0)))</f>
        <v/>
      </c>
      <c r="G10" s="27">
        <f>IF(G$4-$A10&lt;1970,0,INDEX(Fleet!$C$6:$T$66,MATCH(G$4-$A10,Fleet!$A$6:$A$66,0),MATCH(G$4,Fleet!$C$4:$T$4,0)))</f>
        <v/>
      </c>
      <c r="H10" s="27">
        <f>IF(H$4-$A10&lt;1970,0,INDEX(Fleet!$C$6:$T$66,MATCH(H$4-$A10,Fleet!$A$6:$A$66,0),MATCH(H$4,Fleet!$C$4:$T$4,0)))</f>
        <v/>
      </c>
      <c r="I10" s="27">
        <f>IF(I$4-$A10&lt;1970,0,INDEX(Fleet!$C$6:$T$66,MATCH(I$4-$A10,Fleet!$A$6:$A$66,0),MATCH(I$4,Fleet!$C$4:$T$4,0)))</f>
        <v/>
      </c>
      <c r="J10" s="27">
        <f>IF(J$4-$A10&lt;1970,0,INDEX(Fleet!$C$6:$T$66,MATCH(J$4-$A10,Fleet!$A$6:$A$66,0),MATCH(J$4,Fleet!$C$4:$T$4,0)))</f>
        <v/>
      </c>
      <c r="K10" s="27">
        <f>IF(K$4-$A10&lt;1970,0,INDEX(Fleet!$C$6:$T$66,MATCH(K$4-$A10,Fleet!$A$6:$A$66,0),MATCH(K$4,Fleet!$C$4:$T$4,0)))</f>
        <v/>
      </c>
      <c r="L10" s="27">
        <f>IF(L$4-$A10&lt;1970,0,INDEX(Fleet!$C$6:$T$66,MATCH(L$4-$A10,Fleet!$A$6:$A$66,0),MATCH(L$4,Fleet!$C$4:$T$4,0)))</f>
        <v/>
      </c>
      <c r="M10" s="27">
        <f>IF(M$4-$A10&lt;1970,0,INDEX(Fleet!$C$6:$T$66,MATCH(M$4-$A10,Fleet!$A$6:$A$66,0),MATCH(M$4,Fleet!$C$4:$T$4,0)))</f>
        <v/>
      </c>
      <c r="N10" s="27">
        <f>IF(N$4-$A10&lt;1970,0,INDEX(Fleet!$C$6:$T$66,MATCH(N$4-$A10,Fleet!$A$6:$A$66,0),MATCH(N$4,Fleet!$C$4:$T$4,0)))</f>
        <v/>
      </c>
      <c r="O10" s="27">
        <f>IF(O$4-$A10&lt;1970,0,INDEX(Fleet!$C$6:$T$66,MATCH(O$4-$A10,Fleet!$A$6:$A$66,0),MATCH(O$4,Fleet!$C$4:$T$4,0)))</f>
        <v/>
      </c>
      <c r="P10" s="27">
        <f>IF(P$4-$A10&lt;1970,0,INDEX(Fleet!$C$6:$T$66,MATCH(P$4-$A10,Fleet!$A$6:$A$66,0),MATCH(P$4,Fleet!$C$4:$T$4,0)))</f>
        <v/>
      </c>
      <c r="Q10" s="27">
        <f>IF(Q$4-$A10&lt;1970,0,INDEX(Fleet!$C$6:$T$66,MATCH(Q$4-$A10,Fleet!$A$6:$A$66,0),MATCH(Q$4,Fleet!$C$4:$T$4,0)))</f>
        <v/>
      </c>
      <c r="R10" s="27">
        <f>IF(R$4-$A10&lt;1970,0,INDEX(Fleet!$C$6:$T$66,MATCH(R$4-$A10,Fleet!$A$6:$A$66,0),MATCH(R$4,Fleet!$C$4:$T$4,0)))</f>
        <v/>
      </c>
      <c r="S10" s="27">
        <f>IF(S$4-$A10&lt;1970,0,INDEX(Fleet!$C$6:$T$66,MATCH(S$4-$A10,Fleet!$A$6:$A$66,0),MATCH(S$4,Fleet!$C$4:$T$4,0)))</f>
        <v/>
      </c>
      <c r="T10" s="27">
        <f>IF(T$4-$A10&lt;1970,0,INDEX(Fleet!$C$6:$T$66,MATCH(T$4-$A10,Fleet!$A$6:$A$66,0),MATCH(T$4,Fleet!$C$4:$T$4,0)))</f>
        <v/>
      </c>
    </row>
    <row r="11">
      <c r="A11" s="9" t="n">
        <v>5</v>
      </c>
      <c r="B11" s="29">
        <f>A11+0.5</f>
        <v/>
      </c>
      <c r="C11" s="27">
        <f>IF(C$4-$A11&lt;1970,0,INDEX(Fleet!$C$6:$T$66,MATCH(C$4-$A11,Fleet!$A$6:$A$66,0),MATCH(C$4,Fleet!$C$4:$T$4,0)))</f>
        <v/>
      </c>
      <c r="D11" s="27">
        <f>IF(D$4-$A11&lt;1970,0,INDEX(Fleet!$C$6:$T$66,MATCH(D$4-$A11,Fleet!$A$6:$A$66,0),MATCH(D$4,Fleet!$C$4:$T$4,0)))</f>
        <v/>
      </c>
      <c r="E11" s="27">
        <f>IF(E$4-$A11&lt;1970,0,INDEX(Fleet!$C$6:$T$66,MATCH(E$4-$A11,Fleet!$A$6:$A$66,0),MATCH(E$4,Fleet!$C$4:$T$4,0)))</f>
        <v/>
      </c>
      <c r="F11" s="27">
        <f>IF(F$4-$A11&lt;1970,0,INDEX(Fleet!$C$6:$T$66,MATCH(F$4-$A11,Fleet!$A$6:$A$66,0),MATCH(F$4,Fleet!$C$4:$T$4,0)))</f>
        <v/>
      </c>
      <c r="G11" s="27">
        <f>IF(G$4-$A11&lt;1970,0,INDEX(Fleet!$C$6:$T$66,MATCH(G$4-$A11,Fleet!$A$6:$A$66,0),MATCH(G$4,Fleet!$C$4:$T$4,0)))</f>
        <v/>
      </c>
      <c r="H11" s="27">
        <f>IF(H$4-$A11&lt;1970,0,INDEX(Fleet!$C$6:$T$66,MATCH(H$4-$A11,Fleet!$A$6:$A$66,0),MATCH(H$4,Fleet!$C$4:$T$4,0)))</f>
        <v/>
      </c>
      <c r="I11" s="27">
        <f>IF(I$4-$A11&lt;1970,0,INDEX(Fleet!$C$6:$T$66,MATCH(I$4-$A11,Fleet!$A$6:$A$66,0),MATCH(I$4,Fleet!$C$4:$T$4,0)))</f>
        <v/>
      </c>
      <c r="J11" s="27">
        <f>IF(J$4-$A11&lt;1970,0,INDEX(Fleet!$C$6:$T$66,MATCH(J$4-$A11,Fleet!$A$6:$A$66,0),MATCH(J$4,Fleet!$C$4:$T$4,0)))</f>
        <v/>
      </c>
      <c r="K11" s="27">
        <f>IF(K$4-$A11&lt;1970,0,INDEX(Fleet!$C$6:$T$66,MATCH(K$4-$A11,Fleet!$A$6:$A$66,0),MATCH(K$4,Fleet!$C$4:$T$4,0)))</f>
        <v/>
      </c>
      <c r="L11" s="27">
        <f>IF(L$4-$A11&lt;1970,0,INDEX(Fleet!$C$6:$T$66,MATCH(L$4-$A11,Fleet!$A$6:$A$66,0),MATCH(L$4,Fleet!$C$4:$T$4,0)))</f>
        <v/>
      </c>
      <c r="M11" s="27">
        <f>IF(M$4-$A11&lt;1970,0,INDEX(Fleet!$C$6:$T$66,MATCH(M$4-$A11,Fleet!$A$6:$A$66,0),MATCH(M$4,Fleet!$C$4:$T$4,0)))</f>
        <v/>
      </c>
      <c r="N11" s="27">
        <f>IF(N$4-$A11&lt;1970,0,INDEX(Fleet!$C$6:$T$66,MATCH(N$4-$A11,Fleet!$A$6:$A$66,0),MATCH(N$4,Fleet!$C$4:$T$4,0)))</f>
        <v/>
      </c>
      <c r="O11" s="27">
        <f>IF(O$4-$A11&lt;1970,0,INDEX(Fleet!$C$6:$T$66,MATCH(O$4-$A11,Fleet!$A$6:$A$66,0),MATCH(O$4,Fleet!$C$4:$T$4,0)))</f>
        <v/>
      </c>
      <c r="P11" s="27">
        <f>IF(P$4-$A11&lt;1970,0,INDEX(Fleet!$C$6:$T$66,MATCH(P$4-$A11,Fleet!$A$6:$A$66,0),MATCH(P$4,Fleet!$C$4:$T$4,0)))</f>
        <v/>
      </c>
      <c r="Q11" s="27">
        <f>IF(Q$4-$A11&lt;1970,0,INDEX(Fleet!$C$6:$T$66,MATCH(Q$4-$A11,Fleet!$A$6:$A$66,0),MATCH(Q$4,Fleet!$C$4:$T$4,0)))</f>
        <v/>
      </c>
      <c r="R11" s="27">
        <f>IF(R$4-$A11&lt;1970,0,INDEX(Fleet!$C$6:$T$66,MATCH(R$4-$A11,Fleet!$A$6:$A$66,0),MATCH(R$4,Fleet!$C$4:$T$4,0)))</f>
        <v/>
      </c>
      <c r="S11" s="27">
        <f>IF(S$4-$A11&lt;1970,0,INDEX(Fleet!$C$6:$T$66,MATCH(S$4-$A11,Fleet!$A$6:$A$66,0),MATCH(S$4,Fleet!$C$4:$T$4,0)))</f>
        <v/>
      </c>
      <c r="T11" s="27">
        <f>IF(T$4-$A11&lt;1970,0,INDEX(Fleet!$C$6:$T$66,MATCH(T$4-$A11,Fleet!$A$6:$A$66,0),MATCH(T$4,Fleet!$C$4:$T$4,0)))</f>
        <v/>
      </c>
    </row>
    <row r="12">
      <c r="A12" s="9" t="n">
        <v>6</v>
      </c>
      <c r="B12" s="29">
        <f>A12+0.5</f>
        <v/>
      </c>
      <c r="C12" s="27">
        <f>IF(C$4-$A12&lt;1970,0,INDEX(Fleet!$C$6:$T$66,MATCH(C$4-$A12,Fleet!$A$6:$A$66,0),MATCH(C$4,Fleet!$C$4:$T$4,0)))</f>
        <v/>
      </c>
      <c r="D12" s="27">
        <f>IF(D$4-$A12&lt;1970,0,INDEX(Fleet!$C$6:$T$66,MATCH(D$4-$A12,Fleet!$A$6:$A$66,0),MATCH(D$4,Fleet!$C$4:$T$4,0)))</f>
        <v/>
      </c>
      <c r="E12" s="27">
        <f>IF(E$4-$A12&lt;1970,0,INDEX(Fleet!$C$6:$T$66,MATCH(E$4-$A12,Fleet!$A$6:$A$66,0),MATCH(E$4,Fleet!$C$4:$T$4,0)))</f>
        <v/>
      </c>
      <c r="F12" s="27">
        <f>IF(F$4-$A12&lt;1970,0,INDEX(Fleet!$C$6:$T$66,MATCH(F$4-$A12,Fleet!$A$6:$A$66,0),MATCH(F$4,Fleet!$C$4:$T$4,0)))</f>
        <v/>
      </c>
      <c r="G12" s="27">
        <f>IF(G$4-$A12&lt;1970,0,INDEX(Fleet!$C$6:$T$66,MATCH(G$4-$A12,Fleet!$A$6:$A$66,0),MATCH(G$4,Fleet!$C$4:$T$4,0)))</f>
        <v/>
      </c>
      <c r="H12" s="27">
        <f>IF(H$4-$A12&lt;1970,0,INDEX(Fleet!$C$6:$T$66,MATCH(H$4-$A12,Fleet!$A$6:$A$66,0),MATCH(H$4,Fleet!$C$4:$T$4,0)))</f>
        <v/>
      </c>
      <c r="I12" s="27">
        <f>IF(I$4-$A12&lt;1970,0,INDEX(Fleet!$C$6:$T$66,MATCH(I$4-$A12,Fleet!$A$6:$A$66,0),MATCH(I$4,Fleet!$C$4:$T$4,0)))</f>
        <v/>
      </c>
      <c r="J12" s="27">
        <f>IF(J$4-$A12&lt;1970,0,INDEX(Fleet!$C$6:$T$66,MATCH(J$4-$A12,Fleet!$A$6:$A$66,0),MATCH(J$4,Fleet!$C$4:$T$4,0)))</f>
        <v/>
      </c>
      <c r="K12" s="27">
        <f>IF(K$4-$A12&lt;1970,0,INDEX(Fleet!$C$6:$T$66,MATCH(K$4-$A12,Fleet!$A$6:$A$66,0),MATCH(K$4,Fleet!$C$4:$T$4,0)))</f>
        <v/>
      </c>
      <c r="L12" s="27">
        <f>IF(L$4-$A12&lt;1970,0,INDEX(Fleet!$C$6:$T$66,MATCH(L$4-$A12,Fleet!$A$6:$A$66,0),MATCH(L$4,Fleet!$C$4:$T$4,0)))</f>
        <v/>
      </c>
      <c r="M12" s="27">
        <f>IF(M$4-$A12&lt;1970,0,INDEX(Fleet!$C$6:$T$66,MATCH(M$4-$A12,Fleet!$A$6:$A$66,0),MATCH(M$4,Fleet!$C$4:$T$4,0)))</f>
        <v/>
      </c>
      <c r="N12" s="27">
        <f>IF(N$4-$A12&lt;1970,0,INDEX(Fleet!$C$6:$T$66,MATCH(N$4-$A12,Fleet!$A$6:$A$66,0),MATCH(N$4,Fleet!$C$4:$T$4,0)))</f>
        <v/>
      </c>
      <c r="O12" s="27">
        <f>IF(O$4-$A12&lt;1970,0,INDEX(Fleet!$C$6:$T$66,MATCH(O$4-$A12,Fleet!$A$6:$A$66,0),MATCH(O$4,Fleet!$C$4:$T$4,0)))</f>
        <v/>
      </c>
      <c r="P12" s="27">
        <f>IF(P$4-$A12&lt;1970,0,INDEX(Fleet!$C$6:$T$66,MATCH(P$4-$A12,Fleet!$A$6:$A$66,0),MATCH(P$4,Fleet!$C$4:$T$4,0)))</f>
        <v/>
      </c>
      <c r="Q12" s="27">
        <f>IF(Q$4-$A12&lt;1970,0,INDEX(Fleet!$C$6:$T$66,MATCH(Q$4-$A12,Fleet!$A$6:$A$66,0),MATCH(Q$4,Fleet!$C$4:$T$4,0)))</f>
        <v/>
      </c>
      <c r="R12" s="27">
        <f>IF(R$4-$A12&lt;1970,0,INDEX(Fleet!$C$6:$T$66,MATCH(R$4-$A12,Fleet!$A$6:$A$66,0),MATCH(R$4,Fleet!$C$4:$T$4,0)))</f>
        <v/>
      </c>
      <c r="S12" s="27">
        <f>IF(S$4-$A12&lt;1970,0,INDEX(Fleet!$C$6:$T$66,MATCH(S$4-$A12,Fleet!$A$6:$A$66,0),MATCH(S$4,Fleet!$C$4:$T$4,0)))</f>
        <v/>
      </c>
      <c r="T12" s="27">
        <f>IF(T$4-$A12&lt;1970,0,INDEX(Fleet!$C$6:$T$66,MATCH(T$4-$A12,Fleet!$A$6:$A$66,0),MATCH(T$4,Fleet!$C$4:$T$4,0)))</f>
        <v/>
      </c>
    </row>
    <row r="13">
      <c r="A13" s="9" t="n">
        <v>7</v>
      </c>
      <c r="B13" s="29">
        <f>A13+0.5</f>
        <v/>
      </c>
      <c r="C13" s="27">
        <f>IF(C$4-$A13&lt;1970,0,INDEX(Fleet!$C$6:$T$66,MATCH(C$4-$A13,Fleet!$A$6:$A$66,0),MATCH(C$4,Fleet!$C$4:$T$4,0)))</f>
        <v/>
      </c>
      <c r="D13" s="27">
        <f>IF(D$4-$A13&lt;1970,0,INDEX(Fleet!$C$6:$T$66,MATCH(D$4-$A13,Fleet!$A$6:$A$66,0),MATCH(D$4,Fleet!$C$4:$T$4,0)))</f>
        <v/>
      </c>
      <c r="E13" s="27">
        <f>IF(E$4-$A13&lt;1970,0,INDEX(Fleet!$C$6:$T$66,MATCH(E$4-$A13,Fleet!$A$6:$A$66,0),MATCH(E$4,Fleet!$C$4:$T$4,0)))</f>
        <v/>
      </c>
      <c r="F13" s="27">
        <f>IF(F$4-$A13&lt;1970,0,INDEX(Fleet!$C$6:$T$66,MATCH(F$4-$A13,Fleet!$A$6:$A$66,0),MATCH(F$4,Fleet!$C$4:$T$4,0)))</f>
        <v/>
      </c>
      <c r="G13" s="27">
        <f>IF(G$4-$A13&lt;1970,0,INDEX(Fleet!$C$6:$T$66,MATCH(G$4-$A13,Fleet!$A$6:$A$66,0),MATCH(G$4,Fleet!$C$4:$T$4,0)))</f>
        <v/>
      </c>
      <c r="H13" s="27">
        <f>IF(H$4-$A13&lt;1970,0,INDEX(Fleet!$C$6:$T$66,MATCH(H$4-$A13,Fleet!$A$6:$A$66,0),MATCH(H$4,Fleet!$C$4:$T$4,0)))</f>
        <v/>
      </c>
      <c r="I13" s="27">
        <f>IF(I$4-$A13&lt;1970,0,INDEX(Fleet!$C$6:$T$66,MATCH(I$4-$A13,Fleet!$A$6:$A$66,0),MATCH(I$4,Fleet!$C$4:$T$4,0)))</f>
        <v/>
      </c>
      <c r="J13" s="27">
        <f>IF(J$4-$A13&lt;1970,0,INDEX(Fleet!$C$6:$T$66,MATCH(J$4-$A13,Fleet!$A$6:$A$66,0),MATCH(J$4,Fleet!$C$4:$T$4,0)))</f>
        <v/>
      </c>
      <c r="K13" s="27">
        <f>IF(K$4-$A13&lt;1970,0,INDEX(Fleet!$C$6:$T$66,MATCH(K$4-$A13,Fleet!$A$6:$A$66,0),MATCH(K$4,Fleet!$C$4:$T$4,0)))</f>
        <v/>
      </c>
      <c r="L13" s="27">
        <f>IF(L$4-$A13&lt;1970,0,INDEX(Fleet!$C$6:$T$66,MATCH(L$4-$A13,Fleet!$A$6:$A$66,0),MATCH(L$4,Fleet!$C$4:$T$4,0)))</f>
        <v/>
      </c>
      <c r="M13" s="27">
        <f>IF(M$4-$A13&lt;1970,0,INDEX(Fleet!$C$6:$T$66,MATCH(M$4-$A13,Fleet!$A$6:$A$66,0),MATCH(M$4,Fleet!$C$4:$T$4,0)))</f>
        <v/>
      </c>
      <c r="N13" s="27">
        <f>IF(N$4-$A13&lt;1970,0,INDEX(Fleet!$C$6:$T$66,MATCH(N$4-$A13,Fleet!$A$6:$A$66,0),MATCH(N$4,Fleet!$C$4:$T$4,0)))</f>
        <v/>
      </c>
      <c r="O13" s="27">
        <f>IF(O$4-$A13&lt;1970,0,INDEX(Fleet!$C$6:$T$66,MATCH(O$4-$A13,Fleet!$A$6:$A$66,0),MATCH(O$4,Fleet!$C$4:$T$4,0)))</f>
        <v/>
      </c>
      <c r="P13" s="27">
        <f>IF(P$4-$A13&lt;1970,0,INDEX(Fleet!$C$6:$T$66,MATCH(P$4-$A13,Fleet!$A$6:$A$66,0),MATCH(P$4,Fleet!$C$4:$T$4,0)))</f>
        <v/>
      </c>
      <c r="Q13" s="27">
        <f>IF(Q$4-$A13&lt;1970,0,INDEX(Fleet!$C$6:$T$66,MATCH(Q$4-$A13,Fleet!$A$6:$A$66,0),MATCH(Q$4,Fleet!$C$4:$T$4,0)))</f>
        <v/>
      </c>
      <c r="R13" s="27">
        <f>IF(R$4-$A13&lt;1970,0,INDEX(Fleet!$C$6:$T$66,MATCH(R$4-$A13,Fleet!$A$6:$A$66,0),MATCH(R$4,Fleet!$C$4:$T$4,0)))</f>
        <v/>
      </c>
      <c r="S13" s="27">
        <f>IF(S$4-$A13&lt;1970,0,INDEX(Fleet!$C$6:$T$66,MATCH(S$4-$A13,Fleet!$A$6:$A$66,0),MATCH(S$4,Fleet!$C$4:$T$4,0)))</f>
        <v/>
      </c>
      <c r="T13" s="27">
        <f>IF(T$4-$A13&lt;1970,0,INDEX(Fleet!$C$6:$T$66,MATCH(T$4-$A13,Fleet!$A$6:$A$66,0),MATCH(T$4,Fleet!$C$4:$T$4,0)))</f>
        <v/>
      </c>
    </row>
    <row r="14">
      <c r="A14" s="9" t="n">
        <v>8</v>
      </c>
      <c r="B14" s="29">
        <f>A14+0.5</f>
        <v/>
      </c>
      <c r="C14" s="27">
        <f>IF(C$4-$A14&lt;1970,0,INDEX(Fleet!$C$6:$T$66,MATCH(C$4-$A14,Fleet!$A$6:$A$66,0),MATCH(C$4,Fleet!$C$4:$T$4,0)))</f>
        <v/>
      </c>
      <c r="D14" s="27">
        <f>IF(D$4-$A14&lt;1970,0,INDEX(Fleet!$C$6:$T$66,MATCH(D$4-$A14,Fleet!$A$6:$A$66,0),MATCH(D$4,Fleet!$C$4:$T$4,0)))</f>
        <v/>
      </c>
      <c r="E14" s="27">
        <f>IF(E$4-$A14&lt;1970,0,INDEX(Fleet!$C$6:$T$66,MATCH(E$4-$A14,Fleet!$A$6:$A$66,0),MATCH(E$4,Fleet!$C$4:$T$4,0)))</f>
        <v/>
      </c>
      <c r="F14" s="27">
        <f>IF(F$4-$A14&lt;1970,0,INDEX(Fleet!$C$6:$T$66,MATCH(F$4-$A14,Fleet!$A$6:$A$66,0),MATCH(F$4,Fleet!$C$4:$T$4,0)))</f>
        <v/>
      </c>
      <c r="G14" s="27">
        <f>IF(G$4-$A14&lt;1970,0,INDEX(Fleet!$C$6:$T$66,MATCH(G$4-$A14,Fleet!$A$6:$A$66,0),MATCH(G$4,Fleet!$C$4:$T$4,0)))</f>
        <v/>
      </c>
      <c r="H14" s="27">
        <f>IF(H$4-$A14&lt;1970,0,INDEX(Fleet!$C$6:$T$66,MATCH(H$4-$A14,Fleet!$A$6:$A$66,0),MATCH(H$4,Fleet!$C$4:$T$4,0)))</f>
        <v/>
      </c>
      <c r="I14" s="27">
        <f>IF(I$4-$A14&lt;1970,0,INDEX(Fleet!$C$6:$T$66,MATCH(I$4-$A14,Fleet!$A$6:$A$66,0),MATCH(I$4,Fleet!$C$4:$T$4,0)))</f>
        <v/>
      </c>
      <c r="J14" s="27">
        <f>IF(J$4-$A14&lt;1970,0,INDEX(Fleet!$C$6:$T$66,MATCH(J$4-$A14,Fleet!$A$6:$A$66,0),MATCH(J$4,Fleet!$C$4:$T$4,0)))</f>
        <v/>
      </c>
      <c r="K14" s="27">
        <f>IF(K$4-$A14&lt;1970,0,INDEX(Fleet!$C$6:$T$66,MATCH(K$4-$A14,Fleet!$A$6:$A$66,0),MATCH(K$4,Fleet!$C$4:$T$4,0)))</f>
        <v/>
      </c>
      <c r="L14" s="27">
        <f>IF(L$4-$A14&lt;1970,0,INDEX(Fleet!$C$6:$T$66,MATCH(L$4-$A14,Fleet!$A$6:$A$66,0),MATCH(L$4,Fleet!$C$4:$T$4,0)))</f>
        <v/>
      </c>
      <c r="M14" s="27">
        <f>IF(M$4-$A14&lt;1970,0,INDEX(Fleet!$C$6:$T$66,MATCH(M$4-$A14,Fleet!$A$6:$A$66,0),MATCH(M$4,Fleet!$C$4:$T$4,0)))</f>
        <v/>
      </c>
      <c r="N14" s="27">
        <f>IF(N$4-$A14&lt;1970,0,INDEX(Fleet!$C$6:$T$66,MATCH(N$4-$A14,Fleet!$A$6:$A$66,0),MATCH(N$4,Fleet!$C$4:$T$4,0)))</f>
        <v/>
      </c>
      <c r="O14" s="27">
        <f>IF(O$4-$A14&lt;1970,0,INDEX(Fleet!$C$6:$T$66,MATCH(O$4-$A14,Fleet!$A$6:$A$66,0),MATCH(O$4,Fleet!$C$4:$T$4,0)))</f>
        <v/>
      </c>
      <c r="P14" s="27">
        <f>IF(P$4-$A14&lt;1970,0,INDEX(Fleet!$C$6:$T$66,MATCH(P$4-$A14,Fleet!$A$6:$A$66,0),MATCH(P$4,Fleet!$C$4:$T$4,0)))</f>
        <v/>
      </c>
      <c r="Q14" s="27">
        <f>IF(Q$4-$A14&lt;1970,0,INDEX(Fleet!$C$6:$T$66,MATCH(Q$4-$A14,Fleet!$A$6:$A$66,0),MATCH(Q$4,Fleet!$C$4:$T$4,0)))</f>
        <v/>
      </c>
      <c r="R14" s="27">
        <f>IF(R$4-$A14&lt;1970,0,INDEX(Fleet!$C$6:$T$66,MATCH(R$4-$A14,Fleet!$A$6:$A$66,0),MATCH(R$4,Fleet!$C$4:$T$4,0)))</f>
        <v/>
      </c>
      <c r="S14" s="27">
        <f>IF(S$4-$A14&lt;1970,0,INDEX(Fleet!$C$6:$T$66,MATCH(S$4-$A14,Fleet!$A$6:$A$66,0),MATCH(S$4,Fleet!$C$4:$T$4,0)))</f>
        <v/>
      </c>
      <c r="T14" s="27">
        <f>IF(T$4-$A14&lt;1970,0,INDEX(Fleet!$C$6:$T$66,MATCH(T$4-$A14,Fleet!$A$6:$A$66,0),MATCH(T$4,Fleet!$C$4:$T$4,0)))</f>
        <v/>
      </c>
    </row>
    <row r="15">
      <c r="A15" s="9" t="n">
        <v>9</v>
      </c>
      <c r="B15" s="29">
        <f>A15+0.5</f>
        <v/>
      </c>
      <c r="C15" s="27">
        <f>IF(C$4-$A15&lt;1970,0,INDEX(Fleet!$C$6:$T$66,MATCH(C$4-$A15,Fleet!$A$6:$A$66,0),MATCH(C$4,Fleet!$C$4:$T$4,0)))</f>
        <v/>
      </c>
      <c r="D15" s="27">
        <f>IF(D$4-$A15&lt;1970,0,INDEX(Fleet!$C$6:$T$66,MATCH(D$4-$A15,Fleet!$A$6:$A$66,0),MATCH(D$4,Fleet!$C$4:$T$4,0)))</f>
        <v/>
      </c>
      <c r="E15" s="27">
        <f>IF(E$4-$A15&lt;1970,0,INDEX(Fleet!$C$6:$T$66,MATCH(E$4-$A15,Fleet!$A$6:$A$66,0),MATCH(E$4,Fleet!$C$4:$T$4,0)))</f>
        <v/>
      </c>
      <c r="F15" s="27">
        <f>IF(F$4-$A15&lt;1970,0,INDEX(Fleet!$C$6:$T$66,MATCH(F$4-$A15,Fleet!$A$6:$A$66,0),MATCH(F$4,Fleet!$C$4:$T$4,0)))</f>
        <v/>
      </c>
      <c r="G15" s="27">
        <f>IF(G$4-$A15&lt;1970,0,INDEX(Fleet!$C$6:$T$66,MATCH(G$4-$A15,Fleet!$A$6:$A$66,0),MATCH(G$4,Fleet!$C$4:$T$4,0)))</f>
        <v/>
      </c>
      <c r="H15" s="27">
        <f>IF(H$4-$A15&lt;1970,0,INDEX(Fleet!$C$6:$T$66,MATCH(H$4-$A15,Fleet!$A$6:$A$66,0),MATCH(H$4,Fleet!$C$4:$T$4,0)))</f>
        <v/>
      </c>
      <c r="I15" s="27">
        <f>IF(I$4-$A15&lt;1970,0,INDEX(Fleet!$C$6:$T$66,MATCH(I$4-$A15,Fleet!$A$6:$A$66,0),MATCH(I$4,Fleet!$C$4:$T$4,0)))</f>
        <v/>
      </c>
      <c r="J15" s="27">
        <f>IF(J$4-$A15&lt;1970,0,INDEX(Fleet!$C$6:$T$66,MATCH(J$4-$A15,Fleet!$A$6:$A$66,0),MATCH(J$4,Fleet!$C$4:$T$4,0)))</f>
        <v/>
      </c>
      <c r="K15" s="27">
        <f>IF(K$4-$A15&lt;1970,0,INDEX(Fleet!$C$6:$T$66,MATCH(K$4-$A15,Fleet!$A$6:$A$66,0),MATCH(K$4,Fleet!$C$4:$T$4,0)))</f>
        <v/>
      </c>
      <c r="L15" s="27">
        <f>IF(L$4-$A15&lt;1970,0,INDEX(Fleet!$C$6:$T$66,MATCH(L$4-$A15,Fleet!$A$6:$A$66,0),MATCH(L$4,Fleet!$C$4:$T$4,0)))</f>
        <v/>
      </c>
      <c r="M15" s="27">
        <f>IF(M$4-$A15&lt;1970,0,INDEX(Fleet!$C$6:$T$66,MATCH(M$4-$A15,Fleet!$A$6:$A$66,0),MATCH(M$4,Fleet!$C$4:$T$4,0)))</f>
        <v/>
      </c>
      <c r="N15" s="27">
        <f>IF(N$4-$A15&lt;1970,0,INDEX(Fleet!$C$6:$T$66,MATCH(N$4-$A15,Fleet!$A$6:$A$66,0),MATCH(N$4,Fleet!$C$4:$T$4,0)))</f>
        <v/>
      </c>
      <c r="O15" s="27">
        <f>IF(O$4-$A15&lt;1970,0,INDEX(Fleet!$C$6:$T$66,MATCH(O$4-$A15,Fleet!$A$6:$A$66,0),MATCH(O$4,Fleet!$C$4:$T$4,0)))</f>
        <v/>
      </c>
      <c r="P15" s="27">
        <f>IF(P$4-$A15&lt;1970,0,INDEX(Fleet!$C$6:$T$66,MATCH(P$4-$A15,Fleet!$A$6:$A$66,0),MATCH(P$4,Fleet!$C$4:$T$4,0)))</f>
        <v/>
      </c>
      <c r="Q15" s="27">
        <f>IF(Q$4-$A15&lt;1970,0,INDEX(Fleet!$C$6:$T$66,MATCH(Q$4-$A15,Fleet!$A$6:$A$66,0),MATCH(Q$4,Fleet!$C$4:$T$4,0)))</f>
        <v/>
      </c>
      <c r="R15" s="27">
        <f>IF(R$4-$A15&lt;1970,0,INDEX(Fleet!$C$6:$T$66,MATCH(R$4-$A15,Fleet!$A$6:$A$66,0),MATCH(R$4,Fleet!$C$4:$T$4,0)))</f>
        <v/>
      </c>
      <c r="S15" s="27">
        <f>IF(S$4-$A15&lt;1970,0,INDEX(Fleet!$C$6:$T$66,MATCH(S$4-$A15,Fleet!$A$6:$A$66,0),MATCH(S$4,Fleet!$C$4:$T$4,0)))</f>
        <v/>
      </c>
      <c r="T15" s="27">
        <f>IF(T$4-$A15&lt;1970,0,INDEX(Fleet!$C$6:$T$66,MATCH(T$4-$A15,Fleet!$A$6:$A$66,0),MATCH(T$4,Fleet!$C$4:$T$4,0)))</f>
        <v/>
      </c>
    </row>
    <row r="16">
      <c r="A16" s="9" t="n">
        <v>10</v>
      </c>
      <c r="B16" s="29">
        <f>A16+0.5</f>
        <v/>
      </c>
      <c r="C16" s="27">
        <f>IF(C$4-$A16&lt;1970,0,INDEX(Fleet!$C$6:$T$66,MATCH(C$4-$A16,Fleet!$A$6:$A$66,0),MATCH(C$4,Fleet!$C$4:$T$4,0)))</f>
        <v/>
      </c>
      <c r="D16" s="27">
        <f>IF(D$4-$A16&lt;1970,0,INDEX(Fleet!$C$6:$T$66,MATCH(D$4-$A16,Fleet!$A$6:$A$66,0),MATCH(D$4,Fleet!$C$4:$T$4,0)))</f>
        <v/>
      </c>
      <c r="E16" s="27">
        <f>IF(E$4-$A16&lt;1970,0,INDEX(Fleet!$C$6:$T$66,MATCH(E$4-$A16,Fleet!$A$6:$A$66,0),MATCH(E$4,Fleet!$C$4:$T$4,0)))</f>
        <v/>
      </c>
      <c r="F16" s="27">
        <f>IF(F$4-$A16&lt;1970,0,INDEX(Fleet!$C$6:$T$66,MATCH(F$4-$A16,Fleet!$A$6:$A$66,0),MATCH(F$4,Fleet!$C$4:$T$4,0)))</f>
        <v/>
      </c>
      <c r="G16" s="27">
        <f>IF(G$4-$A16&lt;1970,0,INDEX(Fleet!$C$6:$T$66,MATCH(G$4-$A16,Fleet!$A$6:$A$66,0),MATCH(G$4,Fleet!$C$4:$T$4,0)))</f>
        <v/>
      </c>
      <c r="H16" s="27">
        <f>IF(H$4-$A16&lt;1970,0,INDEX(Fleet!$C$6:$T$66,MATCH(H$4-$A16,Fleet!$A$6:$A$66,0),MATCH(H$4,Fleet!$C$4:$T$4,0)))</f>
        <v/>
      </c>
      <c r="I16" s="27">
        <f>IF(I$4-$A16&lt;1970,0,INDEX(Fleet!$C$6:$T$66,MATCH(I$4-$A16,Fleet!$A$6:$A$66,0),MATCH(I$4,Fleet!$C$4:$T$4,0)))</f>
        <v/>
      </c>
      <c r="J16" s="27">
        <f>IF(J$4-$A16&lt;1970,0,INDEX(Fleet!$C$6:$T$66,MATCH(J$4-$A16,Fleet!$A$6:$A$66,0),MATCH(J$4,Fleet!$C$4:$T$4,0)))</f>
        <v/>
      </c>
      <c r="K16" s="27">
        <f>IF(K$4-$A16&lt;1970,0,INDEX(Fleet!$C$6:$T$66,MATCH(K$4-$A16,Fleet!$A$6:$A$66,0),MATCH(K$4,Fleet!$C$4:$T$4,0)))</f>
        <v/>
      </c>
      <c r="L16" s="27">
        <f>IF(L$4-$A16&lt;1970,0,INDEX(Fleet!$C$6:$T$66,MATCH(L$4-$A16,Fleet!$A$6:$A$66,0),MATCH(L$4,Fleet!$C$4:$T$4,0)))</f>
        <v/>
      </c>
      <c r="M16" s="27">
        <f>IF(M$4-$A16&lt;1970,0,INDEX(Fleet!$C$6:$T$66,MATCH(M$4-$A16,Fleet!$A$6:$A$66,0),MATCH(M$4,Fleet!$C$4:$T$4,0)))</f>
        <v/>
      </c>
      <c r="N16" s="27">
        <f>IF(N$4-$A16&lt;1970,0,INDEX(Fleet!$C$6:$T$66,MATCH(N$4-$A16,Fleet!$A$6:$A$66,0),MATCH(N$4,Fleet!$C$4:$T$4,0)))</f>
        <v/>
      </c>
      <c r="O16" s="27">
        <f>IF(O$4-$A16&lt;1970,0,INDEX(Fleet!$C$6:$T$66,MATCH(O$4-$A16,Fleet!$A$6:$A$66,0),MATCH(O$4,Fleet!$C$4:$T$4,0)))</f>
        <v/>
      </c>
      <c r="P16" s="27">
        <f>IF(P$4-$A16&lt;1970,0,INDEX(Fleet!$C$6:$T$66,MATCH(P$4-$A16,Fleet!$A$6:$A$66,0),MATCH(P$4,Fleet!$C$4:$T$4,0)))</f>
        <v/>
      </c>
      <c r="Q16" s="27">
        <f>IF(Q$4-$A16&lt;1970,0,INDEX(Fleet!$C$6:$T$66,MATCH(Q$4-$A16,Fleet!$A$6:$A$66,0),MATCH(Q$4,Fleet!$C$4:$T$4,0)))</f>
        <v/>
      </c>
      <c r="R16" s="27">
        <f>IF(R$4-$A16&lt;1970,0,INDEX(Fleet!$C$6:$T$66,MATCH(R$4-$A16,Fleet!$A$6:$A$66,0),MATCH(R$4,Fleet!$C$4:$T$4,0)))</f>
        <v/>
      </c>
      <c r="S16" s="27">
        <f>IF(S$4-$A16&lt;1970,0,INDEX(Fleet!$C$6:$T$66,MATCH(S$4-$A16,Fleet!$A$6:$A$66,0),MATCH(S$4,Fleet!$C$4:$T$4,0)))</f>
        <v/>
      </c>
      <c r="T16" s="27">
        <f>IF(T$4-$A16&lt;1970,0,INDEX(Fleet!$C$6:$T$66,MATCH(T$4-$A16,Fleet!$A$6:$A$66,0),MATCH(T$4,Fleet!$C$4:$T$4,0)))</f>
        <v/>
      </c>
    </row>
    <row r="17">
      <c r="A17" s="9" t="n">
        <v>11</v>
      </c>
      <c r="B17" s="29">
        <f>A17+0.5</f>
        <v/>
      </c>
      <c r="C17" s="27">
        <f>IF(C$4-$A17&lt;1970,0,INDEX(Fleet!$C$6:$T$66,MATCH(C$4-$A17,Fleet!$A$6:$A$66,0),MATCH(C$4,Fleet!$C$4:$T$4,0)))</f>
        <v/>
      </c>
      <c r="D17" s="27">
        <f>IF(D$4-$A17&lt;1970,0,INDEX(Fleet!$C$6:$T$66,MATCH(D$4-$A17,Fleet!$A$6:$A$66,0),MATCH(D$4,Fleet!$C$4:$T$4,0)))</f>
        <v/>
      </c>
      <c r="E17" s="27">
        <f>IF(E$4-$A17&lt;1970,0,INDEX(Fleet!$C$6:$T$66,MATCH(E$4-$A17,Fleet!$A$6:$A$66,0),MATCH(E$4,Fleet!$C$4:$T$4,0)))</f>
        <v/>
      </c>
      <c r="F17" s="27">
        <f>IF(F$4-$A17&lt;1970,0,INDEX(Fleet!$C$6:$T$66,MATCH(F$4-$A17,Fleet!$A$6:$A$66,0),MATCH(F$4,Fleet!$C$4:$T$4,0)))</f>
        <v/>
      </c>
      <c r="G17" s="27">
        <f>IF(G$4-$A17&lt;1970,0,INDEX(Fleet!$C$6:$T$66,MATCH(G$4-$A17,Fleet!$A$6:$A$66,0),MATCH(G$4,Fleet!$C$4:$T$4,0)))</f>
        <v/>
      </c>
      <c r="H17" s="27">
        <f>IF(H$4-$A17&lt;1970,0,INDEX(Fleet!$C$6:$T$66,MATCH(H$4-$A17,Fleet!$A$6:$A$66,0),MATCH(H$4,Fleet!$C$4:$T$4,0)))</f>
        <v/>
      </c>
      <c r="I17" s="27">
        <f>IF(I$4-$A17&lt;1970,0,INDEX(Fleet!$C$6:$T$66,MATCH(I$4-$A17,Fleet!$A$6:$A$66,0),MATCH(I$4,Fleet!$C$4:$T$4,0)))</f>
        <v/>
      </c>
      <c r="J17" s="27">
        <f>IF(J$4-$A17&lt;1970,0,INDEX(Fleet!$C$6:$T$66,MATCH(J$4-$A17,Fleet!$A$6:$A$66,0),MATCH(J$4,Fleet!$C$4:$T$4,0)))</f>
        <v/>
      </c>
      <c r="K17" s="27">
        <f>IF(K$4-$A17&lt;1970,0,INDEX(Fleet!$C$6:$T$66,MATCH(K$4-$A17,Fleet!$A$6:$A$66,0),MATCH(K$4,Fleet!$C$4:$T$4,0)))</f>
        <v/>
      </c>
      <c r="L17" s="27">
        <f>IF(L$4-$A17&lt;1970,0,INDEX(Fleet!$C$6:$T$66,MATCH(L$4-$A17,Fleet!$A$6:$A$66,0),MATCH(L$4,Fleet!$C$4:$T$4,0)))</f>
        <v/>
      </c>
      <c r="M17" s="27">
        <f>IF(M$4-$A17&lt;1970,0,INDEX(Fleet!$C$6:$T$66,MATCH(M$4-$A17,Fleet!$A$6:$A$66,0),MATCH(M$4,Fleet!$C$4:$T$4,0)))</f>
        <v/>
      </c>
      <c r="N17" s="27">
        <f>IF(N$4-$A17&lt;1970,0,INDEX(Fleet!$C$6:$T$66,MATCH(N$4-$A17,Fleet!$A$6:$A$66,0),MATCH(N$4,Fleet!$C$4:$T$4,0)))</f>
        <v/>
      </c>
      <c r="O17" s="27">
        <f>IF(O$4-$A17&lt;1970,0,INDEX(Fleet!$C$6:$T$66,MATCH(O$4-$A17,Fleet!$A$6:$A$66,0),MATCH(O$4,Fleet!$C$4:$T$4,0)))</f>
        <v/>
      </c>
      <c r="P17" s="27">
        <f>IF(P$4-$A17&lt;1970,0,INDEX(Fleet!$C$6:$T$66,MATCH(P$4-$A17,Fleet!$A$6:$A$66,0),MATCH(P$4,Fleet!$C$4:$T$4,0)))</f>
        <v/>
      </c>
      <c r="Q17" s="27">
        <f>IF(Q$4-$A17&lt;1970,0,INDEX(Fleet!$C$6:$T$66,MATCH(Q$4-$A17,Fleet!$A$6:$A$66,0),MATCH(Q$4,Fleet!$C$4:$T$4,0)))</f>
        <v/>
      </c>
      <c r="R17" s="27">
        <f>IF(R$4-$A17&lt;1970,0,INDEX(Fleet!$C$6:$T$66,MATCH(R$4-$A17,Fleet!$A$6:$A$66,0),MATCH(R$4,Fleet!$C$4:$T$4,0)))</f>
        <v/>
      </c>
      <c r="S17" s="27">
        <f>IF(S$4-$A17&lt;1970,0,INDEX(Fleet!$C$6:$T$66,MATCH(S$4-$A17,Fleet!$A$6:$A$66,0),MATCH(S$4,Fleet!$C$4:$T$4,0)))</f>
        <v/>
      </c>
      <c r="T17" s="27">
        <f>IF(T$4-$A17&lt;1970,0,INDEX(Fleet!$C$6:$T$66,MATCH(T$4-$A17,Fleet!$A$6:$A$66,0),MATCH(T$4,Fleet!$C$4:$T$4,0)))</f>
        <v/>
      </c>
    </row>
    <row r="18">
      <c r="A18" s="9" t="n">
        <v>12</v>
      </c>
      <c r="B18" s="29">
        <f>A18+0.5</f>
        <v/>
      </c>
      <c r="C18" s="27">
        <f>IF(C$4-$A18&lt;1970,0,INDEX(Fleet!$C$6:$T$66,MATCH(C$4-$A18,Fleet!$A$6:$A$66,0),MATCH(C$4,Fleet!$C$4:$T$4,0)))</f>
        <v/>
      </c>
      <c r="D18" s="27">
        <f>IF(D$4-$A18&lt;1970,0,INDEX(Fleet!$C$6:$T$66,MATCH(D$4-$A18,Fleet!$A$6:$A$66,0),MATCH(D$4,Fleet!$C$4:$T$4,0)))</f>
        <v/>
      </c>
      <c r="E18" s="27">
        <f>IF(E$4-$A18&lt;1970,0,INDEX(Fleet!$C$6:$T$66,MATCH(E$4-$A18,Fleet!$A$6:$A$66,0),MATCH(E$4,Fleet!$C$4:$T$4,0)))</f>
        <v/>
      </c>
      <c r="F18" s="27">
        <f>IF(F$4-$A18&lt;1970,0,INDEX(Fleet!$C$6:$T$66,MATCH(F$4-$A18,Fleet!$A$6:$A$66,0),MATCH(F$4,Fleet!$C$4:$T$4,0)))</f>
        <v/>
      </c>
      <c r="G18" s="27">
        <f>IF(G$4-$A18&lt;1970,0,INDEX(Fleet!$C$6:$T$66,MATCH(G$4-$A18,Fleet!$A$6:$A$66,0),MATCH(G$4,Fleet!$C$4:$T$4,0)))</f>
        <v/>
      </c>
      <c r="H18" s="27">
        <f>IF(H$4-$A18&lt;1970,0,INDEX(Fleet!$C$6:$T$66,MATCH(H$4-$A18,Fleet!$A$6:$A$66,0),MATCH(H$4,Fleet!$C$4:$T$4,0)))</f>
        <v/>
      </c>
      <c r="I18" s="27">
        <f>IF(I$4-$A18&lt;1970,0,INDEX(Fleet!$C$6:$T$66,MATCH(I$4-$A18,Fleet!$A$6:$A$66,0),MATCH(I$4,Fleet!$C$4:$T$4,0)))</f>
        <v/>
      </c>
      <c r="J18" s="27">
        <f>IF(J$4-$A18&lt;1970,0,INDEX(Fleet!$C$6:$T$66,MATCH(J$4-$A18,Fleet!$A$6:$A$66,0),MATCH(J$4,Fleet!$C$4:$T$4,0)))</f>
        <v/>
      </c>
      <c r="K18" s="27">
        <f>IF(K$4-$A18&lt;1970,0,INDEX(Fleet!$C$6:$T$66,MATCH(K$4-$A18,Fleet!$A$6:$A$66,0),MATCH(K$4,Fleet!$C$4:$T$4,0)))</f>
        <v/>
      </c>
      <c r="L18" s="27">
        <f>IF(L$4-$A18&lt;1970,0,INDEX(Fleet!$C$6:$T$66,MATCH(L$4-$A18,Fleet!$A$6:$A$66,0),MATCH(L$4,Fleet!$C$4:$T$4,0)))</f>
        <v/>
      </c>
      <c r="M18" s="27">
        <f>IF(M$4-$A18&lt;1970,0,INDEX(Fleet!$C$6:$T$66,MATCH(M$4-$A18,Fleet!$A$6:$A$66,0),MATCH(M$4,Fleet!$C$4:$T$4,0)))</f>
        <v/>
      </c>
      <c r="N18" s="27">
        <f>IF(N$4-$A18&lt;1970,0,INDEX(Fleet!$C$6:$T$66,MATCH(N$4-$A18,Fleet!$A$6:$A$66,0),MATCH(N$4,Fleet!$C$4:$T$4,0)))</f>
        <v/>
      </c>
      <c r="O18" s="27">
        <f>IF(O$4-$A18&lt;1970,0,INDEX(Fleet!$C$6:$T$66,MATCH(O$4-$A18,Fleet!$A$6:$A$66,0),MATCH(O$4,Fleet!$C$4:$T$4,0)))</f>
        <v/>
      </c>
      <c r="P18" s="27">
        <f>IF(P$4-$A18&lt;1970,0,INDEX(Fleet!$C$6:$T$66,MATCH(P$4-$A18,Fleet!$A$6:$A$66,0),MATCH(P$4,Fleet!$C$4:$T$4,0)))</f>
        <v/>
      </c>
      <c r="Q18" s="27">
        <f>IF(Q$4-$A18&lt;1970,0,INDEX(Fleet!$C$6:$T$66,MATCH(Q$4-$A18,Fleet!$A$6:$A$66,0),MATCH(Q$4,Fleet!$C$4:$T$4,0)))</f>
        <v/>
      </c>
      <c r="R18" s="27">
        <f>IF(R$4-$A18&lt;1970,0,INDEX(Fleet!$C$6:$T$66,MATCH(R$4-$A18,Fleet!$A$6:$A$66,0),MATCH(R$4,Fleet!$C$4:$T$4,0)))</f>
        <v/>
      </c>
      <c r="S18" s="27">
        <f>IF(S$4-$A18&lt;1970,0,INDEX(Fleet!$C$6:$T$66,MATCH(S$4-$A18,Fleet!$A$6:$A$66,0),MATCH(S$4,Fleet!$C$4:$T$4,0)))</f>
        <v/>
      </c>
      <c r="T18" s="27">
        <f>IF(T$4-$A18&lt;1970,0,INDEX(Fleet!$C$6:$T$66,MATCH(T$4-$A18,Fleet!$A$6:$A$66,0),MATCH(T$4,Fleet!$C$4:$T$4,0)))</f>
        <v/>
      </c>
    </row>
    <row r="19">
      <c r="A19" s="9" t="n">
        <v>13</v>
      </c>
      <c r="B19" s="29">
        <f>A19+0.5</f>
        <v/>
      </c>
      <c r="C19" s="27">
        <f>IF(C$4-$A19&lt;1970,0,INDEX(Fleet!$C$6:$T$66,MATCH(C$4-$A19,Fleet!$A$6:$A$66,0),MATCH(C$4,Fleet!$C$4:$T$4,0)))</f>
        <v/>
      </c>
      <c r="D19" s="27">
        <f>IF(D$4-$A19&lt;1970,0,INDEX(Fleet!$C$6:$T$66,MATCH(D$4-$A19,Fleet!$A$6:$A$66,0),MATCH(D$4,Fleet!$C$4:$T$4,0)))</f>
        <v/>
      </c>
      <c r="E19" s="27">
        <f>IF(E$4-$A19&lt;1970,0,INDEX(Fleet!$C$6:$T$66,MATCH(E$4-$A19,Fleet!$A$6:$A$66,0),MATCH(E$4,Fleet!$C$4:$T$4,0)))</f>
        <v/>
      </c>
      <c r="F19" s="27">
        <f>IF(F$4-$A19&lt;1970,0,INDEX(Fleet!$C$6:$T$66,MATCH(F$4-$A19,Fleet!$A$6:$A$66,0),MATCH(F$4,Fleet!$C$4:$T$4,0)))</f>
        <v/>
      </c>
      <c r="G19" s="27">
        <f>IF(G$4-$A19&lt;1970,0,INDEX(Fleet!$C$6:$T$66,MATCH(G$4-$A19,Fleet!$A$6:$A$66,0),MATCH(G$4,Fleet!$C$4:$T$4,0)))</f>
        <v/>
      </c>
      <c r="H19" s="27">
        <f>IF(H$4-$A19&lt;1970,0,INDEX(Fleet!$C$6:$T$66,MATCH(H$4-$A19,Fleet!$A$6:$A$66,0),MATCH(H$4,Fleet!$C$4:$T$4,0)))</f>
        <v/>
      </c>
      <c r="I19" s="27">
        <f>IF(I$4-$A19&lt;1970,0,INDEX(Fleet!$C$6:$T$66,MATCH(I$4-$A19,Fleet!$A$6:$A$66,0),MATCH(I$4,Fleet!$C$4:$T$4,0)))</f>
        <v/>
      </c>
      <c r="J19" s="27">
        <f>IF(J$4-$A19&lt;1970,0,INDEX(Fleet!$C$6:$T$66,MATCH(J$4-$A19,Fleet!$A$6:$A$66,0),MATCH(J$4,Fleet!$C$4:$T$4,0)))</f>
        <v/>
      </c>
      <c r="K19" s="27">
        <f>IF(K$4-$A19&lt;1970,0,INDEX(Fleet!$C$6:$T$66,MATCH(K$4-$A19,Fleet!$A$6:$A$66,0),MATCH(K$4,Fleet!$C$4:$T$4,0)))</f>
        <v/>
      </c>
      <c r="L19" s="27">
        <f>IF(L$4-$A19&lt;1970,0,INDEX(Fleet!$C$6:$T$66,MATCH(L$4-$A19,Fleet!$A$6:$A$66,0),MATCH(L$4,Fleet!$C$4:$T$4,0)))</f>
        <v/>
      </c>
      <c r="M19" s="27">
        <f>IF(M$4-$A19&lt;1970,0,INDEX(Fleet!$C$6:$T$66,MATCH(M$4-$A19,Fleet!$A$6:$A$66,0),MATCH(M$4,Fleet!$C$4:$T$4,0)))</f>
        <v/>
      </c>
      <c r="N19" s="27">
        <f>IF(N$4-$A19&lt;1970,0,INDEX(Fleet!$C$6:$T$66,MATCH(N$4-$A19,Fleet!$A$6:$A$66,0),MATCH(N$4,Fleet!$C$4:$T$4,0)))</f>
        <v/>
      </c>
      <c r="O19" s="27">
        <f>IF(O$4-$A19&lt;1970,0,INDEX(Fleet!$C$6:$T$66,MATCH(O$4-$A19,Fleet!$A$6:$A$66,0),MATCH(O$4,Fleet!$C$4:$T$4,0)))</f>
        <v/>
      </c>
      <c r="P19" s="27">
        <f>IF(P$4-$A19&lt;1970,0,INDEX(Fleet!$C$6:$T$66,MATCH(P$4-$A19,Fleet!$A$6:$A$66,0),MATCH(P$4,Fleet!$C$4:$T$4,0)))</f>
        <v/>
      </c>
      <c r="Q19" s="27">
        <f>IF(Q$4-$A19&lt;1970,0,INDEX(Fleet!$C$6:$T$66,MATCH(Q$4-$A19,Fleet!$A$6:$A$66,0),MATCH(Q$4,Fleet!$C$4:$T$4,0)))</f>
        <v/>
      </c>
      <c r="R19" s="27">
        <f>IF(R$4-$A19&lt;1970,0,INDEX(Fleet!$C$6:$T$66,MATCH(R$4-$A19,Fleet!$A$6:$A$66,0),MATCH(R$4,Fleet!$C$4:$T$4,0)))</f>
        <v/>
      </c>
      <c r="S19" s="27">
        <f>IF(S$4-$A19&lt;1970,0,INDEX(Fleet!$C$6:$T$66,MATCH(S$4-$A19,Fleet!$A$6:$A$66,0),MATCH(S$4,Fleet!$C$4:$T$4,0)))</f>
        <v/>
      </c>
      <c r="T19" s="27">
        <f>IF(T$4-$A19&lt;1970,0,INDEX(Fleet!$C$6:$T$66,MATCH(T$4-$A19,Fleet!$A$6:$A$66,0),MATCH(T$4,Fleet!$C$4:$T$4,0)))</f>
        <v/>
      </c>
    </row>
    <row r="20">
      <c r="A20" s="9" t="n">
        <v>14</v>
      </c>
      <c r="B20" s="29">
        <f>A20+0.5</f>
        <v/>
      </c>
      <c r="C20" s="27">
        <f>IF(C$4-$A20&lt;1970,0,INDEX(Fleet!$C$6:$T$66,MATCH(C$4-$A20,Fleet!$A$6:$A$66,0),MATCH(C$4,Fleet!$C$4:$T$4,0)))</f>
        <v/>
      </c>
      <c r="D20" s="27">
        <f>IF(D$4-$A20&lt;1970,0,INDEX(Fleet!$C$6:$T$66,MATCH(D$4-$A20,Fleet!$A$6:$A$66,0),MATCH(D$4,Fleet!$C$4:$T$4,0)))</f>
        <v/>
      </c>
      <c r="E20" s="27">
        <f>IF(E$4-$A20&lt;1970,0,INDEX(Fleet!$C$6:$T$66,MATCH(E$4-$A20,Fleet!$A$6:$A$66,0),MATCH(E$4,Fleet!$C$4:$T$4,0)))</f>
        <v/>
      </c>
      <c r="F20" s="27">
        <f>IF(F$4-$A20&lt;1970,0,INDEX(Fleet!$C$6:$T$66,MATCH(F$4-$A20,Fleet!$A$6:$A$66,0),MATCH(F$4,Fleet!$C$4:$T$4,0)))</f>
        <v/>
      </c>
      <c r="G20" s="27">
        <f>IF(G$4-$A20&lt;1970,0,INDEX(Fleet!$C$6:$T$66,MATCH(G$4-$A20,Fleet!$A$6:$A$66,0),MATCH(G$4,Fleet!$C$4:$T$4,0)))</f>
        <v/>
      </c>
      <c r="H20" s="27">
        <f>IF(H$4-$A20&lt;1970,0,INDEX(Fleet!$C$6:$T$66,MATCH(H$4-$A20,Fleet!$A$6:$A$66,0),MATCH(H$4,Fleet!$C$4:$T$4,0)))</f>
        <v/>
      </c>
      <c r="I20" s="27">
        <f>IF(I$4-$A20&lt;1970,0,INDEX(Fleet!$C$6:$T$66,MATCH(I$4-$A20,Fleet!$A$6:$A$66,0),MATCH(I$4,Fleet!$C$4:$T$4,0)))</f>
        <v/>
      </c>
      <c r="J20" s="27">
        <f>IF(J$4-$A20&lt;1970,0,INDEX(Fleet!$C$6:$T$66,MATCH(J$4-$A20,Fleet!$A$6:$A$66,0),MATCH(J$4,Fleet!$C$4:$T$4,0)))</f>
        <v/>
      </c>
      <c r="K20" s="27">
        <f>IF(K$4-$A20&lt;1970,0,INDEX(Fleet!$C$6:$T$66,MATCH(K$4-$A20,Fleet!$A$6:$A$66,0),MATCH(K$4,Fleet!$C$4:$T$4,0)))</f>
        <v/>
      </c>
      <c r="L20" s="27">
        <f>IF(L$4-$A20&lt;1970,0,INDEX(Fleet!$C$6:$T$66,MATCH(L$4-$A20,Fleet!$A$6:$A$66,0),MATCH(L$4,Fleet!$C$4:$T$4,0)))</f>
        <v/>
      </c>
      <c r="M20" s="27">
        <f>IF(M$4-$A20&lt;1970,0,INDEX(Fleet!$C$6:$T$66,MATCH(M$4-$A20,Fleet!$A$6:$A$66,0),MATCH(M$4,Fleet!$C$4:$T$4,0)))</f>
        <v/>
      </c>
      <c r="N20" s="27">
        <f>IF(N$4-$A20&lt;1970,0,INDEX(Fleet!$C$6:$T$66,MATCH(N$4-$A20,Fleet!$A$6:$A$66,0),MATCH(N$4,Fleet!$C$4:$T$4,0)))</f>
        <v/>
      </c>
      <c r="O20" s="27">
        <f>IF(O$4-$A20&lt;1970,0,INDEX(Fleet!$C$6:$T$66,MATCH(O$4-$A20,Fleet!$A$6:$A$66,0),MATCH(O$4,Fleet!$C$4:$T$4,0)))</f>
        <v/>
      </c>
      <c r="P20" s="27">
        <f>IF(P$4-$A20&lt;1970,0,INDEX(Fleet!$C$6:$T$66,MATCH(P$4-$A20,Fleet!$A$6:$A$66,0),MATCH(P$4,Fleet!$C$4:$T$4,0)))</f>
        <v/>
      </c>
      <c r="Q20" s="27">
        <f>IF(Q$4-$A20&lt;1970,0,INDEX(Fleet!$C$6:$T$66,MATCH(Q$4-$A20,Fleet!$A$6:$A$66,0),MATCH(Q$4,Fleet!$C$4:$T$4,0)))</f>
        <v/>
      </c>
      <c r="R20" s="27">
        <f>IF(R$4-$A20&lt;1970,0,INDEX(Fleet!$C$6:$T$66,MATCH(R$4-$A20,Fleet!$A$6:$A$66,0),MATCH(R$4,Fleet!$C$4:$T$4,0)))</f>
        <v/>
      </c>
      <c r="S20" s="27">
        <f>IF(S$4-$A20&lt;1970,0,INDEX(Fleet!$C$6:$T$66,MATCH(S$4-$A20,Fleet!$A$6:$A$66,0),MATCH(S$4,Fleet!$C$4:$T$4,0)))</f>
        <v/>
      </c>
      <c r="T20" s="27">
        <f>IF(T$4-$A20&lt;1970,0,INDEX(Fleet!$C$6:$T$66,MATCH(T$4-$A20,Fleet!$A$6:$A$66,0),MATCH(T$4,Fleet!$C$4:$T$4,0)))</f>
        <v/>
      </c>
    </row>
    <row r="21">
      <c r="A21" s="9" t="n">
        <v>15</v>
      </c>
      <c r="B21" s="29">
        <f>A21+0.5</f>
        <v/>
      </c>
      <c r="C21" s="27">
        <f>IF(C$4-$A21&lt;1970,0,INDEX(Fleet!$C$6:$T$66,MATCH(C$4-$A21,Fleet!$A$6:$A$66,0),MATCH(C$4,Fleet!$C$4:$T$4,0)))</f>
        <v/>
      </c>
      <c r="D21" s="27">
        <f>IF(D$4-$A21&lt;1970,0,INDEX(Fleet!$C$6:$T$66,MATCH(D$4-$A21,Fleet!$A$6:$A$66,0),MATCH(D$4,Fleet!$C$4:$T$4,0)))</f>
        <v/>
      </c>
      <c r="E21" s="27">
        <f>IF(E$4-$A21&lt;1970,0,INDEX(Fleet!$C$6:$T$66,MATCH(E$4-$A21,Fleet!$A$6:$A$66,0),MATCH(E$4,Fleet!$C$4:$T$4,0)))</f>
        <v/>
      </c>
      <c r="F21" s="27">
        <f>IF(F$4-$A21&lt;1970,0,INDEX(Fleet!$C$6:$T$66,MATCH(F$4-$A21,Fleet!$A$6:$A$66,0),MATCH(F$4,Fleet!$C$4:$T$4,0)))</f>
        <v/>
      </c>
      <c r="G21" s="27">
        <f>IF(G$4-$A21&lt;1970,0,INDEX(Fleet!$C$6:$T$66,MATCH(G$4-$A21,Fleet!$A$6:$A$66,0),MATCH(G$4,Fleet!$C$4:$T$4,0)))</f>
        <v/>
      </c>
      <c r="H21" s="27">
        <f>IF(H$4-$A21&lt;1970,0,INDEX(Fleet!$C$6:$T$66,MATCH(H$4-$A21,Fleet!$A$6:$A$66,0),MATCH(H$4,Fleet!$C$4:$T$4,0)))</f>
        <v/>
      </c>
      <c r="I21" s="27">
        <f>IF(I$4-$A21&lt;1970,0,INDEX(Fleet!$C$6:$T$66,MATCH(I$4-$A21,Fleet!$A$6:$A$66,0),MATCH(I$4,Fleet!$C$4:$T$4,0)))</f>
        <v/>
      </c>
      <c r="J21" s="27">
        <f>IF(J$4-$A21&lt;1970,0,INDEX(Fleet!$C$6:$T$66,MATCH(J$4-$A21,Fleet!$A$6:$A$66,0),MATCH(J$4,Fleet!$C$4:$T$4,0)))</f>
        <v/>
      </c>
      <c r="K21" s="27">
        <f>IF(K$4-$A21&lt;1970,0,INDEX(Fleet!$C$6:$T$66,MATCH(K$4-$A21,Fleet!$A$6:$A$66,0),MATCH(K$4,Fleet!$C$4:$T$4,0)))</f>
        <v/>
      </c>
      <c r="L21" s="27">
        <f>IF(L$4-$A21&lt;1970,0,INDEX(Fleet!$C$6:$T$66,MATCH(L$4-$A21,Fleet!$A$6:$A$66,0),MATCH(L$4,Fleet!$C$4:$T$4,0)))</f>
        <v/>
      </c>
      <c r="M21" s="27">
        <f>IF(M$4-$A21&lt;1970,0,INDEX(Fleet!$C$6:$T$66,MATCH(M$4-$A21,Fleet!$A$6:$A$66,0),MATCH(M$4,Fleet!$C$4:$T$4,0)))</f>
        <v/>
      </c>
      <c r="N21" s="27">
        <f>IF(N$4-$A21&lt;1970,0,INDEX(Fleet!$C$6:$T$66,MATCH(N$4-$A21,Fleet!$A$6:$A$66,0),MATCH(N$4,Fleet!$C$4:$T$4,0)))</f>
        <v/>
      </c>
      <c r="O21" s="27">
        <f>IF(O$4-$A21&lt;1970,0,INDEX(Fleet!$C$6:$T$66,MATCH(O$4-$A21,Fleet!$A$6:$A$66,0),MATCH(O$4,Fleet!$C$4:$T$4,0)))</f>
        <v/>
      </c>
      <c r="P21" s="27">
        <f>IF(P$4-$A21&lt;1970,0,INDEX(Fleet!$C$6:$T$66,MATCH(P$4-$A21,Fleet!$A$6:$A$66,0),MATCH(P$4,Fleet!$C$4:$T$4,0)))</f>
        <v/>
      </c>
      <c r="Q21" s="27">
        <f>IF(Q$4-$A21&lt;1970,0,INDEX(Fleet!$C$6:$T$66,MATCH(Q$4-$A21,Fleet!$A$6:$A$66,0),MATCH(Q$4,Fleet!$C$4:$T$4,0)))</f>
        <v/>
      </c>
      <c r="R21" s="27">
        <f>IF(R$4-$A21&lt;1970,0,INDEX(Fleet!$C$6:$T$66,MATCH(R$4-$A21,Fleet!$A$6:$A$66,0),MATCH(R$4,Fleet!$C$4:$T$4,0)))</f>
        <v/>
      </c>
      <c r="S21" s="27">
        <f>IF(S$4-$A21&lt;1970,0,INDEX(Fleet!$C$6:$T$66,MATCH(S$4-$A21,Fleet!$A$6:$A$66,0),MATCH(S$4,Fleet!$C$4:$T$4,0)))</f>
        <v/>
      </c>
      <c r="T21" s="27">
        <f>IF(T$4-$A21&lt;1970,0,INDEX(Fleet!$C$6:$T$66,MATCH(T$4-$A21,Fleet!$A$6:$A$66,0),MATCH(T$4,Fleet!$C$4:$T$4,0)))</f>
        <v/>
      </c>
    </row>
    <row r="22">
      <c r="A22" s="9" t="n">
        <v>16</v>
      </c>
      <c r="B22" s="29">
        <f>A22+0.5</f>
        <v/>
      </c>
      <c r="C22" s="27">
        <f>IF(C$4-$A22&lt;1970,0,INDEX(Fleet!$C$6:$T$66,MATCH(C$4-$A22,Fleet!$A$6:$A$66,0),MATCH(C$4,Fleet!$C$4:$T$4,0)))</f>
        <v/>
      </c>
      <c r="D22" s="27">
        <f>IF(D$4-$A22&lt;1970,0,INDEX(Fleet!$C$6:$T$66,MATCH(D$4-$A22,Fleet!$A$6:$A$66,0),MATCH(D$4,Fleet!$C$4:$T$4,0)))</f>
        <v/>
      </c>
      <c r="E22" s="27">
        <f>IF(E$4-$A22&lt;1970,0,INDEX(Fleet!$C$6:$T$66,MATCH(E$4-$A22,Fleet!$A$6:$A$66,0),MATCH(E$4,Fleet!$C$4:$T$4,0)))</f>
        <v/>
      </c>
      <c r="F22" s="27">
        <f>IF(F$4-$A22&lt;1970,0,INDEX(Fleet!$C$6:$T$66,MATCH(F$4-$A22,Fleet!$A$6:$A$66,0),MATCH(F$4,Fleet!$C$4:$T$4,0)))</f>
        <v/>
      </c>
      <c r="G22" s="27">
        <f>IF(G$4-$A22&lt;1970,0,INDEX(Fleet!$C$6:$T$66,MATCH(G$4-$A22,Fleet!$A$6:$A$66,0),MATCH(G$4,Fleet!$C$4:$T$4,0)))</f>
        <v/>
      </c>
      <c r="H22" s="27">
        <f>IF(H$4-$A22&lt;1970,0,INDEX(Fleet!$C$6:$T$66,MATCH(H$4-$A22,Fleet!$A$6:$A$66,0),MATCH(H$4,Fleet!$C$4:$T$4,0)))</f>
        <v/>
      </c>
      <c r="I22" s="27">
        <f>IF(I$4-$A22&lt;1970,0,INDEX(Fleet!$C$6:$T$66,MATCH(I$4-$A22,Fleet!$A$6:$A$66,0),MATCH(I$4,Fleet!$C$4:$T$4,0)))</f>
        <v/>
      </c>
      <c r="J22" s="27">
        <f>IF(J$4-$A22&lt;1970,0,INDEX(Fleet!$C$6:$T$66,MATCH(J$4-$A22,Fleet!$A$6:$A$66,0),MATCH(J$4,Fleet!$C$4:$T$4,0)))</f>
        <v/>
      </c>
      <c r="K22" s="27">
        <f>IF(K$4-$A22&lt;1970,0,INDEX(Fleet!$C$6:$T$66,MATCH(K$4-$A22,Fleet!$A$6:$A$66,0),MATCH(K$4,Fleet!$C$4:$T$4,0)))</f>
        <v/>
      </c>
      <c r="L22" s="27">
        <f>IF(L$4-$A22&lt;1970,0,INDEX(Fleet!$C$6:$T$66,MATCH(L$4-$A22,Fleet!$A$6:$A$66,0),MATCH(L$4,Fleet!$C$4:$T$4,0)))</f>
        <v/>
      </c>
      <c r="M22" s="27">
        <f>IF(M$4-$A22&lt;1970,0,INDEX(Fleet!$C$6:$T$66,MATCH(M$4-$A22,Fleet!$A$6:$A$66,0),MATCH(M$4,Fleet!$C$4:$T$4,0)))</f>
        <v/>
      </c>
      <c r="N22" s="27">
        <f>IF(N$4-$A22&lt;1970,0,INDEX(Fleet!$C$6:$T$66,MATCH(N$4-$A22,Fleet!$A$6:$A$66,0),MATCH(N$4,Fleet!$C$4:$T$4,0)))</f>
        <v/>
      </c>
      <c r="O22" s="27">
        <f>IF(O$4-$A22&lt;1970,0,INDEX(Fleet!$C$6:$T$66,MATCH(O$4-$A22,Fleet!$A$6:$A$66,0),MATCH(O$4,Fleet!$C$4:$T$4,0)))</f>
        <v/>
      </c>
      <c r="P22" s="27">
        <f>IF(P$4-$A22&lt;1970,0,INDEX(Fleet!$C$6:$T$66,MATCH(P$4-$A22,Fleet!$A$6:$A$66,0),MATCH(P$4,Fleet!$C$4:$T$4,0)))</f>
        <v/>
      </c>
      <c r="Q22" s="27">
        <f>IF(Q$4-$A22&lt;1970,0,INDEX(Fleet!$C$6:$T$66,MATCH(Q$4-$A22,Fleet!$A$6:$A$66,0),MATCH(Q$4,Fleet!$C$4:$T$4,0)))</f>
        <v/>
      </c>
      <c r="R22" s="27">
        <f>IF(R$4-$A22&lt;1970,0,INDEX(Fleet!$C$6:$T$66,MATCH(R$4-$A22,Fleet!$A$6:$A$66,0),MATCH(R$4,Fleet!$C$4:$T$4,0)))</f>
        <v/>
      </c>
      <c r="S22" s="27">
        <f>IF(S$4-$A22&lt;1970,0,INDEX(Fleet!$C$6:$T$66,MATCH(S$4-$A22,Fleet!$A$6:$A$66,0),MATCH(S$4,Fleet!$C$4:$T$4,0)))</f>
        <v/>
      </c>
      <c r="T22" s="27">
        <f>IF(T$4-$A22&lt;1970,0,INDEX(Fleet!$C$6:$T$66,MATCH(T$4-$A22,Fleet!$A$6:$A$66,0),MATCH(T$4,Fleet!$C$4:$T$4,0)))</f>
        <v/>
      </c>
    </row>
    <row r="23">
      <c r="A23" s="9" t="n">
        <v>17</v>
      </c>
      <c r="B23" s="29">
        <f>A23+0.5</f>
        <v/>
      </c>
      <c r="C23" s="27">
        <f>IF(C$4-$A23&lt;1970,0,INDEX(Fleet!$C$6:$T$66,MATCH(C$4-$A23,Fleet!$A$6:$A$66,0),MATCH(C$4,Fleet!$C$4:$T$4,0)))</f>
        <v/>
      </c>
      <c r="D23" s="27">
        <f>IF(D$4-$A23&lt;1970,0,INDEX(Fleet!$C$6:$T$66,MATCH(D$4-$A23,Fleet!$A$6:$A$66,0),MATCH(D$4,Fleet!$C$4:$T$4,0)))</f>
        <v/>
      </c>
      <c r="E23" s="27">
        <f>IF(E$4-$A23&lt;1970,0,INDEX(Fleet!$C$6:$T$66,MATCH(E$4-$A23,Fleet!$A$6:$A$66,0),MATCH(E$4,Fleet!$C$4:$T$4,0)))</f>
        <v/>
      </c>
      <c r="F23" s="27">
        <f>IF(F$4-$A23&lt;1970,0,INDEX(Fleet!$C$6:$T$66,MATCH(F$4-$A23,Fleet!$A$6:$A$66,0),MATCH(F$4,Fleet!$C$4:$T$4,0)))</f>
        <v/>
      </c>
      <c r="G23" s="27">
        <f>IF(G$4-$A23&lt;1970,0,INDEX(Fleet!$C$6:$T$66,MATCH(G$4-$A23,Fleet!$A$6:$A$66,0),MATCH(G$4,Fleet!$C$4:$T$4,0)))</f>
        <v/>
      </c>
      <c r="H23" s="27">
        <f>IF(H$4-$A23&lt;1970,0,INDEX(Fleet!$C$6:$T$66,MATCH(H$4-$A23,Fleet!$A$6:$A$66,0),MATCH(H$4,Fleet!$C$4:$T$4,0)))</f>
        <v/>
      </c>
      <c r="I23" s="27">
        <f>IF(I$4-$A23&lt;1970,0,INDEX(Fleet!$C$6:$T$66,MATCH(I$4-$A23,Fleet!$A$6:$A$66,0),MATCH(I$4,Fleet!$C$4:$T$4,0)))</f>
        <v/>
      </c>
      <c r="J23" s="27">
        <f>IF(J$4-$A23&lt;1970,0,INDEX(Fleet!$C$6:$T$66,MATCH(J$4-$A23,Fleet!$A$6:$A$66,0),MATCH(J$4,Fleet!$C$4:$T$4,0)))</f>
        <v/>
      </c>
      <c r="K23" s="27">
        <f>IF(K$4-$A23&lt;1970,0,INDEX(Fleet!$C$6:$T$66,MATCH(K$4-$A23,Fleet!$A$6:$A$66,0),MATCH(K$4,Fleet!$C$4:$T$4,0)))</f>
        <v/>
      </c>
      <c r="L23" s="27">
        <f>IF(L$4-$A23&lt;1970,0,INDEX(Fleet!$C$6:$T$66,MATCH(L$4-$A23,Fleet!$A$6:$A$66,0),MATCH(L$4,Fleet!$C$4:$T$4,0)))</f>
        <v/>
      </c>
      <c r="M23" s="27">
        <f>IF(M$4-$A23&lt;1970,0,INDEX(Fleet!$C$6:$T$66,MATCH(M$4-$A23,Fleet!$A$6:$A$66,0),MATCH(M$4,Fleet!$C$4:$T$4,0)))</f>
        <v/>
      </c>
      <c r="N23" s="27">
        <f>IF(N$4-$A23&lt;1970,0,INDEX(Fleet!$C$6:$T$66,MATCH(N$4-$A23,Fleet!$A$6:$A$66,0),MATCH(N$4,Fleet!$C$4:$T$4,0)))</f>
        <v/>
      </c>
      <c r="O23" s="27">
        <f>IF(O$4-$A23&lt;1970,0,INDEX(Fleet!$C$6:$T$66,MATCH(O$4-$A23,Fleet!$A$6:$A$66,0),MATCH(O$4,Fleet!$C$4:$T$4,0)))</f>
        <v/>
      </c>
      <c r="P23" s="27">
        <f>IF(P$4-$A23&lt;1970,0,INDEX(Fleet!$C$6:$T$66,MATCH(P$4-$A23,Fleet!$A$6:$A$66,0),MATCH(P$4,Fleet!$C$4:$T$4,0)))</f>
        <v/>
      </c>
      <c r="Q23" s="27">
        <f>IF(Q$4-$A23&lt;1970,0,INDEX(Fleet!$C$6:$T$66,MATCH(Q$4-$A23,Fleet!$A$6:$A$66,0),MATCH(Q$4,Fleet!$C$4:$T$4,0)))</f>
        <v/>
      </c>
      <c r="R23" s="27">
        <f>IF(R$4-$A23&lt;1970,0,INDEX(Fleet!$C$6:$T$66,MATCH(R$4-$A23,Fleet!$A$6:$A$66,0),MATCH(R$4,Fleet!$C$4:$T$4,0)))</f>
        <v/>
      </c>
      <c r="S23" s="27">
        <f>IF(S$4-$A23&lt;1970,0,INDEX(Fleet!$C$6:$T$66,MATCH(S$4-$A23,Fleet!$A$6:$A$66,0),MATCH(S$4,Fleet!$C$4:$T$4,0)))</f>
        <v/>
      </c>
      <c r="T23" s="27">
        <f>IF(T$4-$A23&lt;1970,0,INDEX(Fleet!$C$6:$T$66,MATCH(T$4-$A23,Fleet!$A$6:$A$66,0),MATCH(T$4,Fleet!$C$4:$T$4,0)))</f>
        <v/>
      </c>
    </row>
    <row r="24">
      <c r="A24" s="9" t="n">
        <v>18</v>
      </c>
      <c r="B24" s="29">
        <f>A24+0.5</f>
        <v/>
      </c>
      <c r="C24" s="27">
        <f>IF(C$4-$A24&lt;1970,0,INDEX(Fleet!$C$6:$T$66,MATCH(C$4-$A24,Fleet!$A$6:$A$66,0),MATCH(C$4,Fleet!$C$4:$T$4,0)))</f>
        <v/>
      </c>
      <c r="D24" s="27">
        <f>IF(D$4-$A24&lt;1970,0,INDEX(Fleet!$C$6:$T$66,MATCH(D$4-$A24,Fleet!$A$6:$A$66,0),MATCH(D$4,Fleet!$C$4:$T$4,0)))</f>
        <v/>
      </c>
      <c r="E24" s="27">
        <f>IF(E$4-$A24&lt;1970,0,INDEX(Fleet!$C$6:$T$66,MATCH(E$4-$A24,Fleet!$A$6:$A$66,0),MATCH(E$4,Fleet!$C$4:$T$4,0)))</f>
        <v/>
      </c>
      <c r="F24" s="27">
        <f>IF(F$4-$A24&lt;1970,0,INDEX(Fleet!$C$6:$T$66,MATCH(F$4-$A24,Fleet!$A$6:$A$66,0),MATCH(F$4,Fleet!$C$4:$T$4,0)))</f>
        <v/>
      </c>
      <c r="G24" s="27">
        <f>IF(G$4-$A24&lt;1970,0,INDEX(Fleet!$C$6:$T$66,MATCH(G$4-$A24,Fleet!$A$6:$A$66,0),MATCH(G$4,Fleet!$C$4:$T$4,0)))</f>
        <v/>
      </c>
      <c r="H24" s="27">
        <f>IF(H$4-$A24&lt;1970,0,INDEX(Fleet!$C$6:$T$66,MATCH(H$4-$A24,Fleet!$A$6:$A$66,0),MATCH(H$4,Fleet!$C$4:$T$4,0)))</f>
        <v/>
      </c>
      <c r="I24" s="27">
        <f>IF(I$4-$A24&lt;1970,0,INDEX(Fleet!$C$6:$T$66,MATCH(I$4-$A24,Fleet!$A$6:$A$66,0),MATCH(I$4,Fleet!$C$4:$T$4,0)))</f>
        <v/>
      </c>
      <c r="J24" s="27">
        <f>IF(J$4-$A24&lt;1970,0,INDEX(Fleet!$C$6:$T$66,MATCH(J$4-$A24,Fleet!$A$6:$A$66,0),MATCH(J$4,Fleet!$C$4:$T$4,0)))</f>
        <v/>
      </c>
      <c r="K24" s="27">
        <f>IF(K$4-$A24&lt;1970,0,INDEX(Fleet!$C$6:$T$66,MATCH(K$4-$A24,Fleet!$A$6:$A$66,0),MATCH(K$4,Fleet!$C$4:$T$4,0)))</f>
        <v/>
      </c>
      <c r="L24" s="27">
        <f>IF(L$4-$A24&lt;1970,0,INDEX(Fleet!$C$6:$T$66,MATCH(L$4-$A24,Fleet!$A$6:$A$66,0),MATCH(L$4,Fleet!$C$4:$T$4,0)))</f>
        <v/>
      </c>
      <c r="M24" s="27">
        <f>IF(M$4-$A24&lt;1970,0,INDEX(Fleet!$C$6:$T$66,MATCH(M$4-$A24,Fleet!$A$6:$A$66,0),MATCH(M$4,Fleet!$C$4:$T$4,0)))</f>
        <v/>
      </c>
      <c r="N24" s="27">
        <f>IF(N$4-$A24&lt;1970,0,INDEX(Fleet!$C$6:$T$66,MATCH(N$4-$A24,Fleet!$A$6:$A$66,0),MATCH(N$4,Fleet!$C$4:$T$4,0)))</f>
        <v/>
      </c>
      <c r="O24" s="27">
        <f>IF(O$4-$A24&lt;1970,0,INDEX(Fleet!$C$6:$T$66,MATCH(O$4-$A24,Fleet!$A$6:$A$66,0),MATCH(O$4,Fleet!$C$4:$T$4,0)))</f>
        <v/>
      </c>
      <c r="P24" s="27">
        <f>IF(P$4-$A24&lt;1970,0,INDEX(Fleet!$C$6:$T$66,MATCH(P$4-$A24,Fleet!$A$6:$A$66,0),MATCH(P$4,Fleet!$C$4:$T$4,0)))</f>
        <v/>
      </c>
      <c r="Q24" s="27">
        <f>IF(Q$4-$A24&lt;1970,0,INDEX(Fleet!$C$6:$T$66,MATCH(Q$4-$A24,Fleet!$A$6:$A$66,0),MATCH(Q$4,Fleet!$C$4:$T$4,0)))</f>
        <v/>
      </c>
      <c r="R24" s="27">
        <f>IF(R$4-$A24&lt;1970,0,INDEX(Fleet!$C$6:$T$66,MATCH(R$4-$A24,Fleet!$A$6:$A$66,0),MATCH(R$4,Fleet!$C$4:$T$4,0)))</f>
        <v/>
      </c>
      <c r="S24" s="27">
        <f>IF(S$4-$A24&lt;1970,0,INDEX(Fleet!$C$6:$T$66,MATCH(S$4-$A24,Fleet!$A$6:$A$66,0),MATCH(S$4,Fleet!$C$4:$T$4,0)))</f>
        <v/>
      </c>
      <c r="T24" s="27">
        <f>IF(T$4-$A24&lt;1970,0,INDEX(Fleet!$C$6:$T$66,MATCH(T$4-$A24,Fleet!$A$6:$A$66,0),MATCH(T$4,Fleet!$C$4:$T$4,0)))</f>
        <v/>
      </c>
    </row>
    <row r="25">
      <c r="A25" s="9" t="n">
        <v>19</v>
      </c>
      <c r="B25" s="29">
        <f>A25+0.5</f>
        <v/>
      </c>
      <c r="C25" s="27">
        <f>IF(C$4-$A25&lt;1970,0,INDEX(Fleet!$C$6:$T$66,MATCH(C$4-$A25,Fleet!$A$6:$A$66,0),MATCH(C$4,Fleet!$C$4:$T$4,0)))</f>
        <v/>
      </c>
      <c r="D25" s="27">
        <f>IF(D$4-$A25&lt;1970,0,INDEX(Fleet!$C$6:$T$66,MATCH(D$4-$A25,Fleet!$A$6:$A$66,0),MATCH(D$4,Fleet!$C$4:$T$4,0)))</f>
        <v/>
      </c>
      <c r="E25" s="27">
        <f>IF(E$4-$A25&lt;1970,0,INDEX(Fleet!$C$6:$T$66,MATCH(E$4-$A25,Fleet!$A$6:$A$66,0),MATCH(E$4,Fleet!$C$4:$T$4,0)))</f>
        <v/>
      </c>
      <c r="F25" s="27">
        <f>IF(F$4-$A25&lt;1970,0,INDEX(Fleet!$C$6:$T$66,MATCH(F$4-$A25,Fleet!$A$6:$A$66,0),MATCH(F$4,Fleet!$C$4:$T$4,0)))</f>
        <v/>
      </c>
      <c r="G25" s="27">
        <f>IF(G$4-$A25&lt;1970,0,INDEX(Fleet!$C$6:$T$66,MATCH(G$4-$A25,Fleet!$A$6:$A$66,0),MATCH(G$4,Fleet!$C$4:$T$4,0)))</f>
        <v/>
      </c>
      <c r="H25" s="27">
        <f>IF(H$4-$A25&lt;1970,0,INDEX(Fleet!$C$6:$T$66,MATCH(H$4-$A25,Fleet!$A$6:$A$66,0),MATCH(H$4,Fleet!$C$4:$T$4,0)))</f>
        <v/>
      </c>
      <c r="I25" s="27">
        <f>IF(I$4-$A25&lt;1970,0,INDEX(Fleet!$C$6:$T$66,MATCH(I$4-$A25,Fleet!$A$6:$A$66,0),MATCH(I$4,Fleet!$C$4:$T$4,0)))</f>
        <v/>
      </c>
      <c r="J25" s="27">
        <f>IF(J$4-$A25&lt;1970,0,INDEX(Fleet!$C$6:$T$66,MATCH(J$4-$A25,Fleet!$A$6:$A$66,0),MATCH(J$4,Fleet!$C$4:$T$4,0)))</f>
        <v/>
      </c>
      <c r="K25" s="27">
        <f>IF(K$4-$A25&lt;1970,0,INDEX(Fleet!$C$6:$T$66,MATCH(K$4-$A25,Fleet!$A$6:$A$66,0),MATCH(K$4,Fleet!$C$4:$T$4,0)))</f>
        <v/>
      </c>
      <c r="L25" s="27">
        <f>IF(L$4-$A25&lt;1970,0,INDEX(Fleet!$C$6:$T$66,MATCH(L$4-$A25,Fleet!$A$6:$A$66,0),MATCH(L$4,Fleet!$C$4:$T$4,0)))</f>
        <v/>
      </c>
      <c r="M25" s="27">
        <f>IF(M$4-$A25&lt;1970,0,INDEX(Fleet!$C$6:$T$66,MATCH(M$4-$A25,Fleet!$A$6:$A$66,0),MATCH(M$4,Fleet!$C$4:$T$4,0)))</f>
        <v/>
      </c>
      <c r="N25" s="27">
        <f>IF(N$4-$A25&lt;1970,0,INDEX(Fleet!$C$6:$T$66,MATCH(N$4-$A25,Fleet!$A$6:$A$66,0),MATCH(N$4,Fleet!$C$4:$T$4,0)))</f>
        <v/>
      </c>
      <c r="O25" s="27">
        <f>IF(O$4-$A25&lt;1970,0,INDEX(Fleet!$C$6:$T$66,MATCH(O$4-$A25,Fleet!$A$6:$A$66,0),MATCH(O$4,Fleet!$C$4:$T$4,0)))</f>
        <v/>
      </c>
      <c r="P25" s="27">
        <f>IF(P$4-$A25&lt;1970,0,INDEX(Fleet!$C$6:$T$66,MATCH(P$4-$A25,Fleet!$A$6:$A$66,0),MATCH(P$4,Fleet!$C$4:$T$4,0)))</f>
        <v/>
      </c>
      <c r="Q25" s="27">
        <f>IF(Q$4-$A25&lt;1970,0,INDEX(Fleet!$C$6:$T$66,MATCH(Q$4-$A25,Fleet!$A$6:$A$66,0),MATCH(Q$4,Fleet!$C$4:$T$4,0)))</f>
        <v/>
      </c>
      <c r="R25" s="27">
        <f>IF(R$4-$A25&lt;1970,0,INDEX(Fleet!$C$6:$T$66,MATCH(R$4-$A25,Fleet!$A$6:$A$66,0),MATCH(R$4,Fleet!$C$4:$T$4,0)))</f>
        <v/>
      </c>
      <c r="S25" s="27">
        <f>IF(S$4-$A25&lt;1970,0,INDEX(Fleet!$C$6:$T$66,MATCH(S$4-$A25,Fleet!$A$6:$A$66,0),MATCH(S$4,Fleet!$C$4:$T$4,0)))</f>
        <v/>
      </c>
      <c r="T25" s="27">
        <f>IF(T$4-$A25&lt;1970,0,INDEX(Fleet!$C$6:$T$66,MATCH(T$4-$A25,Fleet!$A$6:$A$66,0),MATCH(T$4,Fleet!$C$4:$T$4,0)))</f>
        <v/>
      </c>
    </row>
    <row r="26">
      <c r="A26" s="9" t="n">
        <v>20</v>
      </c>
      <c r="B26" s="29">
        <f>A26+0.5</f>
        <v/>
      </c>
      <c r="C26" s="27">
        <f>IF(C$4-$A26&lt;1970,0,INDEX(Fleet!$C$6:$T$66,MATCH(C$4-$A26,Fleet!$A$6:$A$66,0),MATCH(C$4,Fleet!$C$4:$T$4,0)))</f>
        <v/>
      </c>
      <c r="D26" s="27">
        <f>IF(D$4-$A26&lt;1970,0,INDEX(Fleet!$C$6:$T$66,MATCH(D$4-$A26,Fleet!$A$6:$A$66,0),MATCH(D$4,Fleet!$C$4:$T$4,0)))</f>
        <v/>
      </c>
      <c r="E26" s="27">
        <f>IF(E$4-$A26&lt;1970,0,INDEX(Fleet!$C$6:$T$66,MATCH(E$4-$A26,Fleet!$A$6:$A$66,0),MATCH(E$4,Fleet!$C$4:$T$4,0)))</f>
        <v/>
      </c>
      <c r="F26" s="27">
        <f>IF(F$4-$A26&lt;1970,0,INDEX(Fleet!$C$6:$T$66,MATCH(F$4-$A26,Fleet!$A$6:$A$66,0),MATCH(F$4,Fleet!$C$4:$T$4,0)))</f>
        <v/>
      </c>
      <c r="G26" s="27">
        <f>IF(G$4-$A26&lt;1970,0,INDEX(Fleet!$C$6:$T$66,MATCH(G$4-$A26,Fleet!$A$6:$A$66,0),MATCH(G$4,Fleet!$C$4:$T$4,0)))</f>
        <v/>
      </c>
      <c r="H26" s="27">
        <f>IF(H$4-$A26&lt;1970,0,INDEX(Fleet!$C$6:$T$66,MATCH(H$4-$A26,Fleet!$A$6:$A$66,0),MATCH(H$4,Fleet!$C$4:$T$4,0)))</f>
        <v/>
      </c>
      <c r="I26" s="27">
        <f>IF(I$4-$A26&lt;1970,0,INDEX(Fleet!$C$6:$T$66,MATCH(I$4-$A26,Fleet!$A$6:$A$66,0),MATCH(I$4,Fleet!$C$4:$T$4,0)))</f>
        <v/>
      </c>
      <c r="J26" s="27">
        <f>IF(J$4-$A26&lt;1970,0,INDEX(Fleet!$C$6:$T$66,MATCH(J$4-$A26,Fleet!$A$6:$A$66,0),MATCH(J$4,Fleet!$C$4:$T$4,0)))</f>
        <v/>
      </c>
      <c r="K26" s="27">
        <f>IF(K$4-$A26&lt;1970,0,INDEX(Fleet!$C$6:$T$66,MATCH(K$4-$A26,Fleet!$A$6:$A$66,0),MATCH(K$4,Fleet!$C$4:$T$4,0)))</f>
        <v/>
      </c>
      <c r="L26" s="27">
        <f>IF(L$4-$A26&lt;1970,0,INDEX(Fleet!$C$6:$T$66,MATCH(L$4-$A26,Fleet!$A$6:$A$66,0),MATCH(L$4,Fleet!$C$4:$T$4,0)))</f>
        <v/>
      </c>
      <c r="M26" s="27">
        <f>IF(M$4-$A26&lt;1970,0,INDEX(Fleet!$C$6:$T$66,MATCH(M$4-$A26,Fleet!$A$6:$A$66,0),MATCH(M$4,Fleet!$C$4:$T$4,0)))</f>
        <v/>
      </c>
      <c r="N26" s="27">
        <f>IF(N$4-$A26&lt;1970,0,INDEX(Fleet!$C$6:$T$66,MATCH(N$4-$A26,Fleet!$A$6:$A$66,0),MATCH(N$4,Fleet!$C$4:$T$4,0)))</f>
        <v/>
      </c>
      <c r="O26" s="27">
        <f>IF(O$4-$A26&lt;1970,0,INDEX(Fleet!$C$6:$T$66,MATCH(O$4-$A26,Fleet!$A$6:$A$66,0),MATCH(O$4,Fleet!$C$4:$T$4,0)))</f>
        <v/>
      </c>
      <c r="P26" s="27">
        <f>IF(P$4-$A26&lt;1970,0,INDEX(Fleet!$C$6:$T$66,MATCH(P$4-$A26,Fleet!$A$6:$A$66,0),MATCH(P$4,Fleet!$C$4:$T$4,0)))</f>
        <v/>
      </c>
      <c r="Q26" s="27">
        <f>IF(Q$4-$A26&lt;1970,0,INDEX(Fleet!$C$6:$T$66,MATCH(Q$4-$A26,Fleet!$A$6:$A$66,0),MATCH(Q$4,Fleet!$C$4:$T$4,0)))</f>
        <v/>
      </c>
      <c r="R26" s="27">
        <f>IF(R$4-$A26&lt;1970,0,INDEX(Fleet!$C$6:$T$66,MATCH(R$4-$A26,Fleet!$A$6:$A$66,0),MATCH(R$4,Fleet!$C$4:$T$4,0)))</f>
        <v/>
      </c>
      <c r="S26" s="27">
        <f>IF(S$4-$A26&lt;1970,0,INDEX(Fleet!$C$6:$T$66,MATCH(S$4-$A26,Fleet!$A$6:$A$66,0),MATCH(S$4,Fleet!$C$4:$T$4,0)))</f>
        <v/>
      </c>
      <c r="T26" s="27">
        <f>IF(T$4-$A26&lt;1970,0,INDEX(Fleet!$C$6:$T$66,MATCH(T$4-$A26,Fleet!$A$6:$A$66,0),MATCH(T$4,Fleet!$C$4:$T$4,0)))</f>
        <v/>
      </c>
    </row>
    <row r="27">
      <c r="A27" s="9" t="n">
        <v>21</v>
      </c>
      <c r="B27" s="29">
        <f>A27+0.5</f>
        <v/>
      </c>
      <c r="C27" s="27">
        <f>IF(C$4-$A27&lt;1970,0,INDEX(Fleet!$C$6:$T$66,MATCH(C$4-$A27,Fleet!$A$6:$A$66,0),MATCH(C$4,Fleet!$C$4:$T$4,0)))</f>
        <v/>
      </c>
      <c r="D27" s="27">
        <f>IF(D$4-$A27&lt;1970,0,INDEX(Fleet!$C$6:$T$66,MATCH(D$4-$A27,Fleet!$A$6:$A$66,0),MATCH(D$4,Fleet!$C$4:$T$4,0)))</f>
        <v/>
      </c>
      <c r="E27" s="27">
        <f>IF(E$4-$A27&lt;1970,0,INDEX(Fleet!$C$6:$T$66,MATCH(E$4-$A27,Fleet!$A$6:$A$66,0),MATCH(E$4,Fleet!$C$4:$T$4,0)))</f>
        <v/>
      </c>
      <c r="F27" s="27">
        <f>IF(F$4-$A27&lt;1970,0,INDEX(Fleet!$C$6:$T$66,MATCH(F$4-$A27,Fleet!$A$6:$A$66,0),MATCH(F$4,Fleet!$C$4:$T$4,0)))</f>
        <v/>
      </c>
      <c r="G27" s="27">
        <f>IF(G$4-$A27&lt;1970,0,INDEX(Fleet!$C$6:$T$66,MATCH(G$4-$A27,Fleet!$A$6:$A$66,0),MATCH(G$4,Fleet!$C$4:$T$4,0)))</f>
        <v/>
      </c>
      <c r="H27" s="27">
        <f>IF(H$4-$A27&lt;1970,0,INDEX(Fleet!$C$6:$T$66,MATCH(H$4-$A27,Fleet!$A$6:$A$66,0),MATCH(H$4,Fleet!$C$4:$T$4,0)))</f>
        <v/>
      </c>
      <c r="I27" s="27">
        <f>IF(I$4-$A27&lt;1970,0,INDEX(Fleet!$C$6:$T$66,MATCH(I$4-$A27,Fleet!$A$6:$A$66,0),MATCH(I$4,Fleet!$C$4:$T$4,0)))</f>
        <v/>
      </c>
      <c r="J27" s="27">
        <f>IF(J$4-$A27&lt;1970,0,INDEX(Fleet!$C$6:$T$66,MATCH(J$4-$A27,Fleet!$A$6:$A$66,0),MATCH(J$4,Fleet!$C$4:$T$4,0)))</f>
        <v/>
      </c>
      <c r="K27" s="27">
        <f>IF(K$4-$A27&lt;1970,0,INDEX(Fleet!$C$6:$T$66,MATCH(K$4-$A27,Fleet!$A$6:$A$66,0),MATCH(K$4,Fleet!$C$4:$T$4,0)))</f>
        <v/>
      </c>
      <c r="L27" s="27">
        <f>IF(L$4-$A27&lt;1970,0,INDEX(Fleet!$C$6:$T$66,MATCH(L$4-$A27,Fleet!$A$6:$A$66,0),MATCH(L$4,Fleet!$C$4:$T$4,0)))</f>
        <v/>
      </c>
      <c r="M27" s="27">
        <f>IF(M$4-$A27&lt;1970,0,INDEX(Fleet!$C$6:$T$66,MATCH(M$4-$A27,Fleet!$A$6:$A$66,0),MATCH(M$4,Fleet!$C$4:$T$4,0)))</f>
        <v/>
      </c>
      <c r="N27" s="27">
        <f>IF(N$4-$A27&lt;1970,0,INDEX(Fleet!$C$6:$T$66,MATCH(N$4-$A27,Fleet!$A$6:$A$66,0),MATCH(N$4,Fleet!$C$4:$T$4,0)))</f>
        <v/>
      </c>
      <c r="O27" s="27">
        <f>IF(O$4-$A27&lt;1970,0,INDEX(Fleet!$C$6:$T$66,MATCH(O$4-$A27,Fleet!$A$6:$A$66,0),MATCH(O$4,Fleet!$C$4:$T$4,0)))</f>
        <v/>
      </c>
      <c r="P27" s="27">
        <f>IF(P$4-$A27&lt;1970,0,INDEX(Fleet!$C$6:$T$66,MATCH(P$4-$A27,Fleet!$A$6:$A$66,0),MATCH(P$4,Fleet!$C$4:$T$4,0)))</f>
        <v/>
      </c>
      <c r="Q27" s="27">
        <f>IF(Q$4-$A27&lt;1970,0,INDEX(Fleet!$C$6:$T$66,MATCH(Q$4-$A27,Fleet!$A$6:$A$66,0),MATCH(Q$4,Fleet!$C$4:$T$4,0)))</f>
        <v/>
      </c>
      <c r="R27" s="27">
        <f>IF(R$4-$A27&lt;1970,0,INDEX(Fleet!$C$6:$T$66,MATCH(R$4-$A27,Fleet!$A$6:$A$66,0),MATCH(R$4,Fleet!$C$4:$T$4,0)))</f>
        <v/>
      </c>
      <c r="S27" s="27">
        <f>IF(S$4-$A27&lt;1970,0,INDEX(Fleet!$C$6:$T$66,MATCH(S$4-$A27,Fleet!$A$6:$A$66,0),MATCH(S$4,Fleet!$C$4:$T$4,0)))</f>
        <v/>
      </c>
      <c r="T27" s="27">
        <f>IF(T$4-$A27&lt;1970,0,INDEX(Fleet!$C$6:$T$66,MATCH(T$4-$A27,Fleet!$A$6:$A$66,0),MATCH(T$4,Fleet!$C$4:$T$4,0)))</f>
        <v/>
      </c>
    </row>
    <row r="28">
      <c r="A28" s="9" t="n">
        <v>22</v>
      </c>
      <c r="B28" s="29">
        <f>A28+0.5</f>
        <v/>
      </c>
      <c r="C28" s="27">
        <f>IF(C$4-$A28&lt;1970,0,INDEX(Fleet!$C$6:$T$66,MATCH(C$4-$A28,Fleet!$A$6:$A$66,0),MATCH(C$4,Fleet!$C$4:$T$4,0)))</f>
        <v/>
      </c>
      <c r="D28" s="27">
        <f>IF(D$4-$A28&lt;1970,0,INDEX(Fleet!$C$6:$T$66,MATCH(D$4-$A28,Fleet!$A$6:$A$66,0),MATCH(D$4,Fleet!$C$4:$T$4,0)))</f>
        <v/>
      </c>
      <c r="E28" s="27">
        <f>IF(E$4-$A28&lt;1970,0,INDEX(Fleet!$C$6:$T$66,MATCH(E$4-$A28,Fleet!$A$6:$A$66,0),MATCH(E$4,Fleet!$C$4:$T$4,0)))</f>
        <v/>
      </c>
      <c r="F28" s="27">
        <f>IF(F$4-$A28&lt;1970,0,INDEX(Fleet!$C$6:$T$66,MATCH(F$4-$A28,Fleet!$A$6:$A$66,0),MATCH(F$4,Fleet!$C$4:$T$4,0)))</f>
        <v/>
      </c>
      <c r="G28" s="27">
        <f>IF(G$4-$A28&lt;1970,0,INDEX(Fleet!$C$6:$T$66,MATCH(G$4-$A28,Fleet!$A$6:$A$66,0),MATCH(G$4,Fleet!$C$4:$T$4,0)))</f>
        <v/>
      </c>
      <c r="H28" s="27">
        <f>IF(H$4-$A28&lt;1970,0,INDEX(Fleet!$C$6:$T$66,MATCH(H$4-$A28,Fleet!$A$6:$A$66,0),MATCH(H$4,Fleet!$C$4:$T$4,0)))</f>
        <v/>
      </c>
      <c r="I28" s="27">
        <f>IF(I$4-$A28&lt;1970,0,INDEX(Fleet!$C$6:$T$66,MATCH(I$4-$A28,Fleet!$A$6:$A$66,0),MATCH(I$4,Fleet!$C$4:$T$4,0)))</f>
        <v/>
      </c>
      <c r="J28" s="27">
        <f>IF(J$4-$A28&lt;1970,0,INDEX(Fleet!$C$6:$T$66,MATCH(J$4-$A28,Fleet!$A$6:$A$66,0),MATCH(J$4,Fleet!$C$4:$T$4,0)))</f>
        <v/>
      </c>
      <c r="K28" s="27">
        <f>IF(K$4-$A28&lt;1970,0,INDEX(Fleet!$C$6:$T$66,MATCH(K$4-$A28,Fleet!$A$6:$A$66,0),MATCH(K$4,Fleet!$C$4:$T$4,0)))</f>
        <v/>
      </c>
      <c r="L28" s="27">
        <f>IF(L$4-$A28&lt;1970,0,INDEX(Fleet!$C$6:$T$66,MATCH(L$4-$A28,Fleet!$A$6:$A$66,0),MATCH(L$4,Fleet!$C$4:$T$4,0)))</f>
        <v/>
      </c>
      <c r="M28" s="27">
        <f>IF(M$4-$A28&lt;1970,0,INDEX(Fleet!$C$6:$T$66,MATCH(M$4-$A28,Fleet!$A$6:$A$66,0),MATCH(M$4,Fleet!$C$4:$T$4,0)))</f>
        <v/>
      </c>
      <c r="N28" s="27">
        <f>IF(N$4-$A28&lt;1970,0,INDEX(Fleet!$C$6:$T$66,MATCH(N$4-$A28,Fleet!$A$6:$A$66,0),MATCH(N$4,Fleet!$C$4:$T$4,0)))</f>
        <v/>
      </c>
      <c r="O28" s="27">
        <f>IF(O$4-$A28&lt;1970,0,INDEX(Fleet!$C$6:$T$66,MATCH(O$4-$A28,Fleet!$A$6:$A$66,0),MATCH(O$4,Fleet!$C$4:$T$4,0)))</f>
        <v/>
      </c>
      <c r="P28" s="27">
        <f>IF(P$4-$A28&lt;1970,0,INDEX(Fleet!$C$6:$T$66,MATCH(P$4-$A28,Fleet!$A$6:$A$66,0),MATCH(P$4,Fleet!$C$4:$T$4,0)))</f>
        <v/>
      </c>
      <c r="Q28" s="27">
        <f>IF(Q$4-$A28&lt;1970,0,INDEX(Fleet!$C$6:$T$66,MATCH(Q$4-$A28,Fleet!$A$6:$A$66,0),MATCH(Q$4,Fleet!$C$4:$T$4,0)))</f>
        <v/>
      </c>
      <c r="R28" s="27">
        <f>IF(R$4-$A28&lt;1970,0,INDEX(Fleet!$C$6:$T$66,MATCH(R$4-$A28,Fleet!$A$6:$A$66,0),MATCH(R$4,Fleet!$C$4:$T$4,0)))</f>
        <v/>
      </c>
      <c r="S28" s="27">
        <f>IF(S$4-$A28&lt;1970,0,INDEX(Fleet!$C$6:$T$66,MATCH(S$4-$A28,Fleet!$A$6:$A$66,0),MATCH(S$4,Fleet!$C$4:$T$4,0)))</f>
        <v/>
      </c>
      <c r="T28" s="27">
        <f>IF(T$4-$A28&lt;1970,0,INDEX(Fleet!$C$6:$T$66,MATCH(T$4-$A28,Fleet!$A$6:$A$66,0),MATCH(T$4,Fleet!$C$4:$T$4,0)))</f>
        <v/>
      </c>
    </row>
    <row r="29">
      <c r="A29" s="9" t="n">
        <v>23</v>
      </c>
      <c r="B29" s="29">
        <f>A29+0.5</f>
        <v/>
      </c>
      <c r="C29" s="27">
        <f>IF(C$4-$A29&lt;1970,0,INDEX(Fleet!$C$6:$T$66,MATCH(C$4-$A29,Fleet!$A$6:$A$66,0),MATCH(C$4,Fleet!$C$4:$T$4,0)))</f>
        <v/>
      </c>
      <c r="D29" s="27">
        <f>IF(D$4-$A29&lt;1970,0,INDEX(Fleet!$C$6:$T$66,MATCH(D$4-$A29,Fleet!$A$6:$A$66,0),MATCH(D$4,Fleet!$C$4:$T$4,0)))</f>
        <v/>
      </c>
      <c r="E29" s="27">
        <f>IF(E$4-$A29&lt;1970,0,INDEX(Fleet!$C$6:$T$66,MATCH(E$4-$A29,Fleet!$A$6:$A$66,0),MATCH(E$4,Fleet!$C$4:$T$4,0)))</f>
        <v/>
      </c>
      <c r="F29" s="27">
        <f>IF(F$4-$A29&lt;1970,0,INDEX(Fleet!$C$6:$T$66,MATCH(F$4-$A29,Fleet!$A$6:$A$66,0),MATCH(F$4,Fleet!$C$4:$T$4,0)))</f>
        <v/>
      </c>
      <c r="G29" s="27">
        <f>IF(G$4-$A29&lt;1970,0,INDEX(Fleet!$C$6:$T$66,MATCH(G$4-$A29,Fleet!$A$6:$A$66,0),MATCH(G$4,Fleet!$C$4:$T$4,0)))</f>
        <v/>
      </c>
      <c r="H29" s="27">
        <f>IF(H$4-$A29&lt;1970,0,INDEX(Fleet!$C$6:$T$66,MATCH(H$4-$A29,Fleet!$A$6:$A$66,0),MATCH(H$4,Fleet!$C$4:$T$4,0)))</f>
        <v/>
      </c>
      <c r="I29" s="27">
        <f>IF(I$4-$A29&lt;1970,0,INDEX(Fleet!$C$6:$T$66,MATCH(I$4-$A29,Fleet!$A$6:$A$66,0),MATCH(I$4,Fleet!$C$4:$T$4,0)))</f>
        <v/>
      </c>
      <c r="J29" s="27">
        <f>IF(J$4-$A29&lt;1970,0,INDEX(Fleet!$C$6:$T$66,MATCH(J$4-$A29,Fleet!$A$6:$A$66,0),MATCH(J$4,Fleet!$C$4:$T$4,0)))</f>
        <v/>
      </c>
      <c r="K29" s="27">
        <f>IF(K$4-$A29&lt;1970,0,INDEX(Fleet!$C$6:$T$66,MATCH(K$4-$A29,Fleet!$A$6:$A$66,0),MATCH(K$4,Fleet!$C$4:$T$4,0)))</f>
        <v/>
      </c>
      <c r="L29" s="27">
        <f>IF(L$4-$A29&lt;1970,0,INDEX(Fleet!$C$6:$T$66,MATCH(L$4-$A29,Fleet!$A$6:$A$66,0),MATCH(L$4,Fleet!$C$4:$T$4,0)))</f>
        <v/>
      </c>
      <c r="M29" s="27">
        <f>IF(M$4-$A29&lt;1970,0,INDEX(Fleet!$C$6:$T$66,MATCH(M$4-$A29,Fleet!$A$6:$A$66,0),MATCH(M$4,Fleet!$C$4:$T$4,0)))</f>
        <v/>
      </c>
      <c r="N29" s="27">
        <f>IF(N$4-$A29&lt;1970,0,INDEX(Fleet!$C$6:$T$66,MATCH(N$4-$A29,Fleet!$A$6:$A$66,0),MATCH(N$4,Fleet!$C$4:$T$4,0)))</f>
        <v/>
      </c>
      <c r="O29" s="27">
        <f>IF(O$4-$A29&lt;1970,0,INDEX(Fleet!$C$6:$T$66,MATCH(O$4-$A29,Fleet!$A$6:$A$66,0),MATCH(O$4,Fleet!$C$4:$T$4,0)))</f>
        <v/>
      </c>
      <c r="P29" s="27">
        <f>IF(P$4-$A29&lt;1970,0,INDEX(Fleet!$C$6:$T$66,MATCH(P$4-$A29,Fleet!$A$6:$A$66,0),MATCH(P$4,Fleet!$C$4:$T$4,0)))</f>
        <v/>
      </c>
      <c r="Q29" s="27">
        <f>IF(Q$4-$A29&lt;1970,0,INDEX(Fleet!$C$6:$T$66,MATCH(Q$4-$A29,Fleet!$A$6:$A$66,0),MATCH(Q$4,Fleet!$C$4:$T$4,0)))</f>
        <v/>
      </c>
      <c r="R29" s="27">
        <f>IF(R$4-$A29&lt;1970,0,INDEX(Fleet!$C$6:$T$66,MATCH(R$4-$A29,Fleet!$A$6:$A$66,0),MATCH(R$4,Fleet!$C$4:$T$4,0)))</f>
        <v/>
      </c>
      <c r="S29" s="27">
        <f>IF(S$4-$A29&lt;1970,0,INDEX(Fleet!$C$6:$T$66,MATCH(S$4-$A29,Fleet!$A$6:$A$66,0),MATCH(S$4,Fleet!$C$4:$T$4,0)))</f>
        <v/>
      </c>
      <c r="T29" s="27">
        <f>IF(T$4-$A29&lt;1970,0,INDEX(Fleet!$C$6:$T$66,MATCH(T$4-$A29,Fleet!$A$6:$A$66,0),MATCH(T$4,Fleet!$C$4:$T$4,0)))</f>
        <v/>
      </c>
    </row>
    <row r="30">
      <c r="A30" s="9" t="n">
        <v>24</v>
      </c>
      <c r="B30" s="29">
        <f>A30+0.5</f>
        <v/>
      </c>
      <c r="C30" s="27">
        <f>IF(C$4-$A30&lt;1970,0,INDEX(Fleet!$C$6:$T$66,MATCH(C$4-$A30,Fleet!$A$6:$A$66,0),MATCH(C$4,Fleet!$C$4:$T$4,0)))</f>
        <v/>
      </c>
      <c r="D30" s="27">
        <f>IF(D$4-$A30&lt;1970,0,INDEX(Fleet!$C$6:$T$66,MATCH(D$4-$A30,Fleet!$A$6:$A$66,0),MATCH(D$4,Fleet!$C$4:$T$4,0)))</f>
        <v/>
      </c>
      <c r="E30" s="27">
        <f>IF(E$4-$A30&lt;1970,0,INDEX(Fleet!$C$6:$T$66,MATCH(E$4-$A30,Fleet!$A$6:$A$66,0),MATCH(E$4,Fleet!$C$4:$T$4,0)))</f>
        <v/>
      </c>
      <c r="F30" s="27">
        <f>IF(F$4-$A30&lt;1970,0,INDEX(Fleet!$C$6:$T$66,MATCH(F$4-$A30,Fleet!$A$6:$A$66,0),MATCH(F$4,Fleet!$C$4:$T$4,0)))</f>
        <v/>
      </c>
      <c r="G30" s="27">
        <f>IF(G$4-$A30&lt;1970,0,INDEX(Fleet!$C$6:$T$66,MATCH(G$4-$A30,Fleet!$A$6:$A$66,0),MATCH(G$4,Fleet!$C$4:$T$4,0)))</f>
        <v/>
      </c>
      <c r="H30" s="27">
        <f>IF(H$4-$A30&lt;1970,0,INDEX(Fleet!$C$6:$T$66,MATCH(H$4-$A30,Fleet!$A$6:$A$66,0),MATCH(H$4,Fleet!$C$4:$T$4,0)))</f>
        <v/>
      </c>
      <c r="I30" s="27">
        <f>IF(I$4-$A30&lt;1970,0,INDEX(Fleet!$C$6:$T$66,MATCH(I$4-$A30,Fleet!$A$6:$A$66,0),MATCH(I$4,Fleet!$C$4:$T$4,0)))</f>
        <v/>
      </c>
      <c r="J30" s="27">
        <f>IF(J$4-$A30&lt;1970,0,INDEX(Fleet!$C$6:$T$66,MATCH(J$4-$A30,Fleet!$A$6:$A$66,0),MATCH(J$4,Fleet!$C$4:$T$4,0)))</f>
        <v/>
      </c>
      <c r="K30" s="27">
        <f>IF(K$4-$A30&lt;1970,0,INDEX(Fleet!$C$6:$T$66,MATCH(K$4-$A30,Fleet!$A$6:$A$66,0),MATCH(K$4,Fleet!$C$4:$T$4,0)))</f>
        <v/>
      </c>
      <c r="L30" s="27">
        <f>IF(L$4-$A30&lt;1970,0,INDEX(Fleet!$C$6:$T$66,MATCH(L$4-$A30,Fleet!$A$6:$A$66,0),MATCH(L$4,Fleet!$C$4:$T$4,0)))</f>
        <v/>
      </c>
      <c r="M30" s="27">
        <f>IF(M$4-$A30&lt;1970,0,INDEX(Fleet!$C$6:$T$66,MATCH(M$4-$A30,Fleet!$A$6:$A$66,0),MATCH(M$4,Fleet!$C$4:$T$4,0)))</f>
        <v/>
      </c>
      <c r="N30" s="27">
        <f>IF(N$4-$A30&lt;1970,0,INDEX(Fleet!$C$6:$T$66,MATCH(N$4-$A30,Fleet!$A$6:$A$66,0),MATCH(N$4,Fleet!$C$4:$T$4,0)))</f>
        <v/>
      </c>
      <c r="O30" s="27">
        <f>IF(O$4-$A30&lt;1970,0,INDEX(Fleet!$C$6:$T$66,MATCH(O$4-$A30,Fleet!$A$6:$A$66,0),MATCH(O$4,Fleet!$C$4:$T$4,0)))</f>
        <v/>
      </c>
      <c r="P30" s="27">
        <f>IF(P$4-$A30&lt;1970,0,INDEX(Fleet!$C$6:$T$66,MATCH(P$4-$A30,Fleet!$A$6:$A$66,0),MATCH(P$4,Fleet!$C$4:$T$4,0)))</f>
        <v/>
      </c>
      <c r="Q30" s="27">
        <f>IF(Q$4-$A30&lt;1970,0,INDEX(Fleet!$C$6:$T$66,MATCH(Q$4-$A30,Fleet!$A$6:$A$66,0),MATCH(Q$4,Fleet!$C$4:$T$4,0)))</f>
        <v/>
      </c>
      <c r="R30" s="27">
        <f>IF(R$4-$A30&lt;1970,0,INDEX(Fleet!$C$6:$T$66,MATCH(R$4-$A30,Fleet!$A$6:$A$66,0),MATCH(R$4,Fleet!$C$4:$T$4,0)))</f>
        <v/>
      </c>
      <c r="S30" s="27">
        <f>IF(S$4-$A30&lt;1970,0,INDEX(Fleet!$C$6:$T$66,MATCH(S$4-$A30,Fleet!$A$6:$A$66,0),MATCH(S$4,Fleet!$C$4:$T$4,0)))</f>
        <v/>
      </c>
      <c r="T30" s="27">
        <f>IF(T$4-$A30&lt;1970,0,INDEX(Fleet!$C$6:$T$66,MATCH(T$4-$A30,Fleet!$A$6:$A$66,0),MATCH(T$4,Fleet!$C$4:$T$4,0)))</f>
        <v/>
      </c>
    </row>
    <row r="31">
      <c r="A31" s="9" t="n">
        <v>25</v>
      </c>
      <c r="B31" s="29">
        <f>A31+0.5</f>
        <v/>
      </c>
      <c r="C31" s="27">
        <f>IF(C$4-$A31&lt;1970,0,INDEX(Fleet!$C$6:$T$66,MATCH(C$4-$A31,Fleet!$A$6:$A$66,0),MATCH(C$4,Fleet!$C$4:$T$4,0)))</f>
        <v/>
      </c>
      <c r="D31" s="27">
        <f>IF(D$4-$A31&lt;1970,0,INDEX(Fleet!$C$6:$T$66,MATCH(D$4-$A31,Fleet!$A$6:$A$66,0),MATCH(D$4,Fleet!$C$4:$T$4,0)))</f>
        <v/>
      </c>
      <c r="E31" s="27">
        <f>IF(E$4-$A31&lt;1970,0,INDEX(Fleet!$C$6:$T$66,MATCH(E$4-$A31,Fleet!$A$6:$A$66,0),MATCH(E$4,Fleet!$C$4:$T$4,0)))</f>
        <v/>
      </c>
      <c r="F31" s="27">
        <f>IF(F$4-$A31&lt;1970,0,INDEX(Fleet!$C$6:$T$66,MATCH(F$4-$A31,Fleet!$A$6:$A$66,0),MATCH(F$4,Fleet!$C$4:$T$4,0)))</f>
        <v/>
      </c>
      <c r="G31" s="27">
        <f>IF(G$4-$A31&lt;1970,0,INDEX(Fleet!$C$6:$T$66,MATCH(G$4-$A31,Fleet!$A$6:$A$66,0),MATCH(G$4,Fleet!$C$4:$T$4,0)))</f>
        <v/>
      </c>
      <c r="H31" s="27">
        <f>IF(H$4-$A31&lt;1970,0,INDEX(Fleet!$C$6:$T$66,MATCH(H$4-$A31,Fleet!$A$6:$A$66,0),MATCH(H$4,Fleet!$C$4:$T$4,0)))</f>
        <v/>
      </c>
      <c r="I31" s="27">
        <f>IF(I$4-$A31&lt;1970,0,INDEX(Fleet!$C$6:$T$66,MATCH(I$4-$A31,Fleet!$A$6:$A$66,0),MATCH(I$4,Fleet!$C$4:$T$4,0)))</f>
        <v/>
      </c>
      <c r="J31" s="27">
        <f>IF(J$4-$A31&lt;1970,0,INDEX(Fleet!$C$6:$T$66,MATCH(J$4-$A31,Fleet!$A$6:$A$66,0),MATCH(J$4,Fleet!$C$4:$T$4,0)))</f>
        <v/>
      </c>
      <c r="K31" s="27">
        <f>IF(K$4-$A31&lt;1970,0,INDEX(Fleet!$C$6:$T$66,MATCH(K$4-$A31,Fleet!$A$6:$A$66,0),MATCH(K$4,Fleet!$C$4:$T$4,0)))</f>
        <v/>
      </c>
      <c r="L31" s="27">
        <f>IF(L$4-$A31&lt;1970,0,INDEX(Fleet!$C$6:$T$66,MATCH(L$4-$A31,Fleet!$A$6:$A$66,0),MATCH(L$4,Fleet!$C$4:$T$4,0)))</f>
        <v/>
      </c>
      <c r="M31" s="27">
        <f>IF(M$4-$A31&lt;1970,0,INDEX(Fleet!$C$6:$T$66,MATCH(M$4-$A31,Fleet!$A$6:$A$66,0),MATCH(M$4,Fleet!$C$4:$T$4,0)))</f>
        <v/>
      </c>
      <c r="N31" s="27">
        <f>IF(N$4-$A31&lt;1970,0,INDEX(Fleet!$C$6:$T$66,MATCH(N$4-$A31,Fleet!$A$6:$A$66,0),MATCH(N$4,Fleet!$C$4:$T$4,0)))</f>
        <v/>
      </c>
      <c r="O31" s="27">
        <f>IF(O$4-$A31&lt;1970,0,INDEX(Fleet!$C$6:$T$66,MATCH(O$4-$A31,Fleet!$A$6:$A$66,0),MATCH(O$4,Fleet!$C$4:$T$4,0)))</f>
        <v/>
      </c>
      <c r="P31" s="27">
        <f>IF(P$4-$A31&lt;1970,0,INDEX(Fleet!$C$6:$T$66,MATCH(P$4-$A31,Fleet!$A$6:$A$66,0),MATCH(P$4,Fleet!$C$4:$T$4,0)))</f>
        <v/>
      </c>
      <c r="Q31" s="27">
        <f>IF(Q$4-$A31&lt;1970,0,INDEX(Fleet!$C$6:$T$66,MATCH(Q$4-$A31,Fleet!$A$6:$A$66,0),MATCH(Q$4,Fleet!$C$4:$T$4,0)))</f>
        <v/>
      </c>
      <c r="R31" s="27">
        <f>IF(R$4-$A31&lt;1970,0,INDEX(Fleet!$C$6:$T$66,MATCH(R$4-$A31,Fleet!$A$6:$A$66,0),MATCH(R$4,Fleet!$C$4:$T$4,0)))</f>
        <v/>
      </c>
      <c r="S31" s="27">
        <f>IF(S$4-$A31&lt;1970,0,INDEX(Fleet!$C$6:$T$66,MATCH(S$4-$A31,Fleet!$A$6:$A$66,0),MATCH(S$4,Fleet!$C$4:$T$4,0)))</f>
        <v/>
      </c>
      <c r="T31" s="27">
        <f>IF(T$4-$A31&lt;1970,0,INDEX(Fleet!$C$6:$T$66,MATCH(T$4-$A31,Fleet!$A$6:$A$66,0),MATCH(T$4,Fleet!$C$4:$T$4,0)))</f>
        <v/>
      </c>
    </row>
    <row r="32">
      <c r="A32" s="9" t="n">
        <v>26</v>
      </c>
      <c r="B32" s="29">
        <f>A32+0.5</f>
        <v/>
      </c>
      <c r="C32" s="27">
        <f>IF(C$4-$A32&lt;1970,0,INDEX(Fleet!$C$6:$T$66,MATCH(C$4-$A32,Fleet!$A$6:$A$66,0),MATCH(C$4,Fleet!$C$4:$T$4,0)))</f>
        <v/>
      </c>
      <c r="D32" s="27">
        <f>IF(D$4-$A32&lt;1970,0,INDEX(Fleet!$C$6:$T$66,MATCH(D$4-$A32,Fleet!$A$6:$A$66,0),MATCH(D$4,Fleet!$C$4:$T$4,0)))</f>
        <v/>
      </c>
      <c r="E32" s="27">
        <f>IF(E$4-$A32&lt;1970,0,INDEX(Fleet!$C$6:$T$66,MATCH(E$4-$A32,Fleet!$A$6:$A$66,0),MATCH(E$4,Fleet!$C$4:$T$4,0)))</f>
        <v/>
      </c>
      <c r="F32" s="27">
        <f>IF(F$4-$A32&lt;1970,0,INDEX(Fleet!$C$6:$T$66,MATCH(F$4-$A32,Fleet!$A$6:$A$66,0),MATCH(F$4,Fleet!$C$4:$T$4,0)))</f>
        <v/>
      </c>
      <c r="G32" s="27">
        <f>IF(G$4-$A32&lt;1970,0,INDEX(Fleet!$C$6:$T$66,MATCH(G$4-$A32,Fleet!$A$6:$A$66,0),MATCH(G$4,Fleet!$C$4:$T$4,0)))</f>
        <v/>
      </c>
      <c r="H32" s="27">
        <f>IF(H$4-$A32&lt;1970,0,INDEX(Fleet!$C$6:$T$66,MATCH(H$4-$A32,Fleet!$A$6:$A$66,0),MATCH(H$4,Fleet!$C$4:$T$4,0)))</f>
        <v/>
      </c>
      <c r="I32" s="27">
        <f>IF(I$4-$A32&lt;1970,0,INDEX(Fleet!$C$6:$T$66,MATCH(I$4-$A32,Fleet!$A$6:$A$66,0),MATCH(I$4,Fleet!$C$4:$T$4,0)))</f>
        <v/>
      </c>
      <c r="J32" s="27">
        <f>IF(J$4-$A32&lt;1970,0,INDEX(Fleet!$C$6:$T$66,MATCH(J$4-$A32,Fleet!$A$6:$A$66,0),MATCH(J$4,Fleet!$C$4:$T$4,0)))</f>
        <v/>
      </c>
      <c r="K32" s="27">
        <f>IF(K$4-$A32&lt;1970,0,INDEX(Fleet!$C$6:$T$66,MATCH(K$4-$A32,Fleet!$A$6:$A$66,0),MATCH(K$4,Fleet!$C$4:$T$4,0)))</f>
        <v/>
      </c>
      <c r="L32" s="27">
        <f>IF(L$4-$A32&lt;1970,0,INDEX(Fleet!$C$6:$T$66,MATCH(L$4-$A32,Fleet!$A$6:$A$66,0),MATCH(L$4,Fleet!$C$4:$T$4,0)))</f>
        <v/>
      </c>
      <c r="M32" s="27">
        <f>IF(M$4-$A32&lt;1970,0,INDEX(Fleet!$C$6:$T$66,MATCH(M$4-$A32,Fleet!$A$6:$A$66,0),MATCH(M$4,Fleet!$C$4:$T$4,0)))</f>
        <v/>
      </c>
      <c r="N32" s="27">
        <f>IF(N$4-$A32&lt;1970,0,INDEX(Fleet!$C$6:$T$66,MATCH(N$4-$A32,Fleet!$A$6:$A$66,0),MATCH(N$4,Fleet!$C$4:$T$4,0)))</f>
        <v/>
      </c>
      <c r="O32" s="27">
        <f>IF(O$4-$A32&lt;1970,0,INDEX(Fleet!$C$6:$T$66,MATCH(O$4-$A32,Fleet!$A$6:$A$66,0),MATCH(O$4,Fleet!$C$4:$T$4,0)))</f>
        <v/>
      </c>
      <c r="P32" s="27">
        <f>IF(P$4-$A32&lt;1970,0,INDEX(Fleet!$C$6:$T$66,MATCH(P$4-$A32,Fleet!$A$6:$A$66,0),MATCH(P$4,Fleet!$C$4:$T$4,0)))</f>
        <v/>
      </c>
      <c r="Q32" s="27">
        <f>IF(Q$4-$A32&lt;1970,0,INDEX(Fleet!$C$6:$T$66,MATCH(Q$4-$A32,Fleet!$A$6:$A$66,0),MATCH(Q$4,Fleet!$C$4:$T$4,0)))</f>
        <v/>
      </c>
      <c r="R32" s="27">
        <f>IF(R$4-$A32&lt;1970,0,INDEX(Fleet!$C$6:$T$66,MATCH(R$4-$A32,Fleet!$A$6:$A$66,0),MATCH(R$4,Fleet!$C$4:$T$4,0)))</f>
        <v/>
      </c>
      <c r="S32" s="27">
        <f>IF(S$4-$A32&lt;1970,0,INDEX(Fleet!$C$6:$T$66,MATCH(S$4-$A32,Fleet!$A$6:$A$66,0),MATCH(S$4,Fleet!$C$4:$T$4,0)))</f>
        <v/>
      </c>
      <c r="T32" s="27">
        <f>IF(T$4-$A32&lt;1970,0,INDEX(Fleet!$C$6:$T$66,MATCH(T$4-$A32,Fleet!$A$6:$A$66,0),MATCH(T$4,Fleet!$C$4:$T$4,0)))</f>
        <v/>
      </c>
    </row>
    <row r="33">
      <c r="A33" s="9" t="n">
        <v>27</v>
      </c>
      <c r="B33" s="29">
        <f>A33+0.5</f>
        <v/>
      </c>
      <c r="C33" s="27">
        <f>IF(C$4-$A33&lt;1970,0,INDEX(Fleet!$C$6:$T$66,MATCH(C$4-$A33,Fleet!$A$6:$A$66,0),MATCH(C$4,Fleet!$C$4:$T$4,0)))</f>
        <v/>
      </c>
      <c r="D33" s="27">
        <f>IF(D$4-$A33&lt;1970,0,INDEX(Fleet!$C$6:$T$66,MATCH(D$4-$A33,Fleet!$A$6:$A$66,0),MATCH(D$4,Fleet!$C$4:$T$4,0)))</f>
        <v/>
      </c>
      <c r="E33" s="27">
        <f>IF(E$4-$A33&lt;1970,0,INDEX(Fleet!$C$6:$T$66,MATCH(E$4-$A33,Fleet!$A$6:$A$66,0),MATCH(E$4,Fleet!$C$4:$T$4,0)))</f>
        <v/>
      </c>
      <c r="F33" s="27">
        <f>IF(F$4-$A33&lt;1970,0,INDEX(Fleet!$C$6:$T$66,MATCH(F$4-$A33,Fleet!$A$6:$A$66,0),MATCH(F$4,Fleet!$C$4:$T$4,0)))</f>
        <v/>
      </c>
      <c r="G33" s="27">
        <f>IF(G$4-$A33&lt;1970,0,INDEX(Fleet!$C$6:$T$66,MATCH(G$4-$A33,Fleet!$A$6:$A$66,0),MATCH(G$4,Fleet!$C$4:$T$4,0)))</f>
        <v/>
      </c>
      <c r="H33" s="27">
        <f>IF(H$4-$A33&lt;1970,0,INDEX(Fleet!$C$6:$T$66,MATCH(H$4-$A33,Fleet!$A$6:$A$66,0),MATCH(H$4,Fleet!$C$4:$T$4,0)))</f>
        <v/>
      </c>
      <c r="I33" s="27">
        <f>IF(I$4-$A33&lt;1970,0,INDEX(Fleet!$C$6:$T$66,MATCH(I$4-$A33,Fleet!$A$6:$A$66,0),MATCH(I$4,Fleet!$C$4:$T$4,0)))</f>
        <v/>
      </c>
      <c r="J33" s="27">
        <f>IF(J$4-$A33&lt;1970,0,INDEX(Fleet!$C$6:$T$66,MATCH(J$4-$A33,Fleet!$A$6:$A$66,0),MATCH(J$4,Fleet!$C$4:$T$4,0)))</f>
        <v/>
      </c>
      <c r="K33" s="27">
        <f>IF(K$4-$A33&lt;1970,0,INDEX(Fleet!$C$6:$T$66,MATCH(K$4-$A33,Fleet!$A$6:$A$66,0),MATCH(K$4,Fleet!$C$4:$T$4,0)))</f>
        <v/>
      </c>
      <c r="L33" s="27">
        <f>IF(L$4-$A33&lt;1970,0,INDEX(Fleet!$C$6:$T$66,MATCH(L$4-$A33,Fleet!$A$6:$A$66,0),MATCH(L$4,Fleet!$C$4:$T$4,0)))</f>
        <v/>
      </c>
      <c r="M33" s="27">
        <f>IF(M$4-$A33&lt;1970,0,INDEX(Fleet!$C$6:$T$66,MATCH(M$4-$A33,Fleet!$A$6:$A$66,0),MATCH(M$4,Fleet!$C$4:$T$4,0)))</f>
        <v/>
      </c>
      <c r="N33" s="27">
        <f>IF(N$4-$A33&lt;1970,0,INDEX(Fleet!$C$6:$T$66,MATCH(N$4-$A33,Fleet!$A$6:$A$66,0),MATCH(N$4,Fleet!$C$4:$T$4,0)))</f>
        <v/>
      </c>
      <c r="O33" s="27">
        <f>IF(O$4-$A33&lt;1970,0,INDEX(Fleet!$C$6:$T$66,MATCH(O$4-$A33,Fleet!$A$6:$A$66,0),MATCH(O$4,Fleet!$C$4:$T$4,0)))</f>
        <v/>
      </c>
      <c r="P33" s="27">
        <f>IF(P$4-$A33&lt;1970,0,INDEX(Fleet!$C$6:$T$66,MATCH(P$4-$A33,Fleet!$A$6:$A$66,0),MATCH(P$4,Fleet!$C$4:$T$4,0)))</f>
        <v/>
      </c>
      <c r="Q33" s="27">
        <f>IF(Q$4-$A33&lt;1970,0,INDEX(Fleet!$C$6:$T$66,MATCH(Q$4-$A33,Fleet!$A$6:$A$66,0),MATCH(Q$4,Fleet!$C$4:$T$4,0)))</f>
        <v/>
      </c>
      <c r="R33" s="27">
        <f>IF(R$4-$A33&lt;1970,0,INDEX(Fleet!$C$6:$T$66,MATCH(R$4-$A33,Fleet!$A$6:$A$66,0),MATCH(R$4,Fleet!$C$4:$T$4,0)))</f>
        <v/>
      </c>
      <c r="S33" s="27">
        <f>IF(S$4-$A33&lt;1970,0,INDEX(Fleet!$C$6:$T$66,MATCH(S$4-$A33,Fleet!$A$6:$A$66,0),MATCH(S$4,Fleet!$C$4:$T$4,0)))</f>
        <v/>
      </c>
      <c r="T33" s="27">
        <f>IF(T$4-$A33&lt;1970,0,INDEX(Fleet!$C$6:$T$66,MATCH(T$4-$A33,Fleet!$A$6:$A$66,0),MATCH(T$4,Fleet!$C$4:$T$4,0)))</f>
        <v/>
      </c>
    </row>
    <row r="34">
      <c r="A34" s="9" t="n">
        <v>28</v>
      </c>
      <c r="B34" s="29">
        <f>A34+0.5</f>
        <v/>
      </c>
      <c r="C34" s="27">
        <f>IF(C$4-$A34&lt;1970,0,INDEX(Fleet!$C$6:$T$66,MATCH(C$4-$A34,Fleet!$A$6:$A$66,0),MATCH(C$4,Fleet!$C$4:$T$4,0)))</f>
        <v/>
      </c>
      <c r="D34" s="27">
        <f>IF(D$4-$A34&lt;1970,0,INDEX(Fleet!$C$6:$T$66,MATCH(D$4-$A34,Fleet!$A$6:$A$66,0),MATCH(D$4,Fleet!$C$4:$T$4,0)))</f>
        <v/>
      </c>
      <c r="E34" s="27">
        <f>IF(E$4-$A34&lt;1970,0,INDEX(Fleet!$C$6:$T$66,MATCH(E$4-$A34,Fleet!$A$6:$A$66,0),MATCH(E$4,Fleet!$C$4:$T$4,0)))</f>
        <v/>
      </c>
      <c r="F34" s="27">
        <f>IF(F$4-$A34&lt;1970,0,INDEX(Fleet!$C$6:$T$66,MATCH(F$4-$A34,Fleet!$A$6:$A$66,0),MATCH(F$4,Fleet!$C$4:$T$4,0)))</f>
        <v/>
      </c>
      <c r="G34" s="27">
        <f>IF(G$4-$A34&lt;1970,0,INDEX(Fleet!$C$6:$T$66,MATCH(G$4-$A34,Fleet!$A$6:$A$66,0),MATCH(G$4,Fleet!$C$4:$T$4,0)))</f>
        <v/>
      </c>
      <c r="H34" s="27">
        <f>IF(H$4-$A34&lt;1970,0,INDEX(Fleet!$C$6:$T$66,MATCH(H$4-$A34,Fleet!$A$6:$A$66,0),MATCH(H$4,Fleet!$C$4:$T$4,0)))</f>
        <v/>
      </c>
      <c r="I34" s="27">
        <f>IF(I$4-$A34&lt;1970,0,INDEX(Fleet!$C$6:$T$66,MATCH(I$4-$A34,Fleet!$A$6:$A$66,0),MATCH(I$4,Fleet!$C$4:$T$4,0)))</f>
        <v/>
      </c>
      <c r="J34" s="27">
        <f>IF(J$4-$A34&lt;1970,0,INDEX(Fleet!$C$6:$T$66,MATCH(J$4-$A34,Fleet!$A$6:$A$66,0),MATCH(J$4,Fleet!$C$4:$T$4,0)))</f>
        <v/>
      </c>
      <c r="K34" s="27">
        <f>IF(K$4-$A34&lt;1970,0,INDEX(Fleet!$C$6:$T$66,MATCH(K$4-$A34,Fleet!$A$6:$A$66,0),MATCH(K$4,Fleet!$C$4:$T$4,0)))</f>
        <v/>
      </c>
      <c r="L34" s="27">
        <f>IF(L$4-$A34&lt;1970,0,INDEX(Fleet!$C$6:$T$66,MATCH(L$4-$A34,Fleet!$A$6:$A$66,0),MATCH(L$4,Fleet!$C$4:$T$4,0)))</f>
        <v/>
      </c>
      <c r="M34" s="27">
        <f>IF(M$4-$A34&lt;1970,0,INDEX(Fleet!$C$6:$T$66,MATCH(M$4-$A34,Fleet!$A$6:$A$66,0),MATCH(M$4,Fleet!$C$4:$T$4,0)))</f>
        <v/>
      </c>
      <c r="N34" s="27">
        <f>IF(N$4-$A34&lt;1970,0,INDEX(Fleet!$C$6:$T$66,MATCH(N$4-$A34,Fleet!$A$6:$A$66,0),MATCH(N$4,Fleet!$C$4:$T$4,0)))</f>
        <v/>
      </c>
      <c r="O34" s="27">
        <f>IF(O$4-$A34&lt;1970,0,INDEX(Fleet!$C$6:$T$66,MATCH(O$4-$A34,Fleet!$A$6:$A$66,0),MATCH(O$4,Fleet!$C$4:$T$4,0)))</f>
        <v/>
      </c>
      <c r="P34" s="27">
        <f>IF(P$4-$A34&lt;1970,0,INDEX(Fleet!$C$6:$T$66,MATCH(P$4-$A34,Fleet!$A$6:$A$66,0),MATCH(P$4,Fleet!$C$4:$T$4,0)))</f>
        <v/>
      </c>
      <c r="Q34" s="27">
        <f>IF(Q$4-$A34&lt;1970,0,INDEX(Fleet!$C$6:$T$66,MATCH(Q$4-$A34,Fleet!$A$6:$A$66,0),MATCH(Q$4,Fleet!$C$4:$T$4,0)))</f>
        <v/>
      </c>
      <c r="R34" s="27">
        <f>IF(R$4-$A34&lt;1970,0,INDEX(Fleet!$C$6:$T$66,MATCH(R$4-$A34,Fleet!$A$6:$A$66,0),MATCH(R$4,Fleet!$C$4:$T$4,0)))</f>
        <v/>
      </c>
      <c r="S34" s="27">
        <f>IF(S$4-$A34&lt;1970,0,INDEX(Fleet!$C$6:$T$66,MATCH(S$4-$A34,Fleet!$A$6:$A$66,0),MATCH(S$4,Fleet!$C$4:$T$4,0)))</f>
        <v/>
      </c>
      <c r="T34" s="27">
        <f>IF(T$4-$A34&lt;1970,0,INDEX(Fleet!$C$6:$T$66,MATCH(T$4-$A34,Fleet!$A$6:$A$66,0),MATCH(T$4,Fleet!$C$4:$T$4,0)))</f>
        <v/>
      </c>
    </row>
    <row r="35">
      <c r="A35" s="9" t="n">
        <v>29</v>
      </c>
      <c r="B35" s="29">
        <f>A35+0.5</f>
        <v/>
      </c>
      <c r="C35" s="27">
        <f>IF(C$4-$A35&lt;1970,0,INDEX(Fleet!$C$6:$T$66,MATCH(C$4-$A35,Fleet!$A$6:$A$66,0),MATCH(C$4,Fleet!$C$4:$T$4,0)))</f>
        <v/>
      </c>
      <c r="D35" s="27">
        <f>IF(D$4-$A35&lt;1970,0,INDEX(Fleet!$C$6:$T$66,MATCH(D$4-$A35,Fleet!$A$6:$A$66,0),MATCH(D$4,Fleet!$C$4:$T$4,0)))</f>
        <v/>
      </c>
      <c r="E35" s="27">
        <f>IF(E$4-$A35&lt;1970,0,INDEX(Fleet!$C$6:$T$66,MATCH(E$4-$A35,Fleet!$A$6:$A$66,0),MATCH(E$4,Fleet!$C$4:$T$4,0)))</f>
        <v/>
      </c>
      <c r="F35" s="27">
        <f>IF(F$4-$A35&lt;1970,0,INDEX(Fleet!$C$6:$T$66,MATCH(F$4-$A35,Fleet!$A$6:$A$66,0),MATCH(F$4,Fleet!$C$4:$T$4,0)))</f>
        <v/>
      </c>
      <c r="G35" s="27">
        <f>IF(G$4-$A35&lt;1970,0,INDEX(Fleet!$C$6:$T$66,MATCH(G$4-$A35,Fleet!$A$6:$A$66,0),MATCH(G$4,Fleet!$C$4:$T$4,0)))</f>
        <v/>
      </c>
      <c r="H35" s="27">
        <f>IF(H$4-$A35&lt;1970,0,INDEX(Fleet!$C$6:$T$66,MATCH(H$4-$A35,Fleet!$A$6:$A$66,0),MATCH(H$4,Fleet!$C$4:$T$4,0)))</f>
        <v/>
      </c>
      <c r="I35" s="27">
        <f>IF(I$4-$A35&lt;1970,0,INDEX(Fleet!$C$6:$T$66,MATCH(I$4-$A35,Fleet!$A$6:$A$66,0),MATCH(I$4,Fleet!$C$4:$T$4,0)))</f>
        <v/>
      </c>
      <c r="J35" s="27">
        <f>IF(J$4-$A35&lt;1970,0,INDEX(Fleet!$C$6:$T$66,MATCH(J$4-$A35,Fleet!$A$6:$A$66,0),MATCH(J$4,Fleet!$C$4:$T$4,0)))</f>
        <v/>
      </c>
      <c r="K35" s="27">
        <f>IF(K$4-$A35&lt;1970,0,INDEX(Fleet!$C$6:$T$66,MATCH(K$4-$A35,Fleet!$A$6:$A$66,0),MATCH(K$4,Fleet!$C$4:$T$4,0)))</f>
        <v/>
      </c>
      <c r="L35" s="27">
        <f>IF(L$4-$A35&lt;1970,0,INDEX(Fleet!$C$6:$T$66,MATCH(L$4-$A35,Fleet!$A$6:$A$66,0),MATCH(L$4,Fleet!$C$4:$T$4,0)))</f>
        <v/>
      </c>
      <c r="M35" s="27">
        <f>IF(M$4-$A35&lt;1970,0,INDEX(Fleet!$C$6:$T$66,MATCH(M$4-$A35,Fleet!$A$6:$A$66,0),MATCH(M$4,Fleet!$C$4:$T$4,0)))</f>
        <v/>
      </c>
      <c r="N35" s="27">
        <f>IF(N$4-$A35&lt;1970,0,INDEX(Fleet!$C$6:$T$66,MATCH(N$4-$A35,Fleet!$A$6:$A$66,0),MATCH(N$4,Fleet!$C$4:$T$4,0)))</f>
        <v/>
      </c>
      <c r="O35" s="27">
        <f>IF(O$4-$A35&lt;1970,0,INDEX(Fleet!$C$6:$T$66,MATCH(O$4-$A35,Fleet!$A$6:$A$66,0),MATCH(O$4,Fleet!$C$4:$T$4,0)))</f>
        <v/>
      </c>
      <c r="P35" s="27">
        <f>IF(P$4-$A35&lt;1970,0,INDEX(Fleet!$C$6:$T$66,MATCH(P$4-$A35,Fleet!$A$6:$A$66,0),MATCH(P$4,Fleet!$C$4:$T$4,0)))</f>
        <v/>
      </c>
      <c r="Q35" s="27">
        <f>IF(Q$4-$A35&lt;1970,0,INDEX(Fleet!$C$6:$T$66,MATCH(Q$4-$A35,Fleet!$A$6:$A$66,0),MATCH(Q$4,Fleet!$C$4:$T$4,0)))</f>
        <v/>
      </c>
      <c r="R35" s="27">
        <f>IF(R$4-$A35&lt;1970,0,INDEX(Fleet!$C$6:$T$66,MATCH(R$4-$A35,Fleet!$A$6:$A$66,0),MATCH(R$4,Fleet!$C$4:$T$4,0)))</f>
        <v/>
      </c>
      <c r="S35" s="27">
        <f>IF(S$4-$A35&lt;1970,0,INDEX(Fleet!$C$6:$T$66,MATCH(S$4-$A35,Fleet!$A$6:$A$66,0),MATCH(S$4,Fleet!$C$4:$T$4,0)))</f>
        <v/>
      </c>
      <c r="T35" s="27">
        <f>IF(T$4-$A35&lt;1970,0,INDEX(Fleet!$C$6:$T$66,MATCH(T$4-$A35,Fleet!$A$6:$A$66,0),MATCH(T$4,Fleet!$C$4:$T$4,0)))</f>
        <v/>
      </c>
    </row>
    <row r="36">
      <c r="A36" s="9" t="n">
        <v>30</v>
      </c>
      <c r="B36" s="29">
        <f>A36+0.5</f>
        <v/>
      </c>
      <c r="C36" s="27">
        <f>IF(C$4-$A36&lt;1970,0,INDEX(Fleet!$C$6:$T$66,MATCH(C$4-$A36,Fleet!$A$6:$A$66,0),MATCH(C$4,Fleet!$C$4:$T$4,0)))</f>
        <v/>
      </c>
      <c r="D36" s="27">
        <f>IF(D$4-$A36&lt;1970,0,INDEX(Fleet!$C$6:$T$66,MATCH(D$4-$A36,Fleet!$A$6:$A$66,0),MATCH(D$4,Fleet!$C$4:$T$4,0)))</f>
        <v/>
      </c>
      <c r="E36" s="27">
        <f>IF(E$4-$A36&lt;1970,0,INDEX(Fleet!$C$6:$T$66,MATCH(E$4-$A36,Fleet!$A$6:$A$66,0),MATCH(E$4,Fleet!$C$4:$T$4,0)))</f>
        <v/>
      </c>
      <c r="F36" s="27">
        <f>IF(F$4-$A36&lt;1970,0,INDEX(Fleet!$C$6:$T$66,MATCH(F$4-$A36,Fleet!$A$6:$A$66,0),MATCH(F$4,Fleet!$C$4:$T$4,0)))</f>
        <v/>
      </c>
      <c r="G36" s="27">
        <f>IF(G$4-$A36&lt;1970,0,INDEX(Fleet!$C$6:$T$66,MATCH(G$4-$A36,Fleet!$A$6:$A$66,0),MATCH(G$4,Fleet!$C$4:$T$4,0)))</f>
        <v/>
      </c>
      <c r="H36" s="27">
        <f>IF(H$4-$A36&lt;1970,0,INDEX(Fleet!$C$6:$T$66,MATCH(H$4-$A36,Fleet!$A$6:$A$66,0),MATCH(H$4,Fleet!$C$4:$T$4,0)))</f>
        <v/>
      </c>
      <c r="I36" s="27">
        <f>IF(I$4-$A36&lt;1970,0,INDEX(Fleet!$C$6:$T$66,MATCH(I$4-$A36,Fleet!$A$6:$A$66,0),MATCH(I$4,Fleet!$C$4:$T$4,0)))</f>
        <v/>
      </c>
      <c r="J36" s="27">
        <f>IF(J$4-$A36&lt;1970,0,INDEX(Fleet!$C$6:$T$66,MATCH(J$4-$A36,Fleet!$A$6:$A$66,0),MATCH(J$4,Fleet!$C$4:$T$4,0)))</f>
        <v/>
      </c>
      <c r="K36" s="27">
        <f>IF(K$4-$A36&lt;1970,0,INDEX(Fleet!$C$6:$T$66,MATCH(K$4-$A36,Fleet!$A$6:$A$66,0),MATCH(K$4,Fleet!$C$4:$T$4,0)))</f>
        <v/>
      </c>
      <c r="L36" s="27">
        <f>IF(L$4-$A36&lt;1970,0,INDEX(Fleet!$C$6:$T$66,MATCH(L$4-$A36,Fleet!$A$6:$A$66,0),MATCH(L$4,Fleet!$C$4:$T$4,0)))</f>
        <v/>
      </c>
      <c r="M36" s="27">
        <f>IF(M$4-$A36&lt;1970,0,INDEX(Fleet!$C$6:$T$66,MATCH(M$4-$A36,Fleet!$A$6:$A$66,0),MATCH(M$4,Fleet!$C$4:$T$4,0)))</f>
        <v/>
      </c>
      <c r="N36" s="27">
        <f>IF(N$4-$A36&lt;1970,0,INDEX(Fleet!$C$6:$T$66,MATCH(N$4-$A36,Fleet!$A$6:$A$66,0),MATCH(N$4,Fleet!$C$4:$T$4,0)))</f>
        <v/>
      </c>
      <c r="O36" s="27">
        <f>IF(O$4-$A36&lt;1970,0,INDEX(Fleet!$C$6:$T$66,MATCH(O$4-$A36,Fleet!$A$6:$A$66,0),MATCH(O$4,Fleet!$C$4:$T$4,0)))</f>
        <v/>
      </c>
      <c r="P36" s="27">
        <f>IF(P$4-$A36&lt;1970,0,INDEX(Fleet!$C$6:$T$66,MATCH(P$4-$A36,Fleet!$A$6:$A$66,0),MATCH(P$4,Fleet!$C$4:$T$4,0)))</f>
        <v/>
      </c>
      <c r="Q36" s="27">
        <f>IF(Q$4-$A36&lt;1970,0,INDEX(Fleet!$C$6:$T$66,MATCH(Q$4-$A36,Fleet!$A$6:$A$66,0),MATCH(Q$4,Fleet!$C$4:$T$4,0)))</f>
        <v/>
      </c>
      <c r="R36" s="27">
        <f>IF(R$4-$A36&lt;1970,0,INDEX(Fleet!$C$6:$T$66,MATCH(R$4-$A36,Fleet!$A$6:$A$66,0),MATCH(R$4,Fleet!$C$4:$T$4,0)))</f>
        <v/>
      </c>
      <c r="S36" s="27">
        <f>IF(S$4-$A36&lt;1970,0,INDEX(Fleet!$C$6:$T$66,MATCH(S$4-$A36,Fleet!$A$6:$A$66,0),MATCH(S$4,Fleet!$C$4:$T$4,0)))</f>
        <v/>
      </c>
      <c r="T36" s="27">
        <f>IF(T$4-$A36&lt;1970,0,INDEX(Fleet!$C$6:$T$66,MATCH(T$4-$A36,Fleet!$A$6:$A$66,0),MATCH(T$4,Fleet!$C$4:$T$4,0)))</f>
        <v/>
      </c>
    </row>
    <row r="37">
      <c r="A37" s="9" t="n">
        <v>31</v>
      </c>
      <c r="B37" s="29">
        <f>A37+0.5</f>
        <v/>
      </c>
      <c r="C37" s="27">
        <f>IF(C$4-$A37&lt;1970,0,INDEX(Fleet!$C$6:$T$66,MATCH(C$4-$A37,Fleet!$A$6:$A$66,0),MATCH(C$4,Fleet!$C$4:$T$4,0)))</f>
        <v/>
      </c>
      <c r="D37" s="27">
        <f>IF(D$4-$A37&lt;1970,0,INDEX(Fleet!$C$6:$T$66,MATCH(D$4-$A37,Fleet!$A$6:$A$66,0),MATCH(D$4,Fleet!$C$4:$T$4,0)))</f>
        <v/>
      </c>
      <c r="E37" s="27">
        <f>IF(E$4-$A37&lt;1970,0,INDEX(Fleet!$C$6:$T$66,MATCH(E$4-$A37,Fleet!$A$6:$A$66,0),MATCH(E$4,Fleet!$C$4:$T$4,0)))</f>
        <v/>
      </c>
      <c r="F37" s="27">
        <f>IF(F$4-$A37&lt;1970,0,INDEX(Fleet!$C$6:$T$66,MATCH(F$4-$A37,Fleet!$A$6:$A$66,0),MATCH(F$4,Fleet!$C$4:$T$4,0)))</f>
        <v/>
      </c>
      <c r="G37" s="27">
        <f>IF(G$4-$A37&lt;1970,0,INDEX(Fleet!$C$6:$T$66,MATCH(G$4-$A37,Fleet!$A$6:$A$66,0),MATCH(G$4,Fleet!$C$4:$T$4,0)))</f>
        <v/>
      </c>
      <c r="H37" s="27">
        <f>IF(H$4-$A37&lt;1970,0,INDEX(Fleet!$C$6:$T$66,MATCH(H$4-$A37,Fleet!$A$6:$A$66,0),MATCH(H$4,Fleet!$C$4:$T$4,0)))</f>
        <v/>
      </c>
      <c r="I37" s="27">
        <f>IF(I$4-$A37&lt;1970,0,INDEX(Fleet!$C$6:$T$66,MATCH(I$4-$A37,Fleet!$A$6:$A$66,0),MATCH(I$4,Fleet!$C$4:$T$4,0)))</f>
        <v/>
      </c>
      <c r="J37" s="27">
        <f>IF(J$4-$A37&lt;1970,0,INDEX(Fleet!$C$6:$T$66,MATCH(J$4-$A37,Fleet!$A$6:$A$66,0),MATCH(J$4,Fleet!$C$4:$T$4,0)))</f>
        <v/>
      </c>
      <c r="K37" s="27">
        <f>IF(K$4-$A37&lt;1970,0,INDEX(Fleet!$C$6:$T$66,MATCH(K$4-$A37,Fleet!$A$6:$A$66,0),MATCH(K$4,Fleet!$C$4:$T$4,0)))</f>
        <v/>
      </c>
      <c r="L37" s="27">
        <f>IF(L$4-$A37&lt;1970,0,INDEX(Fleet!$C$6:$T$66,MATCH(L$4-$A37,Fleet!$A$6:$A$66,0),MATCH(L$4,Fleet!$C$4:$T$4,0)))</f>
        <v/>
      </c>
      <c r="M37" s="27">
        <f>IF(M$4-$A37&lt;1970,0,INDEX(Fleet!$C$6:$T$66,MATCH(M$4-$A37,Fleet!$A$6:$A$66,0),MATCH(M$4,Fleet!$C$4:$T$4,0)))</f>
        <v/>
      </c>
      <c r="N37" s="27">
        <f>IF(N$4-$A37&lt;1970,0,INDEX(Fleet!$C$6:$T$66,MATCH(N$4-$A37,Fleet!$A$6:$A$66,0),MATCH(N$4,Fleet!$C$4:$T$4,0)))</f>
        <v/>
      </c>
      <c r="O37" s="27">
        <f>IF(O$4-$A37&lt;1970,0,INDEX(Fleet!$C$6:$T$66,MATCH(O$4-$A37,Fleet!$A$6:$A$66,0),MATCH(O$4,Fleet!$C$4:$T$4,0)))</f>
        <v/>
      </c>
      <c r="P37" s="27">
        <f>IF(P$4-$A37&lt;1970,0,INDEX(Fleet!$C$6:$T$66,MATCH(P$4-$A37,Fleet!$A$6:$A$66,0),MATCH(P$4,Fleet!$C$4:$T$4,0)))</f>
        <v/>
      </c>
      <c r="Q37" s="27">
        <f>IF(Q$4-$A37&lt;1970,0,INDEX(Fleet!$C$6:$T$66,MATCH(Q$4-$A37,Fleet!$A$6:$A$66,0),MATCH(Q$4,Fleet!$C$4:$T$4,0)))</f>
        <v/>
      </c>
      <c r="R37" s="27">
        <f>IF(R$4-$A37&lt;1970,0,INDEX(Fleet!$C$6:$T$66,MATCH(R$4-$A37,Fleet!$A$6:$A$66,0),MATCH(R$4,Fleet!$C$4:$T$4,0)))</f>
        <v/>
      </c>
      <c r="S37" s="27">
        <f>IF(S$4-$A37&lt;1970,0,INDEX(Fleet!$C$6:$T$66,MATCH(S$4-$A37,Fleet!$A$6:$A$66,0),MATCH(S$4,Fleet!$C$4:$T$4,0)))</f>
        <v/>
      </c>
      <c r="T37" s="27">
        <f>IF(T$4-$A37&lt;1970,0,INDEX(Fleet!$C$6:$T$66,MATCH(T$4-$A37,Fleet!$A$6:$A$66,0),MATCH(T$4,Fleet!$C$4:$T$4,0)))</f>
        <v/>
      </c>
    </row>
    <row r="38">
      <c r="A38" s="9" t="n">
        <v>32</v>
      </c>
      <c r="B38" s="29">
        <f>A38+0.5</f>
        <v/>
      </c>
      <c r="C38" s="27">
        <f>IF(C$4-$A38&lt;1970,0,INDEX(Fleet!$C$6:$T$66,MATCH(C$4-$A38,Fleet!$A$6:$A$66,0),MATCH(C$4,Fleet!$C$4:$T$4,0)))</f>
        <v/>
      </c>
      <c r="D38" s="27">
        <f>IF(D$4-$A38&lt;1970,0,INDEX(Fleet!$C$6:$T$66,MATCH(D$4-$A38,Fleet!$A$6:$A$66,0),MATCH(D$4,Fleet!$C$4:$T$4,0)))</f>
        <v/>
      </c>
      <c r="E38" s="27">
        <f>IF(E$4-$A38&lt;1970,0,INDEX(Fleet!$C$6:$T$66,MATCH(E$4-$A38,Fleet!$A$6:$A$66,0),MATCH(E$4,Fleet!$C$4:$T$4,0)))</f>
        <v/>
      </c>
      <c r="F38" s="27">
        <f>IF(F$4-$A38&lt;1970,0,INDEX(Fleet!$C$6:$T$66,MATCH(F$4-$A38,Fleet!$A$6:$A$66,0),MATCH(F$4,Fleet!$C$4:$T$4,0)))</f>
        <v/>
      </c>
      <c r="G38" s="27">
        <f>IF(G$4-$A38&lt;1970,0,INDEX(Fleet!$C$6:$T$66,MATCH(G$4-$A38,Fleet!$A$6:$A$66,0),MATCH(G$4,Fleet!$C$4:$T$4,0)))</f>
        <v/>
      </c>
      <c r="H38" s="27">
        <f>IF(H$4-$A38&lt;1970,0,INDEX(Fleet!$C$6:$T$66,MATCH(H$4-$A38,Fleet!$A$6:$A$66,0),MATCH(H$4,Fleet!$C$4:$T$4,0)))</f>
        <v/>
      </c>
      <c r="I38" s="27">
        <f>IF(I$4-$A38&lt;1970,0,INDEX(Fleet!$C$6:$T$66,MATCH(I$4-$A38,Fleet!$A$6:$A$66,0),MATCH(I$4,Fleet!$C$4:$T$4,0)))</f>
        <v/>
      </c>
      <c r="J38" s="27">
        <f>IF(J$4-$A38&lt;1970,0,INDEX(Fleet!$C$6:$T$66,MATCH(J$4-$A38,Fleet!$A$6:$A$66,0),MATCH(J$4,Fleet!$C$4:$T$4,0)))</f>
        <v/>
      </c>
      <c r="K38" s="27">
        <f>IF(K$4-$A38&lt;1970,0,INDEX(Fleet!$C$6:$T$66,MATCH(K$4-$A38,Fleet!$A$6:$A$66,0),MATCH(K$4,Fleet!$C$4:$T$4,0)))</f>
        <v/>
      </c>
      <c r="L38" s="27">
        <f>IF(L$4-$A38&lt;1970,0,INDEX(Fleet!$C$6:$T$66,MATCH(L$4-$A38,Fleet!$A$6:$A$66,0),MATCH(L$4,Fleet!$C$4:$T$4,0)))</f>
        <v/>
      </c>
      <c r="M38" s="27">
        <f>IF(M$4-$A38&lt;1970,0,INDEX(Fleet!$C$6:$T$66,MATCH(M$4-$A38,Fleet!$A$6:$A$66,0),MATCH(M$4,Fleet!$C$4:$T$4,0)))</f>
        <v/>
      </c>
      <c r="N38" s="27">
        <f>IF(N$4-$A38&lt;1970,0,INDEX(Fleet!$C$6:$T$66,MATCH(N$4-$A38,Fleet!$A$6:$A$66,0),MATCH(N$4,Fleet!$C$4:$T$4,0)))</f>
        <v/>
      </c>
      <c r="O38" s="27">
        <f>IF(O$4-$A38&lt;1970,0,INDEX(Fleet!$C$6:$T$66,MATCH(O$4-$A38,Fleet!$A$6:$A$66,0),MATCH(O$4,Fleet!$C$4:$T$4,0)))</f>
        <v/>
      </c>
      <c r="P38" s="27">
        <f>IF(P$4-$A38&lt;1970,0,INDEX(Fleet!$C$6:$T$66,MATCH(P$4-$A38,Fleet!$A$6:$A$66,0),MATCH(P$4,Fleet!$C$4:$T$4,0)))</f>
        <v/>
      </c>
      <c r="Q38" s="27">
        <f>IF(Q$4-$A38&lt;1970,0,INDEX(Fleet!$C$6:$T$66,MATCH(Q$4-$A38,Fleet!$A$6:$A$66,0),MATCH(Q$4,Fleet!$C$4:$T$4,0)))</f>
        <v/>
      </c>
      <c r="R38" s="27">
        <f>IF(R$4-$A38&lt;1970,0,INDEX(Fleet!$C$6:$T$66,MATCH(R$4-$A38,Fleet!$A$6:$A$66,0),MATCH(R$4,Fleet!$C$4:$T$4,0)))</f>
        <v/>
      </c>
      <c r="S38" s="27">
        <f>IF(S$4-$A38&lt;1970,0,INDEX(Fleet!$C$6:$T$66,MATCH(S$4-$A38,Fleet!$A$6:$A$66,0),MATCH(S$4,Fleet!$C$4:$T$4,0)))</f>
        <v/>
      </c>
      <c r="T38" s="27">
        <f>IF(T$4-$A38&lt;1970,0,INDEX(Fleet!$C$6:$T$66,MATCH(T$4-$A38,Fleet!$A$6:$A$66,0),MATCH(T$4,Fleet!$C$4:$T$4,0)))</f>
        <v/>
      </c>
    </row>
    <row r="39">
      <c r="A39" s="9" t="n">
        <v>33</v>
      </c>
      <c r="B39" s="29">
        <f>A39+0.5</f>
        <v/>
      </c>
      <c r="C39" s="27">
        <f>IF(C$4-$A39&lt;1970,0,INDEX(Fleet!$C$6:$T$66,MATCH(C$4-$A39,Fleet!$A$6:$A$66,0),MATCH(C$4,Fleet!$C$4:$T$4,0)))</f>
        <v/>
      </c>
      <c r="D39" s="27">
        <f>IF(D$4-$A39&lt;1970,0,INDEX(Fleet!$C$6:$T$66,MATCH(D$4-$A39,Fleet!$A$6:$A$66,0),MATCH(D$4,Fleet!$C$4:$T$4,0)))</f>
        <v/>
      </c>
      <c r="E39" s="27">
        <f>IF(E$4-$A39&lt;1970,0,INDEX(Fleet!$C$6:$T$66,MATCH(E$4-$A39,Fleet!$A$6:$A$66,0),MATCH(E$4,Fleet!$C$4:$T$4,0)))</f>
        <v/>
      </c>
      <c r="F39" s="27">
        <f>IF(F$4-$A39&lt;1970,0,INDEX(Fleet!$C$6:$T$66,MATCH(F$4-$A39,Fleet!$A$6:$A$66,0),MATCH(F$4,Fleet!$C$4:$T$4,0)))</f>
        <v/>
      </c>
      <c r="G39" s="27">
        <f>IF(G$4-$A39&lt;1970,0,INDEX(Fleet!$C$6:$T$66,MATCH(G$4-$A39,Fleet!$A$6:$A$66,0),MATCH(G$4,Fleet!$C$4:$T$4,0)))</f>
        <v/>
      </c>
      <c r="H39" s="27">
        <f>IF(H$4-$A39&lt;1970,0,INDEX(Fleet!$C$6:$T$66,MATCH(H$4-$A39,Fleet!$A$6:$A$66,0),MATCH(H$4,Fleet!$C$4:$T$4,0)))</f>
        <v/>
      </c>
      <c r="I39" s="27">
        <f>IF(I$4-$A39&lt;1970,0,INDEX(Fleet!$C$6:$T$66,MATCH(I$4-$A39,Fleet!$A$6:$A$66,0),MATCH(I$4,Fleet!$C$4:$T$4,0)))</f>
        <v/>
      </c>
      <c r="J39" s="27">
        <f>IF(J$4-$A39&lt;1970,0,INDEX(Fleet!$C$6:$T$66,MATCH(J$4-$A39,Fleet!$A$6:$A$66,0),MATCH(J$4,Fleet!$C$4:$T$4,0)))</f>
        <v/>
      </c>
      <c r="K39" s="27">
        <f>IF(K$4-$A39&lt;1970,0,INDEX(Fleet!$C$6:$T$66,MATCH(K$4-$A39,Fleet!$A$6:$A$66,0),MATCH(K$4,Fleet!$C$4:$T$4,0)))</f>
        <v/>
      </c>
      <c r="L39" s="27">
        <f>IF(L$4-$A39&lt;1970,0,INDEX(Fleet!$C$6:$T$66,MATCH(L$4-$A39,Fleet!$A$6:$A$66,0),MATCH(L$4,Fleet!$C$4:$T$4,0)))</f>
        <v/>
      </c>
      <c r="M39" s="27">
        <f>IF(M$4-$A39&lt;1970,0,INDEX(Fleet!$C$6:$T$66,MATCH(M$4-$A39,Fleet!$A$6:$A$66,0),MATCH(M$4,Fleet!$C$4:$T$4,0)))</f>
        <v/>
      </c>
      <c r="N39" s="27">
        <f>IF(N$4-$A39&lt;1970,0,INDEX(Fleet!$C$6:$T$66,MATCH(N$4-$A39,Fleet!$A$6:$A$66,0),MATCH(N$4,Fleet!$C$4:$T$4,0)))</f>
        <v/>
      </c>
      <c r="O39" s="27">
        <f>IF(O$4-$A39&lt;1970,0,INDEX(Fleet!$C$6:$T$66,MATCH(O$4-$A39,Fleet!$A$6:$A$66,0),MATCH(O$4,Fleet!$C$4:$T$4,0)))</f>
        <v/>
      </c>
      <c r="P39" s="27">
        <f>IF(P$4-$A39&lt;1970,0,INDEX(Fleet!$C$6:$T$66,MATCH(P$4-$A39,Fleet!$A$6:$A$66,0),MATCH(P$4,Fleet!$C$4:$T$4,0)))</f>
        <v/>
      </c>
      <c r="Q39" s="27">
        <f>IF(Q$4-$A39&lt;1970,0,INDEX(Fleet!$C$6:$T$66,MATCH(Q$4-$A39,Fleet!$A$6:$A$66,0),MATCH(Q$4,Fleet!$C$4:$T$4,0)))</f>
        <v/>
      </c>
      <c r="R39" s="27">
        <f>IF(R$4-$A39&lt;1970,0,INDEX(Fleet!$C$6:$T$66,MATCH(R$4-$A39,Fleet!$A$6:$A$66,0),MATCH(R$4,Fleet!$C$4:$T$4,0)))</f>
        <v/>
      </c>
      <c r="S39" s="27">
        <f>IF(S$4-$A39&lt;1970,0,INDEX(Fleet!$C$6:$T$66,MATCH(S$4-$A39,Fleet!$A$6:$A$66,0),MATCH(S$4,Fleet!$C$4:$T$4,0)))</f>
        <v/>
      </c>
      <c r="T39" s="27">
        <f>IF(T$4-$A39&lt;1970,0,INDEX(Fleet!$C$6:$T$66,MATCH(T$4-$A39,Fleet!$A$6:$A$66,0),MATCH(T$4,Fleet!$C$4:$T$4,0)))</f>
        <v/>
      </c>
    </row>
    <row r="40">
      <c r="A40" s="9" t="n">
        <v>34</v>
      </c>
      <c r="B40" s="29">
        <f>A40+0.5</f>
        <v/>
      </c>
      <c r="C40" s="27">
        <f>IF(C$4-$A40&lt;1970,0,INDEX(Fleet!$C$6:$T$66,MATCH(C$4-$A40,Fleet!$A$6:$A$66,0),MATCH(C$4,Fleet!$C$4:$T$4,0)))</f>
        <v/>
      </c>
      <c r="D40" s="27">
        <f>IF(D$4-$A40&lt;1970,0,INDEX(Fleet!$C$6:$T$66,MATCH(D$4-$A40,Fleet!$A$6:$A$66,0),MATCH(D$4,Fleet!$C$4:$T$4,0)))</f>
        <v/>
      </c>
      <c r="E40" s="27">
        <f>IF(E$4-$A40&lt;1970,0,INDEX(Fleet!$C$6:$T$66,MATCH(E$4-$A40,Fleet!$A$6:$A$66,0),MATCH(E$4,Fleet!$C$4:$T$4,0)))</f>
        <v/>
      </c>
      <c r="F40" s="27">
        <f>IF(F$4-$A40&lt;1970,0,INDEX(Fleet!$C$6:$T$66,MATCH(F$4-$A40,Fleet!$A$6:$A$66,0),MATCH(F$4,Fleet!$C$4:$T$4,0)))</f>
        <v/>
      </c>
      <c r="G40" s="27">
        <f>IF(G$4-$A40&lt;1970,0,INDEX(Fleet!$C$6:$T$66,MATCH(G$4-$A40,Fleet!$A$6:$A$66,0),MATCH(G$4,Fleet!$C$4:$T$4,0)))</f>
        <v/>
      </c>
      <c r="H40" s="27">
        <f>IF(H$4-$A40&lt;1970,0,INDEX(Fleet!$C$6:$T$66,MATCH(H$4-$A40,Fleet!$A$6:$A$66,0),MATCH(H$4,Fleet!$C$4:$T$4,0)))</f>
        <v/>
      </c>
      <c r="I40" s="27">
        <f>IF(I$4-$A40&lt;1970,0,INDEX(Fleet!$C$6:$T$66,MATCH(I$4-$A40,Fleet!$A$6:$A$66,0),MATCH(I$4,Fleet!$C$4:$T$4,0)))</f>
        <v/>
      </c>
      <c r="J40" s="27">
        <f>IF(J$4-$A40&lt;1970,0,INDEX(Fleet!$C$6:$T$66,MATCH(J$4-$A40,Fleet!$A$6:$A$66,0),MATCH(J$4,Fleet!$C$4:$T$4,0)))</f>
        <v/>
      </c>
      <c r="K40" s="27">
        <f>IF(K$4-$A40&lt;1970,0,INDEX(Fleet!$C$6:$T$66,MATCH(K$4-$A40,Fleet!$A$6:$A$66,0),MATCH(K$4,Fleet!$C$4:$T$4,0)))</f>
        <v/>
      </c>
      <c r="L40" s="27">
        <f>IF(L$4-$A40&lt;1970,0,INDEX(Fleet!$C$6:$T$66,MATCH(L$4-$A40,Fleet!$A$6:$A$66,0),MATCH(L$4,Fleet!$C$4:$T$4,0)))</f>
        <v/>
      </c>
      <c r="M40" s="27">
        <f>IF(M$4-$A40&lt;1970,0,INDEX(Fleet!$C$6:$T$66,MATCH(M$4-$A40,Fleet!$A$6:$A$66,0),MATCH(M$4,Fleet!$C$4:$T$4,0)))</f>
        <v/>
      </c>
      <c r="N40" s="27">
        <f>IF(N$4-$A40&lt;1970,0,INDEX(Fleet!$C$6:$T$66,MATCH(N$4-$A40,Fleet!$A$6:$A$66,0),MATCH(N$4,Fleet!$C$4:$T$4,0)))</f>
        <v/>
      </c>
      <c r="O40" s="27">
        <f>IF(O$4-$A40&lt;1970,0,INDEX(Fleet!$C$6:$T$66,MATCH(O$4-$A40,Fleet!$A$6:$A$66,0),MATCH(O$4,Fleet!$C$4:$T$4,0)))</f>
        <v/>
      </c>
      <c r="P40" s="27">
        <f>IF(P$4-$A40&lt;1970,0,INDEX(Fleet!$C$6:$T$66,MATCH(P$4-$A40,Fleet!$A$6:$A$66,0),MATCH(P$4,Fleet!$C$4:$T$4,0)))</f>
        <v/>
      </c>
      <c r="Q40" s="27">
        <f>IF(Q$4-$A40&lt;1970,0,INDEX(Fleet!$C$6:$T$66,MATCH(Q$4-$A40,Fleet!$A$6:$A$66,0),MATCH(Q$4,Fleet!$C$4:$T$4,0)))</f>
        <v/>
      </c>
      <c r="R40" s="27">
        <f>IF(R$4-$A40&lt;1970,0,INDEX(Fleet!$C$6:$T$66,MATCH(R$4-$A40,Fleet!$A$6:$A$66,0),MATCH(R$4,Fleet!$C$4:$T$4,0)))</f>
        <v/>
      </c>
      <c r="S40" s="27">
        <f>IF(S$4-$A40&lt;1970,0,INDEX(Fleet!$C$6:$T$66,MATCH(S$4-$A40,Fleet!$A$6:$A$66,0),MATCH(S$4,Fleet!$C$4:$T$4,0)))</f>
        <v/>
      </c>
      <c r="T40" s="27">
        <f>IF(T$4-$A40&lt;1970,0,INDEX(Fleet!$C$6:$T$66,MATCH(T$4-$A40,Fleet!$A$6:$A$66,0),MATCH(T$4,Fleet!$C$4:$T$4,0)))</f>
        <v/>
      </c>
    </row>
    <row r="41">
      <c r="A41" s="9" t="n">
        <v>35</v>
      </c>
      <c r="B41" s="29">
        <f>A41+0.5</f>
        <v/>
      </c>
      <c r="C41" s="27">
        <f>IF(C$4-$A41&lt;1970,0,INDEX(Fleet!$C$6:$T$66,MATCH(C$4-$A41,Fleet!$A$6:$A$66,0),MATCH(C$4,Fleet!$C$4:$T$4,0)))</f>
        <v/>
      </c>
      <c r="D41" s="27">
        <f>IF(D$4-$A41&lt;1970,0,INDEX(Fleet!$C$6:$T$66,MATCH(D$4-$A41,Fleet!$A$6:$A$66,0),MATCH(D$4,Fleet!$C$4:$T$4,0)))</f>
        <v/>
      </c>
      <c r="E41" s="27">
        <f>IF(E$4-$A41&lt;1970,0,INDEX(Fleet!$C$6:$T$66,MATCH(E$4-$A41,Fleet!$A$6:$A$66,0),MATCH(E$4,Fleet!$C$4:$T$4,0)))</f>
        <v/>
      </c>
      <c r="F41" s="27">
        <f>IF(F$4-$A41&lt;1970,0,INDEX(Fleet!$C$6:$T$66,MATCH(F$4-$A41,Fleet!$A$6:$A$66,0),MATCH(F$4,Fleet!$C$4:$T$4,0)))</f>
        <v/>
      </c>
      <c r="G41" s="27">
        <f>IF(G$4-$A41&lt;1970,0,INDEX(Fleet!$C$6:$T$66,MATCH(G$4-$A41,Fleet!$A$6:$A$66,0),MATCH(G$4,Fleet!$C$4:$T$4,0)))</f>
        <v/>
      </c>
      <c r="H41" s="27">
        <f>IF(H$4-$A41&lt;1970,0,INDEX(Fleet!$C$6:$T$66,MATCH(H$4-$A41,Fleet!$A$6:$A$66,0),MATCH(H$4,Fleet!$C$4:$T$4,0)))</f>
        <v/>
      </c>
      <c r="I41" s="27">
        <f>IF(I$4-$A41&lt;1970,0,INDEX(Fleet!$C$6:$T$66,MATCH(I$4-$A41,Fleet!$A$6:$A$66,0),MATCH(I$4,Fleet!$C$4:$T$4,0)))</f>
        <v/>
      </c>
      <c r="J41" s="27">
        <f>IF(J$4-$A41&lt;1970,0,INDEX(Fleet!$C$6:$T$66,MATCH(J$4-$A41,Fleet!$A$6:$A$66,0),MATCH(J$4,Fleet!$C$4:$T$4,0)))</f>
        <v/>
      </c>
      <c r="K41" s="27">
        <f>IF(K$4-$A41&lt;1970,0,INDEX(Fleet!$C$6:$T$66,MATCH(K$4-$A41,Fleet!$A$6:$A$66,0),MATCH(K$4,Fleet!$C$4:$T$4,0)))</f>
        <v/>
      </c>
      <c r="L41" s="27">
        <f>IF(L$4-$A41&lt;1970,0,INDEX(Fleet!$C$6:$T$66,MATCH(L$4-$A41,Fleet!$A$6:$A$66,0),MATCH(L$4,Fleet!$C$4:$T$4,0)))</f>
        <v/>
      </c>
      <c r="M41" s="27">
        <f>IF(M$4-$A41&lt;1970,0,INDEX(Fleet!$C$6:$T$66,MATCH(M$4-$A41,Fleet!$A$6:$A$66,0),MATCH(M$4,Fleet!$C$4:$T$4,0)))</f>
        <v/>
      </c>
      <c r="N41" s="27">
        <f>IF(N$4-$A41&lt;1970,0,INDEX(Fleet!$C$6:$T$66,MATCH(N$4-$A41,Fleet!$A$6:$A$66,0),MATCH(N$4,Fleet!$C$4:$T$4,0)))</f>
        <v/>
      </c>
      <c r="O41" s="27">
        <f>IF(O$4-$A41&lt;1970,0,INDEX(Fleet!$C$6:$T$66,MATCH(O$4-$A41,Fleet!$A$6:$A$66,0),MATCH(O$4,Fleet!$C$4:$T$4,0)))</f>
        <v/>
      </c>
      <c r="P41" s="27">
        <f>IF(P$4-$A41&lt;1970,0,INDEX(Fleet!$C$6:$T$66,MATCH(P$4-$A41,Fleet!$A$6:$A$66,0),MATCH(P$4,Fleet!$C$4:$T$4,0)))</f>
        <v/>
      </c>
      <c r="Q41" s="27">
        <f>IF(Q$4-$A41&lt;1970,0,INDEX(Fleet!$C$6:$T$66,MATCH(Q$4-$A41,Fleet!$A$6:$A$66,0),MATCH(Q$4,Fleet!$C$4:$T$4,0)))</f>
        <v/>
      </c>
      <c r="R41" s="27">
        <f>IF(R$4-$A41&lt;1970,0,INDEX(Fleet!$C$6:$T$66,MATCH(R$4-$A41,Fleet!$A$6:$A$66,0),MATCH(R$4,Fleet!$C$4:$T$4,0)))</f>
        <v/>
      </c>
      <c r="S41" s="27">
        <f>IF(S$4-$A41&lt;1970,0,INDEX(Fleet!$C$6:$T$66,MATCH(S$4-$A41,Fleet!$A$6:$A$66,0),MATCH(S$4,Fleet!$C$4:$T$4,0)))</f>
        <v/>
      </c>
      <c r="T41" s="27">
        <f>IF(T$4-$A41&lt;1970,0,INDEX(Fleet!$C$6:$T$66,MATCH(T$4-$A41,Fleet!$A$6:$A$66,0),MATCH(T$4,Fleet!$C$4:$T$4,0)))</f>
        <v/>
      </c>
    </row>
    <row r="42">
      <c r="A42" s="9" t="n">
        <v>36</v>
      </c>
      <c r="B42" s="29">
        <f>A42+0.5</f>
        <v/>
      </c>
      <c r="C42" s="27">
        <f>IF(C$4-$A42&lt;1970,0,INDEX(Fleet!$C$6:$T$66,MATCH(C$4-$A42,Fleet!$A$6:$A$66,0),MATCH(C$4,Fleet!$C$4:$T$4,0)))</f>
        <v/>
      </c>
      <c r="D42" s="27">
        <f>IF(D$4-$A42&lt;1970,0,INDEX(Fleet!$C$6:$T$66,MATCH(D$4-$A42,Fleet!$A$6:$A$66,0),MATCH(D$4,Fleet!$C$4:$T$4,0)))</f>
        <v/>
      </c>
      <c r="E42" s="27">
        <f>IF(E$4-$A42&lt;1970,0,INDEX(Fleet!$C$6:$T$66,MATCH(E$4-$A42,Fleet!$A$6:$A$66,0),MATCH(E$4,Fleet!$C$4:$T$4,0)))</f>
        <v/>
      </c>
      <c r="F42" s="27">
        <f>IF(F$4-$A42&lt;1970,0,INDEX(Fleet!$C$6:$T$66,MATCH(F$4-$A42,Fleet!$A$6:$A$66,0),MATCH(F$4,Fleet!$C$4:$T$4,0)))</f>
        <v/>
      </c>
      <c r="G42" s="27">
        <f>IF(G$4-$A42&lt;1970,0,INDEX(Fleet!$C$6:$T$66,MATCH(G$4-$A42,Fleet!$A$6:$A$66,0),MATCH(G$4,Fleet!$C$4:$T$4,0)))</f>
        <v/>
      </c>
      <c r="H42" s="27">
        <f>IF(H$4-$A42&lt;1970,0,INDEX(Fleet!$C$6:$T$66,MATCH(H$4-$A42,Fleet!$A$6:$A$66,0),MATCH(H$4,Fleet!$C$4:$T$4,0)))</f>
        <v/>
      </c>
      <c r="I42" s="27">
        <f>IF(I$4-$A42&lt;1970,0,INDEX(Fleet!$C$6:$T$66,MATCH(I$4-$A42,Fleet!$A$6:$A$66,0),MATCH(I$4,Fleet!$C$4:$T$4,0)))</f>
        <v/>
      </c>
      <c r="J42" s="27">
        <f>IF(J$4-$A42&lt;1970,0,INDEX(Fleet!$C$6:$T$66,MATCH(J$4-$A42,Fleet!$A$6:$A$66,0),MATCH(J$4,Fleet!$C$4:$T$4,0)))</f>
        <v/>
      </c>
      <c r="K42" s="27">
        <f>IF(K$4-$A42&lt;1970,0,INDEX(Fleet!$C$6:$T$66,MATCH(K$4-$A42,Fleet!$A$6:$A$66,0),MATCH(K$4,Fleet!$C$4:$T$4,0)))</f>
        <v/>
      </c>
      <c r="L42" s="27">
        <f>IF(L$4-$A42&lt;1970,0,INDEX(Fleet!$C$6:$T$66,MATCH(L$4-$A42,Fleet!$A$6:$A$66,0),MATCH(L$4,Fleet!$C$4:$T$4,0)))</f>
        <v/>
      </c>
      <c r="M42" s="27">
        <f>IF(M$4-$A42&lt;1970,0,INDEX(Fleet!$C$6:$T$66,MATCH(M$4-$A42,Fleet!$A$6:$A$66,0),MATCH(M$4,Fleet!$C$4:$T$4,0)))</f>
        <v/>
      </c>
      <c r="N42" s="27">
        <f>IF(N$4-$A42&lt;1970,0,INDEX(Fleet!$C$6:$T$66,MATCH(N$4-$A42,Fleet!$A$6:$A$66,0),MATCH(N$4,Fleet!$C$4:$T$4,0)))</f>
        <v/>
      </c>
      <c r="O42" s="27">
        <f>IF(O$4-$A42&lt;1970,0,INDEX(Fleet!$C$6:$T$66,MATCH(O$4-$A42,Fleet!$A$6:$A$66,0),MATCH(O$4,Fleet!$C$4:$T$4,0)))</f>
        <v/>
      </c>
      <c r="P42" s="27">
        <f>IF(P$4-$A42&lt;1970,0,INDEX(Fleet!$C$6:$T$66,MATCH(P$4-$A42,Fleet!$A$6:$A$66,0),MATCH(P$4,Fleet!$C$4:$T$4,0)))</f>
        <v/>
      </c>
      <c r="Q42" s="27">
        <f>IF(Q$4-$A42&lt;1970,0,INDEX(Fleet!$C$6:$T$66,MATCH(Q$4-$A42,Fleet!$A$6:$A$66,0),MATCH(Q$4,Fleet!$C$4:$T$4,0)))</f>
        <v/>
      </c>
      <c r="R42" s="27">
        <f>IF(R$4-$A42&lt;1970,0,INDEX(Fleet!$C$6:$T$66,MATCH(R$4-$A42,Fleet!$A$6:$A$66,0),MATCH(R$4,Fleet!$C$4:$T$4,0)))</f>
        <v/>
      </c>
      <c r="S42" s="27">
        <f>IF(S$4-$A42&lt;1970,0,INDEX(Fleet!$C$6:$T$66,MATCH(S$4-$A42,Fleet!$A$6:$A$66,0),MATCH(S$4,Fleet!$C$4:$T$4,0)))</f>
        <v/>
      </c>
      <c r="T42" s="27">
        <f>IF(T$4-$A42&lt;1970,0,INDEX(Fleet!$C$6:$T$66,MATCH(T$4-$A42,Fleet!$A$6:$A$66,0),MATCH(T$4,Fleet!$C$4:$T$4,0)))</f>
        <v/>
      </c>
    </row>
    <row r="43">
      <c r="A43" s="9" t="n">
        <v>37</v>
      </c>
      <c r="B43" s="29">
        <f>A43+0.5</f>
        <v/>
      </c>
      <c r="C43" s="27">
        <f>IF(C$4-$A43&lt;1970,0,INDEX(Fleet!$C$6:$T$66,MATCH(C$4-$A43,Fleet!$A$6:$A$66,0),MATCH(C$4,Fleet!$C$4:$T$4,0)))</f>
        <v/>
      </c>
      <c r="D43" s="27">
        <f>IF(D$4-$A43&lt;1970,0,INDEX(Fleet!$C$6:$T$66,MATCH(D$4-$A43,Fleet!$A$6:$A$66,0),MATCH(D$4,Fleet!$C$4:$T$4,0)))</f>
        <v/>
      </c>
      <c r="E43" s="27">
        <f>IF(E$4-$A43&lt;1970,0,INDEX(Fleet!$C$6:$T$66,MATCH(E$4-$A43,Fleet!$A$6:$A$66,0),MATCH(E$4,Fleet!$C$4:$T$4,0)))</f>
        <v/>
      </c>
      <c r="F43" s="27">
        <f>IF(F$4-$A43&lt;1970,0,INDEX(Fleet!$C$6:$T$66,MATCH(F$4-$A43,Fleet!$A$6:$A$66,0),MATCH(F$4,Fleet!$C$4:$T$4,0)))</f>
        <v/>
      </c>
      <c r="G43" s="27">
        <f>IF(G$4-$A43&lt;1970,0,INDEX(Fleet!$C$6:$T$66,MATCH(G$4-$A43,Fleet!$A$6:$A$66,0),MATCH(G$4,Fleet!$C$4:$T$4,0)))</f>
        <v/>
      </c>
      <c r="H43" s="27">
        <f>IF(H$4-$A43&lt;1970,0,INDEX(Fleet!$C$6:$T$66,MATCH(H$4-$A43,Fleet!$A$6:$A$66,0),MATCH(H$4,Fleet!$C$4:$T$4,0)))</f>
        <v/>
      </c>
      <c r="I43" s="27">
        <f>IF(I$4-$A43&lt;1970,0,INDEX(Fleet!$C$6:$T$66,MATCH(I$4-$A43,Fleet!$A$6:$A$66,0),MATCH(I$4,Fleet!$C$4:$T$4,0)))</f>
        <v/>
      </c>
      <c r="J43" s="27">
        <f>IF(J$4-$A43&lt;1970,0,INDEX(Fleet!$C$6:$T$66,MATCH(J$4-$A43,Fleet!$A$6:$A$66,0),MATCH(J$4,Fleet!$C$4:$T$4,0)))</f>
        <v/>
      </c>
      <c r="K43" s="27">
        <f>IF(K$4-$A43&lt;1970,0,INDEX(Fleet!$C$6:$T$66,MATCH(K$4-$A43,Fleet!$A$6:$A$66,0),MATCH(K$4,Fleet!$C$4:$T$4,0)))</f>
        <v/>
      </c>
      <c r="L43" s="27">
        <f>IF(L$4-$A43&lt;1970,0,INDEX(Fleet!$C$6:$T$66,MATCH(L$4-$A43,Fleet!$A$6:$A$66,0),MATCH(L$4,Fleet!$C$4:$T$4,0)))</f>
        <v/>
      </c>
      <c r="M43" s="27">
        <f>IF(M$4-$A43&lt;1970,0,INDEX(Fleet!$C$6:$T$66,MATCH(M$4-$A43,Fleet!$A$6:$A$66,0),MATCH(M$4,Fleet!$C$4:$T$4,0)))</f>
        <v/>
      </c>
      <c r="N43" s="27">
        <f>IF(N$4-$A43&lt;1970,0,INDEX(Fleet!$C$6:$T$66,MATCH(N$4-$A43,Fleet!$A$6:$A$66,0),MATCH(N$4,Fleet!$C$4:$T$4,0)))</f>
        <v/>
      </c>
      <c r="O43" s="27">
        <f>IF(O$4-$A43&lt;1970,0,INDEX(Fleet!$C$6:$T$66,MATCH(O$4-$A43,Fleet!$A$6:$A$66,0),MATCH(O$4,Fleet!$C$4:$T$4,0)))</f>
        <v/>
      </c>
      <c r="P43" s="27">
        <f>IF(P$4-$A43&lt;1970,0,INDEX(Fleet!$C$6:$T$66,MATCH(P$4-$A43,Fleet!$A$6:$A$66,0),MATCH(P$4,Fleet!$C$4:$T$4,0)))</f>
        <v/>
      </c>
      <c r="Q43" s="27">
        <f>IF(Q$4-$A43&lt;1970,0,INDEX(Fleet!$C$6:$T$66,MATCH(Q$4-$A43,Fleet!$A$6:$A$66,0),MATCH(Q$4,Fleet!$C$4:$T$4,0)))</f>
        <v/>
      </c>
      <c r="R43" s="27">
        <f>IF(R$4-$A43&lt;1970,0,INDEX(Fleet!$C$6:$T$66,MATCH(R$4-$A43,Fleet!$A$6:$A$66,0),MATCH(R$4,Fleet!$C$4:$T$4,0)))</f>
        <v/>
      </c>
      <c r="S43" s="27">
        <f>IF(S$4-$A43&lt;1970,0,INDEX(Fleet!$C$6:$T$66,MATCH(S$4-$A43,Fleet!$A$6:$A$66,0),MATCH(S$4,Fleet!$C$4:$T$4,0)))</f>
        <v/>
      </c>
      <c r="T43" s="27">
        <f>IF(T$4-$A43&lt;1970,0,INDEX(Fleet!$C$6:$T$66,MATCH(T$4-$A43,Fleet!$A$6:$A$66,0),MATCH(T$4,Fleet!$C$4:$T$4,0)))</f>
        <v/>
      </c>
    </row>
    <row r="44">
      <c r="A44" s="9" t="n">
        <v>38</v>
      </c>
      <c r="B44" s="29">
        <f>A44+0.5</f>
        <v/>
      </c>
      <c r="C44" s="27">
        <f>IF(C$4-$A44&lt;1970,0,INDEX(Fleet!$C$6:$T$66,MATCH(C$4-$A44,Fleet!$A$6:$A$66,0),MATCH(C$4,Fleet!$C$4:$T$4,0)))</f>
        <v/>
      </c>
      <c r="D44" s="27">
        <f>IF(D$4-$A44&lt;1970,0,INDEX(Fleet!$C$6:$T$66,MATCH(D$4-$A44,Fleet!$A$6:$A$66,0),MATCH(D$4,Fleet!$C$4:$T$4,0)))</f>
        <v/>
      </c>
      <c r="E44" s="27">
        <f>IF(E$4-$A44&lt;1970,0,INDEX(Fleet!$C$6:$T$66,MATCH(E$4-$A44,Fleet!$A$6:$A$66,0),MATCH(E$4,Fleet!$C$4:$T$4,0)))</f>
        <v/>
      </c>
      <c r="F44" s="27">
        <f>IF(F$4-$A44&lt;1970,0,INDEX(Fleet!$C$6:$T$66,MATCH(F$4-$A44,Fleet!$A$6:$A$66,0),MATCH(F$4,Fleet!$C$4:$T$4,0)))</f>
        <v/>
      </c>
      <c r="G44" s="27">
        <f>IF(G$4-$A44&lt;1970,0,INDEX(Fleet!$C$6:$T$66,MATCH(G$4-$A44,Fleet!$A$6:$A$66,0),MATCH(G$4,Fleet!$C$4:$T$4,0)))</f>
        <v/>
      </c>
      <c r="H44" s="27">
        <f>IF(H$4-$A44&lt;1970,0,INDEX(Fleet!$C$6:$T$66,MATCH(H$4-$A44,Fleet!$A$6:$A$66,0),MATCH(H$4,Fleet!$C$4:$T$4,0)))</f>
        <v/>
      </c>
      <c r="I44" s="27">
        <f>IF(I$4-$A44&lt;1970,0,INDEX(Fleet!$C$6:$T$66,MATCH(I$4-$A44,Fleet!$A$6:$A$66,0),MATCH(I$4,Fleet!$C$4:$T$4,0)))</f>
        <v/>
      </c>
      <c r="J44" s="27">
        <f>IF(J$4-$A44&lt;1970,0,INDEX(Fleet!$C$6:$T$66,MATCH(J$4-$A44,Fleet!$A$6:$A$66,0),MATCH(J$4,Fleet!$C$4:$T$4,0)))</f>
        <v/>
      </c>
      <c r="K44" s="27">
        <f>IF(K$4-$A44&lt;1970,0,INDEX(Fleet!$C$6:$T$66,MATCH(K$4-$A44,Fleet!$A$6:$A$66,0),MATCH(K$4,Fleet!$C$4:$T$4,0)))</f>
        <v/>
      </c>
      <c r="L44" s="27">
        <f>IF(L$4-$A44&lt;1970,0,INDEX(Fleet!$C$6:$T$66,MATCH(L$4-$A44,Fleet!$A$6:$A$66,0),MATCH(L$4,Fleet!$C$4:$T$4,0)))</f>
        <v/>
      </c>
      <c r="M44" s="27">
        <f>IF(M$4-$A44&lt;1970,0,INDEX(Fleet!$C$6:$T$66,MATCH(M$4-$A44,Fleet!$A$6:$A$66,0),MATCH(M$4,Fleet!$C$4:$T$4,0)))</f>
        <v/>
      </c>
      <c r="N44" s="27">
        <f>IF(N$4-$A44&lt;1970,0,INDEX(Fleet!$C$6:$T$66,MATCH(N$4-$A44,Fleet!$A$6:$A$66,0),MATCH(N$4,Fleet!$C$4:$T$4,0)))</f>
        <v/>
      </c>
      <c r="O44" s="27">
        <f>IF(O$4-$A44&lt;1970,0,INDEX(Fleet!$C$6:$T$66,MATCH(O$4-$A44,Fleet!$A$6:$A$66,0),MATCH(O$4,Fleet!$C$4:$T$4,0)))</f>
        <v/>
      </c>
      <c r="P44" s="27">
        <f>IF(P$4-$A44&lt;1970,0,INDEX(Fleet!$C$6:$T$66,MATCH(P$4-$A44,Fleet!$A$6:$A$66,0),MATCH(P$4,Fleet!$C$4:$T$4,0)))</f>
        <v/>
      </c>
      <c r="Q44" s="27">
        <f>IF(Q$4-$A44&lt;1970,0,INDEX(Fleet!$C$6:$T$66,MATCH(Q$4-$A44,Fleet!$A$6:$A$66,0),MATCH(Q$4,Fleet!$C$4:$T$4,0)))</f>
        <v/>
      </c>
      <c r="R44" s="27">
        <f>IF(R$4-$A44&lt;1970,0,INDEX(Fleet!$C$6:$T$66,MATCH(R$4-$A44,Fleet!$A$6:$A$66,0),MATCH(R$4,Fleet!$C$4:$T$4,0)))</f>
        <v/>
      </c>
      <c r="S44" s="27">
        <f>IF(S$4-$A44&lt;1970,0,INDEX(Fleet!$C$6:$T$66,MATCH(S$4-$A44,Fleet!$A$6:$A$66,0),MATCH(S$4,Fleet!$C$4:$T$4,0)))</f>
        <v/>
      </c>
      <c r="T44" s="27">
        <f>IF(T$4-$A44&lt;1970,0,INDEX(Fleet!$C$6:$T$66,MATCH(T$4-$A44,Fleet!$A$6:$A$66,0),MATCH(T$4,Fleet!$C$4:$T$4,0)))</f>
        <v/>
      </c>
    </row>
    <row r="45">
      <c r="A45" s="9" t="n">
        <v>39</v>
      </c>
      <c r="B45" s="29">
        <f>A45+0.5</f>
        <v/>
      </c>
      <c r="C45" s="27">
        <f>IF(C$4-$A45&lt;1970,0,INDEX(Fleet!$C$6:$T$66,MATCH(C$4-$A45,Fleet!$A$6:$A$66,0),MATCH(C$4,Fleet!$C$4:$T$4,0)))</f>
        <v/>
      </c>
      <c r="D45" s="27">
        <f>IF(D$4-$A45&lt;1970,0,INDEX(Fleet!$C$6:$T$66,MATCH(D$4-$A45,Fleet!$A$6:$A$66,0),MATCH(D$4,Fleet!$C$4:$T$4,0)))</f>
        <v/>
      </c>
      <c r="E45" s="27">
        <f>IF(E$4-$A45&lt;1970,0,INDEX(Fleet!$C$6:$T$66,MATCH(E$4-$A45,Fleet!$A$6:$A$66,0),MATCH(E$4,Fleet!$C$4:$T$4,0)))</f>
        <v/>
      </c>
      <c r="F45" s="27">
        <f>IF(F$4-$A45&lt;1970,0,INDEX(Fleet!$C$6:$T$66,MATCH(F$4-$A45,Fleet!$A$6:$A$66,0),MATCH(F$4,Fleet!$C$4:$T$4,0)))</f>
        <v/>
      </c>
      <c r="G45" s="27">
        <f>IF(G$4-$A45&lt;1970,0,INDEX(Fleet!$C$6:$T$66,MATCH(G$4-$A45,Fleet!$A$6:$A$66,0),MATCH(G$4,Fleet!$C$4:$T$4,0)))</f>
        <v/>
      </c>
      <c r="H45" s="27">
        <f>IF(H$4-$A45&lt;1970,0,INDEX(Fleet!$C$6:$T$66,MATCH(H$4-$A45,Fleet!$A$6:$A$66,0),MATCH(H$4,Fleet!$C$4:$T$4,0)))</f>
        <v/>
      </c>
      <c r="I45" s="27">
        <f>IF(I$4-$A45&lt;1970,0,INDEX(Fleet!$C$6:$T$66,MATCH(I$4-$A45,Fleet!$A$6:$A$66,0),MATCH(I$4,Fleet!$C$4:$T$4,0)))</f>
        <v/>
      </c>
      <c r="J45" s="27">
        <f>IF(J$4-$A45&lt;1970,0,INDEX(Fleet!$C$6:$T$66,MATCH(J$4-$A45,Fleet!$A$6:$A$66,0),MATCH(J$4,Fleet!$C$4:$T$4,0)))</f>
        <v/>
      </c>
      <c r="K45" s="27">
        <f>IF(K$4-$A45&lt;1970,0,INDEX(Fleet!$C$6:$T$66,MATCH(K$4-$A45,Fleet!$A$6:$A$66,0),MATCH(K$4,Fleet!$C$4:$T$4,0)))</f>
        <v/>
      </c>
      <c r="L45" s="27">
        <f>IF(L$4-$A45&lt;1970,0,INDEX(Fleet!$C$6:$T$66,MATCH(L$4-$A45,Fleet!$A$6:$A$66,0),MATCH(L$4,Fleet!$C$4:$T$4,0)))</f>
        <v/>
      </c>
      <c r="M45" s="27">
        <f>IF(M$4-$A45&lt;1970,0,INDEX(Fleet!$C$6:$T$66,MATCH(M$4-$A45,Fleet!$A$6:$A$66,0),MATCH(M$4,Fleet!$C$4:$T$4,0)))</f>
        <v/>
      </c>
      <c r="N45" s="27">
        <f>IF(N$4-$A45&lt;1970,0,INDEX(Fleet!$C$6:$T$66,MATCH(N$4-$A45,Fleet!$A$6:$A$66,0),MATCH(N$4,Fleet!$C$4:$T$4,0)))</f>
        <v/>
      </c>
      <c r="O45" s="27">
        <f>IF(O$4-$A45&lt;1970,0,INDEX(Fleet!$C$6:$T$66,MATCH(O$4-$A45,Fleet!$A$6:$A$66,0),MATCH(O$4,Fleet!$C$4:$T$4,0)))</f>
        <v/>
      </c>
      <c r="P45" s="27">
        <f>IF(P$4-$A45&lt;1970,0,INDEX(Fleet!$C$6:$T$66,MATCH(P$4-$A45,Fleet!$A$6:$A$66,0),MATCH(P$4,Fleet!$C$4:$T$4,0)))</f>
        <v/>
      </c>
      <c r="Q45" s="27">
        <f>IF(Q$4-$A45&lt;1970,0,INDEX(Fleet!$C$6:$T$66,MATCH(Q$4-$A45,Fleet!$A$6:$A$66,0),MATCH(Q$4,Fleet!$C$4:$T$4,0)))</f>
        <v/>
      </c>
      <c r="R45" s="27">
        <f>IF(R$4-$A45&lt;1970,0,INDEX(Fleet!$C$6:$T$66,MATCH(R$4-$A45,Fleet!$A$6:$A$66,0),MATCH(R$4,Fleet!$C$4:$T$4,0)))</f>
        <v/>
      </c>
      <c r="S45" s="27">
        <f>IF(S$4-$A45&lt;1970,0,INDEX(Fleet!$C$6:$T$66,MATCH(S$4-$A45,Fleet!$A$6:$A$66,0),MATCH(S$4,Fleet!$C$4:$T$4,0)))</f>
        <v/>
      </c>
      <c r="T45" s="27">
        <f>IF(T$4-$A45&lt;1970,0,INDEX(Fleet!$C$6:$T$66,MATCH(T$4-$A45,Fleet!$A$6:$A$66,0),MATCH(T$4,Fleet!$C$4:$T$4,0)))</f>
        <v/>
      </c>
    </row>
    <row r="46">
      <c r="A46" s="9" t="n">
        <v>40</v>
      </c>
      <c r="B46" s="29">
        <f>A46+0.5</f>
        <v/>
      </c>
      <c r="C46" s="27">
        <f>IF(C$4-$A46&lt;1970,0,INDEX(Fleet!$C$6:$T$66,MATCH(C$4-$A46,Fleet!$A$6:$A$66,0),MATCH(C$4,Fleet!$C$4:$T$4,0)))</f>
        <v/>
      </c>
      <c r="D46" s="27">
        <f>IF(D$4-$A46&lt;1970,0,INDEX(Fleet!$C$6:$T$66,MATCH(D$4-$A46,Fleet!$A$6:$A$66,0),MATCH(D$4,Fleet!$C$4:$T$4,0)))</f>
        <v/>
      </c>
      <c r="E46" s="27">
        <f>IF(E$4-$A46&lt;1970,0,INDEX(Fleet!$C$6:$T$66,MATCH(E$4-$A46,Fleet!$A$6:$A$66,0),MATCH(E$4,Fleet!$C$4:$T$4,0)))</f>
        <v/>
      </c>
      <c r="F46" s="27">
        <f>IF(F$4-$A46&lt;1970,0,INDEX(Fleet!$C$6:$T$66,MATCH(F$4-$A46,Fleet!$A$6:$A$66,0),MATCH(F$4,Fleet!$C$4:$T$4,0)))</f>
        <v/>
      </c>
      <c r="G46" s="27">
        <f>IF(G$4-$A46&lt;1970,0,INDEX(Fleet!$C$6:$T$66,MATCH(G$4-$A46,Fleet!$A$6:$A$66,0),MATCH(G$4,Fleet!$C$4:$T$4,0)))</f>
        <v/>
      </c>
      <c r="H46" s="27">
        <f>IF(H$4-$A46&lt;1970,0,INDEX(Fleet!$C$6:$T$66,MATCH(H$4-$A46,Fleet!$A$6:$A$66,0),MATCH(H$4,Fleet!$C$4:$T$4,0)))</f>
        <v/>
      </c>
      <c r="I46" s="27">
        <f>IF(I$4-$A46&lt;1970,0,INDEX(Fleet!$C$6:$T$66,MATCH(I$4-$A46,Fleet!$A$6:$A$66,0),MATCH(I$4,Fleet!$C$4:$T$4,0)))</f>
        <v/>
      </c>
      <c r="J46" s="27">
        <f>IF(J$4-$A46&lt;1970,0,INDEX(Fleet!$C$6:$T$66,MATCH(J$4-$A46,Fleet!$A$6:$A$66,0),MATCH(J$4,Fleet!$C$4:$T$4,0)))</f>
        <v/>
      </c>
      <c r="K46" s="27">
        <f>IF(K$4-$A46&lt;1970,0,INDEX(Fleet!$C$6:$T$66,MATCH(K$4-$A46,Fleet!$A$6:$A$66,0),MATCH(K$4,Fleet!$C$4:$T$4,0)))</f>
        <v/>
      </c>
      <c r="L46" s="27">
        <f>IF(L$4-$A46&lt;1970,0,INDEX(Fleet!$C$6:$T$66,MATCH(L$4-$A46,Fleet!$A$6:$A$66,0),MATCH(L$4,Fleet!$C$4:$T$4,0)))</f>
        <v/>
      </c>
      <c r="M46" s="27">
        <f>IF(M$4-$A46&lt;1970,0,INDEX(Fleet!$C$6:$T$66,MATCH(M$4-$A46,Fleet!$A$6:$A$66,0),MATCH(M$4,Fleet!$C$4:$T$4,0)))</f>
        <v/>
      </c>
      <c r="N46" s="27">
        <f>IF(N$4-$A46&lt;1970,0,INDEX(Fleet!$C$6:$T$66,MATCH(N$4-$A46,Fleet!$A$6:$A$66,0),MATCH(N$4,Fleet!$C$4:$T$4,0)))</f>
        <v/>
      </c>
      <c r="O46" s="27">
        <f>IF(O$4-$A46&lt;1970,0,INDEX(Fleet!$C$6:$T$66,MATCH(O$4-$A46,Fleet!$A$6:$A$66,0),MATCH(O$4,Fleet!$C$4:$T$4,0)))</f>
        <v/>
      </c>
      <c r="P46" s="27">
        <f>IF(P$4-$A46&lt;1970,0,INDEX(Fleet!$C$6:$T$66,MATCH(P$4-$A46,Fleet!$A$6:$A$66,0),MATCH(P$4,Fleet!$C$4:$T$4,0)))</f>
        <v/>
      </c>
      <c r="Q46" s="27">
        <f>IF(Q$4-$A46&lt;1970,0,INDEX(Fleet!$C$6:$T$66,MATCH(Q$4-$A46,Fleet!$A$6:$A$66,0),MATCH(Q$4,Fleet!$C$4:$T$4,0)))</f>
        <v/>
      </c>
      <c r="R46" s="27">
        <f>IF(R$4-$A46&lt;1970,0,INDEX(Fleet!$C$6:$T$66,MATCH(R$4-$A46,Fleet!$A$6:$A$66,0),MATCH(R$4,Fleet!$C$4:$T$4,0)))</f>
        <v/>
      </c>
      <c r="S46" s="27">
        <f>IF(S$4-$A46&lt;1970,0,INDEX(Fleet!$C$6:$T$66,MATCH(S$4-$A46,Fleet!$A$6:$A$66,0),MATCH(S$4,Fleet!$C$4:$T$4,0)))</f>
        <v/>
      </c>
      <c r="T46" s="27">
        <f>IF(T$4-$A46&lt;1970,0,INDEX(Fleet!$C$6:$T$66,MATCH(T$4-$A46,Fleet!$A$6:$A$66,0),MATCH(T$4,Fleet!$C$4:$T$4,0)))</f>
        <v/>
      </c>
    </row>
    <row r="47">
      <c r="A47" s="9" t="n">
        <v>41</v>
      </c>
      <c r="B47" s="29">
        <f>A47+0.5</f>
        <v/>
      </c>
      <c r="C47" s="27">
        <f>IF(C$4-$A47&lt;1970,0,INDEX(Fleet!$C$6:$T$66,MATCH(C$4-$A47,Fleet!$A$6:$A$66,0),MATCH(C$4,Fleet!$C$4:$T$4,0)))</f>
        <v/>
      </c>
      <c r="D47" s="27">
        <f>IF(D$4-$A47&lt;1970,0,INDEX(Fleet!$C$6:$T$66,MATCH(D$4-$A47,Fleet!$A$6:$A$66,0),MATCH(D$4,Fleet!$C$4:$T$4,0)))</f>
        <v/>
      </c>
      <c r="E47" s="27">
        <f>IF(E$4-$A47&lt;1970,0,INDEX(Fleet!$C$6:$T$66,MATCH(E$4-$A47,Fleet!$A$6:$A$66,0),MATCH(E$4,Fleet!$C$4:$T$4,0)))</f>
        <v/>
      </c>
      <c r="F47" s="27">
        <f>IF(F$4-$A47&lt;1970,0,INDEX(Fleet!$C$6:$T$66,MATCH(F$4-$A47,Fleet!$A$6:$A$66,0),MATCH(F$4,Fleet!$C$4:$T$4,0)))</f>
        <v/>
      </c>
      <c r="G47" s="27">
        <f>IF(G$4-$A47&lt;1970,0,INDEX(Fleet!$C$6:$T$66,MATCH(G$4-$A47,Fleet!$A$6:$A$66,0),MATCH(G$4,Fleet!$C$4:$T$4,0)))</f>
        <v/>
      </c>
      <c r="H47" s="27">
        <f>IF(H$4-$A47&lt;1970,0,INDEX(Fleet!$C$6:$T$66,MATCH(H$4-$A47,Fleet!$A$6:$A$66,0),MATCH(H$4,Fleet!$C$4:$T$4,0)))</f>
        <v/>
      </c>
      <c r="I47" s="27">
        <f>IF(I$4-$A47&lt;1970,0,INDEX(Fleet!$C$6:$T$66,MATCH(I$4-$A47,Fleet!$A$6:$A$66,0),MATCH(I$4,Fleet!$C$4:$T$4,0)))</f>
        <v/>
      </c>
      <c r="J47" s="27">
        <f>IF(J$4-$A47&lt;1970,0,INDEX(Fleet!$C$6:$T$66,MATCH(J$4-$A47,Fleet!$A$6:$A$66,0),MATCH(J$4,Fleet!$C$4:$T$4,0)))</f>
        <v/>
      </c>
      <c r="K47" s="27">
        <f>IF(K$4-$A47&lt;1970,0,INDEX(Fleet!$C$6:$T$66,MATCH(K$4-$A47,Fleet!$A$6:$A$66,0),MATCH(K$4,Fleet!$C$4:$T$4,0)))</f>
        <v/>
      </c>
      <c r="L47" s="27">
        <f>IF(L$4-$A47&lt;1970,0,INDEX(Fleet!$C$6:$T$66,MATCH(L$4-$A47,Fleet!$A$6:$A$66,0),MATCH(L$4,Fleet!$C$4:$T$4,0)))</f>
        <v/>
      </c>
      <c r="M47" s="27">
        <f>IF(M$4-$A47&lt;1970,0,INDEX(Fleet!$C$6:$T$66,MATCH(M$4-$A47,Fleet!$A$6:$A$66,0),MATCH(M$4,Fleet!$C$4:$T$4,0)))</f>
        <v/>
      </c>
      <c r="N47" s="27">
        <f>IF(N$4-$A47&lt;1970,0,INDEX(Fleet!$C$6:$T$66,MATCH(N$4-$A47,Fleet!$A$6:$A$66,0),MATCH(N$4,Fleet!$C$4:$T$4,0)))</f>
        <v/>
      </c>
      <c r="O47" s="27">
        <f>IF(O$4-$A47&lt;1970,0,INDEX(Fleet!$C$6:$T$66,MATCH(O$4-$A47,Fleet!$A$6:$A$66,0),MATCH(O$4,Fleet!$C$4:$T$4,0)))</f>
        <v/>
      </c>
      <c r="P47" s="27">
        <f>IF(P$4-$A47&lt;1970,0,INDEX(Fleet!$C$6:$T$66,MATCH(P$4-$A47,Fleet!$A$6:$A$66,0),MATCH(P$4,Fleet!$C$4:$T$4,0)))</f>
        <v/>
      </c>
      <c r="Q47" s="27">
        <f>IF(Q$4-$A47&lt;1970,0,INDEX(Fleet!$C$6:$T$66,MATCH(Q$4-$A47,Fleet!$A$6:$A$66,0),MATCH(Q$4,Fleet!$C$4:$T$4,0)))</f>
        <v/>
      </c>
      <c r="R47" s="27">
        <f>IF(R$4-$A47&lt;1970,0,INDEX(Fleet!$C$6:$T$66,MATCH(R$4-$A47,Fleet!$A$6:$A$66,0),MATCH(R$4,Fleet!$C$4:$T$4,0)))</f>
        <v/>
      </c>
      <c r="S47" s="27">
        <f>IF(S$4-$A47&lt;1970,0,INDEX(Fleet!$C$6:$T$66,MATCH(S$4-$A47,Fleet!$A$6:$A$66,0),MATCH(S$4,Fleet!$C$4:$T$4,0)))</f>
        <v/>
      </c>
      <c r="T47" s="27">
        <f>IF(T$4-$A47&lt;1970,0,INDEX(Fleet!$C$6:$T$66,MATCH(T$4-$A47,Fleet!$A$6:$A$66,0),MATCH(T$4,Fleet!$C$4:$T$4,0)))</f>
        <v/>
      </c>
    </row>
    <row r="48">
      <c r="A48" s="9" t="n">
        <v>42</v>
      </c>
      <c r="B48" s="29">
        <f>A48+0.5</f>
        <v/>
      </c>
      <c r="C48" s="27">
        <f>IF(C$4-$A48&lt;1970,0,INDEX(Fleet!$C$6:$T$66,MATCH(C$4-$A48,Fleet!$A$6:$A$66,0),MATCH(C$4,Fleet!$C$4:$T$4,0)))</f>
        <v/>
      </c>
      <c r="D48" s="27">
        <f>IF(D$4-$A48&lt;1970,0,INDEX(Fleet!$C$6:$T$66,MATCH(D$4-$A48,Fleet!$A$6:$A$66,0),MATCH(D$4,Fleet!$C$4:$T$4,0)))</f>
        <v/>
      </c>
      <c r="E48" s="27">
        <f>IF(E$4-$A48&lt;1970,0,INDEX(Fleet!$C$6:$T$66,MATCH(E$4-$A48,Fleet!$A$6:$A$66,0),MATCH(E$4,Fleet!$C$4:$T$4,0)))</f>
        <v/>
      </c>
      <c r="F48" s="27">
        <f>IF(F$4-$A48&lt;1970,0,INDEX(Fleet!$C$6:$T$66,MATCH(F$4-$A48,Fleet!$A$6:$A$66,0),MATCH(F$4,Fleet!$C$4:$T$4,0)))</f>
        <v/>
      </c>
      <c r="G48" s="27">
        <f>IF(G$4-$A48&lt;1970,0,INDEX(Fleet!$C$6:$T$66,MATCH(G$4-$A48,Fleet!$A$6:$A$66,0),MATCH(G$4,Fleet!$C$4:$T$4,0)))</f>
        <v/>
      </c>
      <c r="H48" s="27">
        <f>IF(H$4-$A48&lt;1970,0,INDEX(Fleet!$C$6:$T$66,MATCH(H$4-$A48,Fleet!$A$6:$A$66,0),MATCH(H$4,Fleet!$C$4:$T$4,0)))</f>
        <v/>
      </c>
      <c r="I48" s="27">
        <f>IF(I$4-$A48&lt;1970,0,INDEX(Fleet!$C$6:$T$66,MATCH(I$4-$A48,Fleet!$A$6:$A$66,0),MATCH(I$4,Fleet!$C$4:$T$4,0)))</f>
        <v/>
      </c>
      <c r="J48" s="27">
        <f>IF(J$4-$A48&lt;1970,0,INDEX(Fleet!$C$6:$T$66,MATCH(J$4-$A48,Fleet!$A$6:$A$66,0),MATCH(J$4,Fleet!$C$4:$T$4,0)))</f>
        <v/>
      </c>
      <c r="K48" s="27">
        <f>IF(K$4-$A48&lt;1970,0,INDEX(Fleet!$C$6:$T$66,MATCH(K$4-$A48,Fleet!$A$6:$A$66,0),MATCH(K$4,Fleet!$C$4:$T$4,0)))</f>
        <v/>
      </c>
      <c r="L48" s="27">
        <f>IF(L$4-$A48&lt;1970,0,INDEX(Fleet!$C$6:$T$66,MATCH(L$4-$A48,Fleet!$A$6:$A$66,0),MATCH(L$4,Fleet!$C$4:$T$4,0)))</f>
        <v/>
      </c>
      <c r="M48" s="27">
        <f>IF(M$4-$A48&lt;1970,0,INDEX(Fleet!$C$6:$T$66,MATCH(M$4-$A48,Fleet!$A$6:$A$66,0),MATCH(M$4,Fleet!$C$4:$T$4,0)))</f>
        <v/>
      </c>
      <c r="N48" s="27">
        <f>IF(N$4-$A48&lt;1970,0,INDEX(Fleet!$C$6:$T$66,MATCH(N$4-$A48,Fleet!$A$6:$A$66,0),MATCH(N$4,Fleet!$C$4:$T$4,0)))</f>
        <v/>
      </c>
      <c r="O48" s="27">
        <f>IF(O$4-$A48&lt;1970,0,INDEX(Fleet!$C$6:$T$66,MATCH(O$4-$A48,Fleet!$A$6:$A$66,0),MATCH(O$4,Fleet!$C$4:$T$4,0)))</f>
        <v/>
      </c>
      <c r="P48" s="27">
        <f>IF(P$4-$A48&lt;1970,0,INDEX(Fleet!$C$6:$T$66,MATCH(P$4-$A48,Fleet!$A$6:$A$66,0),MATCH(P$4,Fleet!$C$4:$T$4,0)))</f>
        <v/>
      </c>
      <c r="Q48" s="27">
        <f>IF(Q$4-$A48&lt;1970,0,INDEX(Fleet!$C$6:$T$66,MATCH(Q$4-$A48,Fleet!$A$6:$A$66,0),MATCH(Q$4,Fleet!$C$4:$T$4,0)))</f>
        <v/>
      </c>
      <c r="R48" s="27">
        <f>IF(R$4-$A48&lt;1970,0,INDEX(Fleet!$C$6:$T$66,MATCH(R$4-$A48,Fleet!$A$6:$A$66,0),MATCH(R$4,Fleet!$C$4:$T$4,0)))</f>
        <v/>
      </c>
      <c r="S48" s="27">
        <f>IF(S$4-$A48&lt;1970,0,INDEX(Fleet!$C$6:$T$66,MATCH(S$4-$A48,Fleet!$A$6:$A$66,0),MATCH(S$4,Fleet!$C$4:$T$4,0)))</f>
        <v/>
      </c>
      <c r="T48" s="27">
        <f>IF(T$4-$A48&lt;1970,0,INDEX(Fleet!$C$6:$T$66,MATCH(T$4-$A48,Fleet!$A$6:$A$66,0),MATCH(T$4,Fleet!$C$4:$T$4,0)))</f>
        <v/>
      </c>
    </row>
    <row r="49">
      <c r="A49" s="9" t="n">
        <v>43</v>
      </c>
      <c r="B49" s="29">
        <f>A49+0.5</f>
        <v/>
      </c>
      <c r="C49" s="27">
        <f>IF(C$4-$A49&lt;1970,0,INDEX(Fleet!$C$6:$T$66,MATCH(C$4-$A49,Fleet!$A$6:$A$66,0),MATCH(C$4,Fleet!$C$4:$T$4,0)))</f>
        <v/>
      </c>
      <c r="D49" s="27">
        <f>IF(D$4-$A49&lt;1970,0,INDEX(Fleet!$C$6:$T$66,MATCH(D$4-$A49,Fleet!$A$6:$A$66,0),MATCH(D$4,Fleet!$C$4:$T$4,0)))</f>
        <v/>
      </c>
      <c r="E49" s="27">
        <f>IF(E$4-$A49&lt;1970,0,INDEX(Fleet!$C$6:$T$66,MATCH(E$4-$A49,Fleet!$A$6:$A$66,0),MATCH(E$4,Fleet!$C$4:$T$4,0)))</f>
        <v/>
      </c>
      <c r="F49" s="27">
        <f>IF(F$4-$A49&lt;1970,0,INDEX(Fleet!$C$6:$T$66,MATCH(F$4-$A49,Fleet!$A$6:$A$66,0),MATCH(F$4,Fleet!$C$4:$T$4,0)))</f>
        <v/>
      </c>
      <c r="G49" s="27">
        <f>IF(G$4-$A49&lt;1970,0,INDEX(Fleet!$C$6:$T$66,MATCH(G$4-$A49,Fleet!$A$6:$A$66,0),MATCH(G$4,Fleet!$C$4:$T$4,0)))</f>
        <v/>
      </c>
      <c r="H49" s="27">
        <f>IF(H$4-$A49&lt;1970,0,INDEX(Fleet!$C$6:$T$66,MATCH(H$4-$A49,Fleet!$A$6:$A$66,0),MATCH(H$4,Fleet!$C$4:$T$4,0)))</f>
        <v/>
      </c>
      <c r="I49" s="27">
        <f>IF(I$4-$A49&lt;1970,0,INDEX(Fleet!$C$6:$T$66,MATCH(I$4-$A49,Fleet!$A$6:$A$66,0),MATCH(I$4,Fleet!$C$4:$T$4,0)))</f>
        <v/>
      </c>
      <c r="J49" s="27">
        <f>IF(J$4-$A49&lt;1970,0,INDEX(Fleet!$C$6:$T$66,MATCH(J$4-$A49,Fleet!$A$6:$A$66,0),MATCH(J$4,Fleet!$C$4:$T$4,0)))</f>
        <v/>
      </c>
      <c r="K49" s="27">
        <f>IF(K$4-$A49&lt;1970,0,INDEX(Fleet!$C$6:$T$66,MATCH(K$4-$A49,Fleet!$A$6:$A$66,0),MATCH(K$4,Fleet!$C$4:$T$4,0)))</f>
        <v/>
      </c>
      <c r="L49" s="27">
        <f>IF(L$4-$A49&lt;1970,0,INDEX(Fleet!$C$6:$T$66,MATCH(L$4-$A49,Fleet!$A$6:$A$66,0),MATCH(L$4,Fleet!$C$4:$T$4,0)))</f>
        <v/>
      </c>
      <c r="M49" s="27">
        <f>IF(M$4-$A49&lt;1970,0,INDEX(Fleet!$C$6:$T$66,MATCH(M$4-$A49,Fleet!$A$6:$A$66,0),MATCH(M$4,Fleet!$C$4:$T$4,0)))</f>
        <v/>
      </c>
      <c r="N49" s="27">
        <f>IF(N$4-$A49&lt;1970,0,INDEX(Fleet!$C$6:$T$66,MATCH(N$4-$A49,Fleet!$A$6:$A$66,0),MATCH(N$4,Fleet!$C$4:$T$4,0)))</f>
        <v/>
      </c>
      <c r="O49" s="27">
        <f>IF(O$4-$A49&lt;1970,0,INDEX(Fleet!$C$6:$T$66,MATCH(O$4-$A49,Fleet!$A$6:$A$66,0),MATCH(O$4,Fleet!$C$4:$T$4,0)))</f>
        <v/>
      </c>
      <c r="P49" s="27">
        <f>IF(P$4-$A49&lt;1970,0,INDEX(Fleet!$C$6:$T$66,MATCH(P$4-$A49,Fleet!$A$6:$A$66,0),MATCH(P$4,Fleet!$C$4:$T$4,0)))</f>
        <v/>
      </c>
      <c r="Q49" s="27">
        <f>IF(Q$4-$A49&lt;1970,0,INDEX(Fleet!$C$6:$T$66,MATCH(Q$4-$A49,Fleet!$A$6:$A$66,0),MATCH(Q$4,Fleet!$C$4:$T$4,0)))</f>
        <v/>
      </c>
      <c r="R49" s="27">
        <f>IF(R$4-$A49&lt;1970,0,INDEX(Fleet!$C$6:$T$66,MATCH(R$4-$A49,Fleet!$A$6:$A$66,0),MATCH(R$4,Fleet!$C$4:$T$4,0)))</f>
        <v/>
      </c>
      <c r="S49" s="27">
        <f>IF(S$4-$A49&lt;1970,0,INDEX(Fleet!$C$6:$T$66,MATCH(S$4-$A49,Fleet!$A$6:$A$66,0),MATCH(S$4,Fleet!$C$4:$T$4,0)))</f>
        <v/>
      </c>
      <c r="T49" s="27">
        <f>IF(T$4-$A49&lt;1970,0,INDEX(Fleet!$C$6:$T$66,MATCH(T$4-$A49,Fleet!$A$6:$A$66,0),MATCH(T$4,Fleet!$C$4:$T$4,0)))</f>
        <v/>
      </c>
    </row>
    <row r="50">
      <c r="A50" s="9" t="n">
        <v>44</v>
      </c>
      <c r="B50" s="29">
        <f>A50+0.5</f>
        <v/>
      </c>
      <c r="C50" s="27">
        <f>IF(C$4-$A50&lt;1970,0,INDEX(Fleet!$C$6:$T$66,MATCH(C$4-$A50,Fleet!$A$6:$A$66,0),MATCH(C$4,Fleet!$C$4:$T$4,0)))</f>
        <v/>
      </c>
      <c r="D50" s="27">
        <f>IF(D$4-$A50&lt;1970,0,INDEX(Fleet!$C$6:$T$66,MATCH(D$4-$A50,Fleet!$A$6:$A$66,0),MATCH(D$4,Fleet!$C$4:$T$4,0)))</f>
        <v/>
      </c>
      <c r="E50" s="27">
        <f>IF(E$4-$A50&lt;1970,0,INDEX(Fleet!$C$6:$T$66,MATCH(E$4-$A50,Fleet!$A$6:$A$66,0),MATCH(E$4,Fleet!$C$4:$T$4,0)))</f>
        <v/>
      </c>
      <c r="F50" s="27">
        <f>IF(F$4-$A50&lt;1970,0,INDEX(Fleet!$C$6:$T$66,MATCH(F$4-$A50,Fleet!$A$6:$A$66,0),MATCH(F$4,Fleet!$C$4:$T$4,0)))</f>
        <v/>
      </c>
      <c r="G50" s="27">
        <f>IF(G$4-$A50&lt;1970,0,INDEX(Fleet!$C$6:$T$66,MATCH(G$4-$A50,Fleet!$A$6:$A$66,0),MATCH(G$4,Fleet!$C$4:$T$4,0)))</f>
        <v/>
      </c>
      <c r="H50" s="27">
        <f>IF(H$4-$A50&lt;1970,0,INDEX(Fleet!$C$6:$T$66,MATCH(H$4-$A50,Fleet!$A$6:$A$66,0),MATCH(H$4,Fleet!$C$4:$T$4,0)))</f>
        <v/>
      </c>
      <c r="I50" s="27">
        <f>IF(I$4-$A50&lt;1970,0,INDEX(Fleet!$C$6:$T$66,MATCH(I$4-$A50,Fleet!$A$6:$A$66,0),MATCH(I$4,Fleet!$C$4:$T$4,0)))</f>
        <v/>
      </c>
      <c r="J50" s="27">
        <f>IF(J$4-$A50&lt;1970,0,INDEX(Fleet!$C$6:$T$66,MATCH(J$4-$A50,Fleet!$A$6:$A$66,0),MATCH(J$4,Fleet!$C$4:$T$4,0)))</f>
        <v/>
      </c>
      <c r="K50" s="27">
        <f>IF(K$4-$A50&lt;1970,0,INDEX(Fleet!$C$6:$T$66,MATCH(K$4-$A50,Fleet!$A$6:$A$66,0),MATCH(K$4,Fleet!$C$4:$T$4,0)))</f>
        <v/>
      </c>
      <c r="L50" s="27">
        <f>IF(L$4-$A50&lt;1970,0,INDEX(Fleet!$C$6:$T$66,MATCH(L$4-$A50,Fleet!$A$6:$A$66,0),MATCH(L$4,Fleet!$C$4:$T$4,0)))</f>
        <v/>
      </c>
      <c r="M50" s="27">
        <f>IF(M$4-$A50&lt;1970,0,INDEX(Fleet!$C$6:$T$66,MATCH(M$4-$A50,Fleet!$A$6:$A$66,0),MATCH(M$4,Fleet!$C$4:$T$4,0)))</f>
        <v/>
      </c>
      <c r="N50" s="27">
        <f>IF(N$4-$A50&lt;1970,0,INDEX(Fleet!$C$6:$T$66,MATCH(N$4-$A50,Fleet!$A$6:$A$66,0),MATCH(N$4,Fleet!$C$4:$T$4,0)))</f>
        <v/>
      </c>
      <c r="O50" s="27">
        <f>IF(O$4-$A50&lt;1970,0,INDEX(Fleet!$C$6:$T$66,MATCH(O$4-$A50,Fleet!$A$6:$A$66,0),MATCH(O$4,Fleet!$C$4:$T$4,0)))</f>
        <v/>
      </c>
      <c r="P50" s="27">
        <f>IF(P$4-$A50&lt;1970,0,INDEX(Fleet!$C$6:$T$66,MATCH(P$4-$A50,Fleet!$A$6:$A$66,0),MATCH(P$4,Fleet!$C$4:$T$4,0)))</f>
        <v/>
      </c>
      <c r="Q50" s="27">
        <f>IF(Q$4-$A50&lt;1970,0,INDEX(Fleet!$C$6:$T$66,MATCH(Q$4-$A50,Fleet!$A$6:$A$66,0),MATCH(Q$4,Fleet!$C$4:$T$4,0)))</f>
        <v/>
      </c>
      <c r="R50" s="27">
        <f>IF(R$4-$A50&lt;1970,0,INDEX(Fleet!$C$6:$T$66,MATCH(R$4-$A50,Fleet!$A$6:$A$66,0),MATCH(R$4,Fleet!$C$4:$T$4,0)))</f>
        <v/>
      </c>
      <c r="S50" s="27">
        <f>IF(S$4-$A50&lt;1970,0,INDEX(Fleet!$C$6:$T$66,MATCH(S$4-$A50,Fleet!$A$6:$A$66,0),MATCH(S$4,Fleet!$C$4:$T$4,0)))</f>
        <v/>
      </c>
      <c r="T50" s="27">
        <f>IF(T$4-$A50&lt;1970,0,INDEX(Fleet!$C$6:$T$66,MATCH(T$4-$A50,Fleet!$A$6:$A$66,0),MATCH(T$4,Fleet!$C$4:$T$4,0)))</f>
        <v/>
      </c>
    </row>
    <row r="51">
      <c r="A51" s="9" t="n">
        <v>45</v>
      </c>
      <c r="B51" s="29">
        <f>A51+0.5</f>
        <v/>
      </c>
      <c r="C51" s="27">
        <f>IF(C$4-$A51&lt;1970,0,INDEX(Fleet!$C$6:$T$66,MATCH(C$4-$A51,Fleet!$A$6:$A$66,0),MATCH(C$4,Fleet!$C$4:$T$4,0)))</f>
        <v/>
      </c>
      <c r="D51" s="27">
        <f>IF(D$4-$A51&lt;1970,0,INDEX(Fleet!$C$6:$T$66,MATCH(D$4-$A51,Fleet!$A$6:$A$66,0),MATCH(D$4,Fleet!$C$4:$T$4,0)))</f>
        <v/>
      </c>
      <c r="E51" s="27">
        <f>IF(E$4-$A51&lt;1970,0,INDEX(Fleet!$C$6:$T$66,MATCH(E$4-$A51,Fleet!$A$6:$A$66,0),MATCH(E$4,Fleet!$C$4:$T$4,0)))</f>
        <v/>
      </c>
      <c r="F51" s="27">
        <f>IF(F$4-$A51&lt;1970,0,INDEX(Fleet!$C$6:$T$66,MATCH(F$4-$A51,Fleet!$A$6:$A$66,0),MATCH(F$4,Fleet!$C$4:$T$4,0)))</f>
        <v/>
      </c>
      <c r="G51" s="27">
        <f>IF(G$4-$A51&lt;1970,0,INDEX(Fleet!$C$6:$T$66,MATCH(G$4-$A51,Fleet!$A$6:$A$66,0),MATCH(G$4,Fleet!$C$4:$T$4,0)))</f>
        <v/>
      </c>
      <c r="H51" s="27">
        <f>IF(H$4-$A51&lt;1970,0,INDEX(Fleet!$C$6:$T$66,MATCH(H$4-$A51,Fleet!$A$6:$A$66,0),MATCH(H$4,Fleet!$C$4:$T$4,0)))</f>
        <v/>
      </c>
      <c r="I51" s="27">
        <f>IF(I$4-$A51&lt;1970,0,INDEX(Fleet!$C$6:$T$66,MATCH(I$4-$A51,Fleet!$A$6:$A$66,0),MATCH(I$4,Fleet!$C$4:$T$4,0)))</f>
        <v/>
      </c>
      <c r="J51" s="27">
        <f>IF(J$4-$A51&lt;1970,0,INDEX(Fleet!$C$6:$T$66,MATCH(J$4-$A51,Fleet!$A$6:$A$66,0),MATCH(J$4,Fleet!$C$4:$T$4,0)))</f>
        <v/>
      </c>
      <c r="K51" s="27">
        <f>IF(K$4-$A51&lt;1970,0,INDEX(Fleet!$C$6:$T$66,MATCH(K$4-$A51,Fleet!$A$6:$A$66,0),MATCH(K$4,Fleet!$C$4:$T$4,0)))</f>
        <v/>
      </c>
      <c r="L51" s="27">
        <f>IF(L$4-$A51&lt;1970,0,INDEX(Fleet!$C$6:$T$66,MATCH(L$4-$A51,Fleet!$A$6:$A$66,0),MATCH(L$4,Fleet!$C$4:$T$4,0)))</f>
        <v/>
      </c>
      <c r="M51" s="27">
        <f>IF(M$4-$A51&lt;1970,0,INDEX(Fleet!$C$6:$T$66,MATCH(M$4-$A51,Fleet!$A$6:$A$66,0),MATCH(M$4,Fleet!$C$4:$T$4,0)))</f>
        <v/>
      </c>
      <c r="N51" s="27">
        <f>IF(N$4-$A51&lt;1970,0,INDEX(Fleet!$C$6:$T$66,MATCH(N$4-$A51,Fleet!$A$6:$A$66,0),MATCH(N$4,Fleet!$C$4:$T$4,0)))</f>
        <v/>
      </c>
      <c r="O51" s="27">
        <f>IF(O$4-$A51&lt;1970,0,INDEX(Fleet!$C$6:$T$66,MATCH(O$4-$A51,Fleet!$A$6:$A$66,0),MATCH(O$4,Fleet!$C$4:$T$4,0)))</f>
        <v/>
      </c>
      <c r="P51" s="27">
        <f>IF(P$4-$A51&lt;1970,0,INDEX(Fleet!$C$6:$T$66,MATCH(P$4-$A51,Fleet!$A$6:$A$66,0),MATCH(P$4,Fleet!$C$4:$T$4,0)))</f>
        <v/>
      </c>
      <c r="Q51" s="27">
        <f>IF(Q$4-$A51&lt;1970,0,INDEX(Fleet!$C$6:$T$66,MATCH(Q$4-$A51,Fleet!$A$6:$A$66,0),MATCH(Q$4,Fleet!$C$4:$T$4,0)))</f>
        <v/>
      </c>
      <c r="R51" s="27">
        <f>IF(R$4-$A51&lt;1970,0,INDEX(Fleet!$C$6:$T$66,MATCH(R$4-$A51,Fleet!$A$6:$A$66,0),MATCH(R$4,Fleet!$C$4:$T$4,0)))</f>
        <v/>
      </c>
      <c r="S51" s="27">
        <f>IF(S$4-$A51&lt;1970,0,INDEX(Fleet!$C$6:$T$66,MATCH(S$4-$A51,Fleet!$A$6:$A$66,0),MATCH(S$4,Fleet!$C$4:$T$4,0)))</f>
        <v/>
      </c>
      <c r="T51" s="27">
        <f>IF(T$4-$A51&lt;1970,0,INDEX(Fleet!$C$6:$T$66,MATCH(T$4-$A51,Fleet!$A$6:$A$66,0),MATCH(T$4,Fleet!$C$4:$T$4,0)))</f>
        <v/>
      </c>
    </row>
    <row r="53">
      <c r="A53" s="3" t="inlineStr">
        <is>
          <t>VIO (M)</t>
        </is>
      </c>
      <c r="C53" s="30">
        <f>SUM(C6:C51)/1000</f>
        <v/>
      </c>
      <c r="D53" s="30">
        <f>SUM(D6:D51)/1000</f>
        <v/>
      </c>
      <c r="E53" s="30">
        <f>SUM(E6:E51)/1000</f>
        <v/>
      </c>
      <c r="F53" s="30">
        <f>SUM(F6:F51)/1000</f>
        <v/>
      </c>
      <c r="G53" s="30">
        <f>SUM(G6:G51)/1000</f>
        <v/>
      </c>
      <c r="H53" s="30">
        <f>SUM(H6:H51)/1000</f>
        <v/>
      </c>
      <c r="I53" s="30">
        <f>SUM(I6:I51)/1000</f>
        <v/>
      </c>
      <c r="J53" s="30">
        <f>SUM(J6:J51)/1000</f>
        <v/>
      </c>
      <c r="K53" s="30">
        <f>SUM(K6:K51)/1000</f>
        <v/>
      </c>
      <c r="L53" s="30">
        <f>SUM(L6:L51)/1000</f>
        <v/>
      </c>
      <c r="M53" s="30">
        <f>SUM(M6:M51)/1000</f>
        <v/>
      </c>
      <c r="N53" s="30">
        <f>SUM(N6:N51)/1000</f>
        <v/>
      </c>
      <c r="O53" s="30">
        <f>SUM(O6:O51)/1000</f>
        <v/>
      </c>
      <c r="P53" s="30">
        <f>SUM(P6:P51)/1000</f>
        <v/>
      </c>
      <c r="Q53" s="30">
        <f>SUM(Q6:Q51)/1000</f>
        <v/>
      </c>
      <c r="R53" s="30">
        <f>SUM(R6:R51)/1000</f>
        <v/>
      </c>
      <c r="S53" s="30">
        <f>SUM(S6:S51)/1000</f>
        <v/>
      </c>
      <c r="T53" s="30">
        <f>SUM(T6:T51)/1000</f>
        <v/>
      </c>
    </row>
    <row r="54">
      <c r="A54" s="3" t="inlineStr">
        <is>
          <t>Share aged 7+</t>
        </is>
      </c>
      <c r="C54" s="31">
        <f>SUMIF($A$6:$A$51,"&gt;=7",C6:C51)/SUM(C6:C51)</f>
        <v/>
      </c>
      <c r="D54" s="31">
        <f>SUMIF($A$6:$A$51,"&gt;=7",D6:D51)/SUM(D6:D51)</f>
        <v/>
      </c>
      <c r="E54" s="31">
        <f>SUMIF($A$6:$A$51,"&gt;=7",E6:E51)/SUM(E6:E51)</f>
        <v/>
      </c>
      <c r="F54" s="31">
        <f>SUMIF($A$6:$A$51,"&gt;=7",F6:F51)/SUM(F6:F51)</f>
        <v/>
      </c>
      <c r="G54" s="31">
        <f>SUMIF($A$6:$A$51,"&gt;=7",G6:G51)/SUM(G6:G51)</f>
        <v/>
      </c>
      <c r="H54" s="31">
        <f>SUMIF($A$6:$A$51,"&gt;=7",H6:H51)/SUM(H6:H51)</f>
        <v/>
      </c>
      <c r="I54" s="31">
        <f>SUMIF($A$6:$A$51,"&gt;=7",I6:I51)/SUM(I6:I51)</f>
        <v/>
      </c>
      <c r="J54" s="31">
        <f>SUMIF($A$6:$A$51,"&gt;=7",J6:J51)/SUM(J6:J51)</f>
        <v/>
      </c>
      <c r="K54" s="31">
        <f>SUMIF($A$6:$A$51,"&gt;=7",K6:K51)/SUM(K6:K51)</f>
        <v/>
      </c>
      <c r="L54" s="31">
        <f>SUMIF($A$6:$A$51,"&gt;=7",L6:L51)/SUM(L6:L51)</f>
        <v/>
      </c>
      <c r="M54" s="31">
        <f>SUMIF($A$6:$A$51,"&gt;=7",M6:M51)/SUM(M6:M51)</f>
        <v/>
      </c>
      <c r="N54" s="31">
        <f>SUMIF($A$6:$A$51,"&gt;=7",N6:N51)/SUM(N6:N51)</f>
        <v/>
      </c>
      <c r="O54" s="31">
        <f>SUMIF($A$6:$A$51,"&gt;=7",O6:O51)/SUM(O6:O51)</f>
        <v/>
      </c>
      <c r="P54" s="31">
        <f>SUMIF($A$6:$A$51,"&gt;=7",P6:P51)/SUM(P6:P51)</f>
        <v/>
      </c>
      <c r="Q54" s="31">
        <f>SUMIF($A$6:$A$51,"&gt;=7",Q6:Q51)/SUM(Q6:Q51)</f>
        <v/>
      </c>
      <c r="R54" s="31">
        <f>SUMIF($A$6:$A$51,"&gt;=7",R6:R51)/SUM(R6:R51)</f>
        <v/>
      </c>
      <c r="S54" s="31">
        <f>SUMIF($A$6:$A$51,"&gt;=7",S6:S51)/SUM(S6:S51)</f>
        <v/>
      </c>
      <c r="T54" s="31">
        <f>SUMIF($A$6:$A$51,"&gt;=7",T6:T51)/SUM(T6:T51)</f>
        <v/>
      </c>
    </row>
    <row r="55">
      <c r="A55" s="3" t="inlineStr">
        <is>
          <t>Share aged 15+</t>
        </is>
      </c>
      <c r="C55" s="31">
        <f>SUMIF($A$6:$A$51,"&gt;=15",C6:C51)/SUM(C6:C51)</f>
        <v/>
      </c>
      <c r="D55" s="31">
        <f>SUMIF($A$6:$A$51,"&gt;=15",D6:D51)/SUM(D6:D51)</f>
        <v/>
      </c>
      <c r="E55" s="31">
        <f>SUMIF($A$6:$A$51,"&gt;=15",E6:E51)/SUM(E6:E51)</f>
        <v/>
      </c>
      <c r="F55" s="31">
        <f>SUMIF($A$6:$A$51,"&gt;=15",F6:F51)/SUM(F6:F51)</f>
        <v/>
      </c>
      <c r="G55" s="31">
        <f>SUMIF($A$6:$A$51,"&gt;=15",G6:G51)/SUM(G6:G51)</f>
        <v/>
      </c>
      <c r="H55" s="31">
        <f>SUMIF($A$6:$A$51,"&gt;=15",H6:H51)/SUM(H6:H51)</f>
        <v/>
      </c>
      <c r="I55" s="31">
        <f>SUMIF($A$6:$A$51,"&gt;=15",I6:I51)/SUM(I6:I51)</f>
        <v/>
      </c>
      <c r="J55" s="31">
        <f>SUMIF($A$6:$A$51,"&gt;=15",J6:J51)/SUM(J6:J51)</f>
        <v/>
      </c>
      <c r="K55" s="31">
        <f>SUMIF($A$6:$A$51,"&gt;=15",K6:K51)/SUM(K6:K51)</f>
        <v/>
      </c>
      <c r="L55" s="31">
        <f>SUMIF($A$6:$A$51,"&gt;=15",L6:L51)/SUM(L6:L51)</f>
        <v/>
      </c>
      <c r="M55" s="31">
        <f>SUMIF($A$6:$A$51,"&gt;=15",M6:M51)/SUM(M6:M51)</f>
        <v/>
      </c>
      <c r="N55" s="31">
        <f>SUMIF($A$6:$A$51,"&gt;=15",N6:N51)/SUM(N6:N51)</f>
        <v/>
      </c>
      <c r="O55" s="31">
        <f>SUMIF($A$6:$A$51,"&gt;=15",O6:O51)/SUM(O6:O51)</f>
        <v/>
      </c>
      <c r="P55" s="31">
        <f>SUMIF($A$6:$A$51,"&gt;=15",P6:P51)/SUM(P6:P51)</f>
        <v/>
      </c>
      <c r="Q55" s="31">
        <f>SUMIF($A$6:$A$51,"&gt;=15",Q6:Q51)/SUM(Q6:Q51)</f>
        <v/>
      </c>
      <c r="R55" s="31">
        <f>SUMIF($A$6:$A$51,"&gt;=15",R6:R51)/SUM(R6:R51)</f>
        <v/>
      </c>
      <c r="S55" s="31">
        <f>SUMIF($A$6:$A$51,"&gt;=15",S6:S51)/SUM(S6:S51)</f>
        <v/>
      </c>
      <c r="T55" s="31">
        <f>SUMIF($A$6:$A$51,"&gt;=15",T6:T51)/SUM(T6:T51)</f>
        <v/>
      </c>
    </row>
    <row r="56">
      <c r="A56" s="3" t="inlineStr">
        <is>
          <t>Count aged ≤6 (M)</t>
        </is>
      </c>
      <c r="C56" s="32">
        <f>SUMIF($A$6:$A$51,"&lt;=6",C6:C51)/1000</f>
        <v/>
      </c>
      <c r="D56" s="32">
        <f>SUMIF($A$6:$A$51,"&lt;=6",D6:D51)/1000</f>
        <v/>
      </c>
      <c r="E56" s="32">
        <f>SUMIF($A$6:$A$51,"&lt;=6",E6:E51)/1000</f>
        <v/>
      </c>
      <c r="F56" s="32">
        <f>SUMIF($A$6:$A$51,"&lt;=6",F6:F51)/1000</f>
        <v/>
      </c>
      <c r="G56" s="32">
        <f>SUMIF($A$6:$A$51,"&lt;=6",G6:G51)/1000</f>
        <v/>
      </c>
      <c r="H56" s="32">
        <f>SUMIF($A$6:$A$51,"&lt;=6",H6:H51)/1000</f>
        <v/>
      </c>
      <c r="I56" s="32">
        <f>SUMIF($A$6:$A$51,"&lt;=6",I6:I51)/1000</f>
        <v/>
      </c>
      <c r="J56" s="32">
        <f>SUMIF($A$6:$A$51,"&lt;=6",J6:J51)/1000</f>
        <v/>
      </c>
      <c r="K56" s="32">
        <f>SUMIF($A$6:$A$51,"&lt;=6",K6:K51)/1000</f>
        <v/>
      </c>
      <c r="L56" s="32">
        <f>SUMIF($A$6:$A$51,"&lt;=6",L6:L51)/1000</f>
        <v/>
      </c>
      <c r="M56" s="32">
        <f>SUMIF($A$6:$A$51,"&lt;=6",M6:M51)/1000</f>
        <v/>
      </c>
      <c r="N56" s="32">
        <f>SUMIF($A$6:$A$51,"&lt;=6",N6:N51)/1000</f>
        <v/>
      </c>
      <c r="O56" s="32">
        <f>SUMIF($A$6:$A$51,"&lt;=6",O6:O51)/1000</f>
        <v/>
      </c>
      <c r="P56" s="32">
        <f>SUMIF($A$6:$A$51,"&lt;=6",P6:P51)/1000</f>
        <v/>
      </c>
      <c r="Q56" s="32">
        <f>SUMIF($A$6:$A$51,"&lt;=6",Q6:Q51)/1000</f>
        <v/>
      </c>
      <c r="R56" s="32">
        <f>SUMIF($A$6:$A$51,"&lt;=6",R6:R51)/1000</f>
        <v/>
      </c>
      <c r="S56" s="32">
        <f>SUMIF($A$6:$A$51,"&lt;=6",S6:S51)/1000</f>
        <v/>
      </c>
      <c r="T56" s="32">
        <f>SUMIF($A$6:$A$51,"&lt;=6",T6:T51)/1000</f>
        <v/>
      </c>
    </row>
    <row r="57">
      <c r="A57" s="3" t="inlineStr">
        <is>
          <t>Average age (t−MY+0.5)</t>
        </is>
      </c>
      <c r="C57" s="29">
        <f>SUMPRODUCT($B$6:$B$51,C6:C51)/SUM(C6:C51)</f>
        <v/>
      </c>
      <c r="D57" s="29">
        <f>SUMPRODUCT($B$6:$B$51,D6:D51)/SUM(D6:D51)</f>
        <v/>
      </c>
      <c r="E57" s="29">
        <f>SUMPRODUCT($B$6:$B$51,E6:E51)/SUM(E6:E51)</f>
        <v/>
      </c>
      <c r="F57" s="29">
        <f>SUMPRODUCT($B$6:$B$51,F6:F51)/SUM(F6:F51)</f>
        <v/>
      </c>
      <c r="G57" s="29">
        <f>SUMPRODUCT($B$6:$B$51,G6:G51)/SUM(G6:G51)</f>
        <v/>
      </c>
      <c r="H57" s="29">
        <f>SUMPRODUCT($B$6:$B$51,H6:H51)/SUM(H6:H51)</f>
        <v/>
      </c>
      <c r="I57" s="29">
        <f>SUMPRODUCT($B$6:$B$51,I6:I51)/SUM(I6:I51)</f>
        <v/>
      </c>
      <c r="J57" s="29">
        <f>SUMPRODUCT($B$6:$B$51,J6:J51)/SUM(J6:J51)</f>
        <v/>
      </c>
      <c r="K57" s="29">
        <f>SUMPRODUCT($B$6:$B$51,K6:K51)/SUM(K6:K51)</f>
        <v/>
      </c>
      <c r="L57" s="29">
        <f>SUMPRODUCT($B$6:$B$51,L6:L51)/SUM(L6:L51)</f>
        <v/>
      </c>
      <c r="M57" s="29">
        <f>SUMPRODUCT($B$6:$B$51,M6:M51)/SUM(M6:M51)</f>
        <v/>
      </c>
      <c r="N57" s="29">
        <f>SUMPRODUCT($B$6:$B$51,N6:N51)/SUM(N6:N51)</f>
        <v/>
      </c>
      <c r="O57" s="29">
        <f>SUMPRODUCT($B$6:$B$51,O6:O51)/SUM(O6:O51)</f>
        <v/>
      </c>
      <c r="P57" s="29">
        <f>SUMPRODUCT($B$6:$B$51,P6:P51)/SUM(P6:P51)</f>
        <v/>
      </c>
      <c r="Q57" s="29">
        <f>SUMPRODUCT($B$6:$B$51,Q6:Q51)/SUM(Q6:Q51)</f>
        <v/>
      </c>
      <c r="R57" s="29">
        <f>SUMPRODUCT($B$6:$B$51,R6:R51)/SUM(R6:R51)</f>
        <v/>
      </c>
      <c r="S57" s="29">
        <f>SUMPRODUCT($B$6:$B$51,S6:S51)/SUM(S6:S51)</f>
        <v/>
      </c>
      <c r="T57" s="29">
        <f>SUMPRODUCT($B$6:$B$51,T6:T51)/SUM(T6:T51)</f>
        <v/>
      </c>
    </row>
    <row r="59" ht="30" customHeight="1">
      <c r="A59" s="6" t="inlineStr">
        <is>
          <t>Average age here is NOT comparable to S&amp;P's 12.8 (S&amp;P's figure needs a 15+ tail averaging ~27 yrs — registrations that are barely driven). Calibrate to counts, not to average age. docs/AGE_CURVES.md §2.3</t>
        </is>
      </c>
    </row>
  </sheetData>
  <mergeCells count="2">
    <mergeCell ref="A59:J59"/>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2" customWidth="1" min="4" max="4"/>
    <col width="12" customWidth="1" min="5" max="5"/>
    <col width="9" customWidth="1" min="6" max="6"/>
    <col width="9" customWidth="1" min="7" max="7"/>
    <col width="4" customWidth="1" min="8" max="8"/>
    <col width="12" customWidth="1" min="9" max="9"/>
    <col width="12" customWidth="1" min="10" max="10"/>
    <col width="14" customWidth="1" min="11" max="11"/>
  </cols>
  <sheetData>
    <row r="1">
      <c r="A1" s="1" t="inlineStr">
        <is>
          <t>Age curves — R(a) relative insured-claim frequency, P(a) total-loss propensity, miles by age</t>
        </is>
      </c>
    </row>
    <row r="2" ht="42" customHeight="1">
      <c r="A2" s="6" t="inlineStr">
        <is>
          <t>R and P read their parameters from Inputs (yellow cells). Flags feed the SUMPRODUCTs on TLF_Roll. Miles: EPA schedule (Data_EPA_Miles), age&gt;30 = age-30 value. Columns I–K: 2024 fleet split by body for the fleet-weighted miles ratio (docs/AGE_CURVES.md §3.4).</t>
        </is>
      </c>
    </row>
    <row r="4" ht="30" customHeight="1">
      <c r="A4" s="18" t="inlineStr">
        <is>
          <t>age</t>
        </is>
      </c>
      <c r="B4" s="18" t="inlineStr">
        <is>
          <t>R(a)</t>
        </is>
      </c>
      <c r="C4" s="18" t="inlineStr">
        <is>
          <t>P(a)</t>
        </is>
      </c>
      <c r="D4" s="18" t="inlineStr">
        <is>
          <t>miles/yr cars</t>
        </is>
      </c>
      <c r="E4" s="18" t="inlineStr">
        <is>
          <t>miles/yr light trucks</t>
        </is>
      </c>
      <c r="F4" s="18" t="inlineStr">
        <is>
          <t>flag age≥7</t>
        </is>
      </c>
      <c r="G4" s="18" t="inlineStr">
        <is>
          <t>flag age≤3</t>
        </is>
      </c>
      <c r="H4" s="18" t="inlineStr">
        <is>
          <t>(unused)</t>
        </is>
      </c>
      <c r="I4" s="18" t="inlineStr">
        <is>
          <t>cars fleet 2024 (thousands)</t>
        </is>
      </c>
      <c r="J4" s="18" t="inlineStr">
        <is>
          <t>LT fleet 2024 (thousands)</t>
        </is>
      </c>
      <c r="K4" s="18" t="inlineStr">
        <is>
          <t>miles/yr fleet-weighted 2024</t>
        </is>
      </c>
    </row>
    <row r="6">
      <c r="A6" s="9" t="n">
        <v>0</v>
      </c>
      <c r="B6" s="33">
        <f>IF($A6=0,Inputs!$B$9,1)*EXP(-Inputs!$B$11*MAX($A6-Inputs!$B$10,0))</f>
        <v/>
      </c>
      <c r="C6" s="33">
        <f>Inputs!$B$12+(Inputs!$B$13-Inputs!$B$12)/(1+EXP(-($A6-Inputs!$B$14)/Inputs!$B$15))</f>
        <v/>
      </c>
      <c r="D6" s="19">
        <f>INDEX(Data_EPA_Miles!$B$5:$B$35,MIN($A6,30)+1)</f>
        <v/>
      </c>
      <c r="E6" s="19">
        <f>INDEX(Data_EPA_Miles!$C$5:$C$35,MIN($A6,30)+1)</f>
        <v/>
      </c>
      <c r="F6" s="34">
        <f>IF($A6&gt;=7,1,0)</f>
        <v/>
      </c>
      <c r="G6" s="34">
        <f>IF($A6&lt;=3,1,0)</f>
        <v/>
      </c>
      <c r="I6" s="19">
        <f>IF(2024-$A6&lt;1970,0,INDEX(Data_Sales!$B$5:$B$65,MATCH(2024-$A6,Data_Sales!$A$5:$A$65,0))*INDEX(Survival!$C$6:$T$51,$A6+1,MATCH(2024,Survival!$C$3:$T$3,0)))</f>
        <v/>
      </c>
      <c r="J6" s="19">
        <f>IF(2024-$A6&lt;1970,0,INDEX(Data_Sales!$C$5:$C$65,MATCH(2024-$A6,Data_Sales!$A$5:$A$65,0))*INDEX(Survival!$C$55:$T$100,$A6+1,MATCH(2024,Survival!$C$3:$T$3,0)))</f>
        <v/>
      </c>
      <c r="K6" s="27">
        <f>IF(I6+J6=0,D6,(D6*I6+E6*J6)/(I6+J6))</f>
        <v/>
      </c>
    </row>
    <row r="7">
      <c r="A7" s="9" t="n">
        <v>1</v>
      </c>
      <c r="B7" s="33">
        <f>IF($A7=0,Inputs!$B$9,1)*EXP(-Inputs!$B$11*MAX($A7-Inputs!$B$10,0))</f>
        <v/>
      </c>
      <c r="C7" s="33">
        <f>Inputs!$B$12+(Inputs!$B$13-Inputs!$B$12)/(1+EXP(-($A7-Inputs!$B$14)/Inputs!$B$15))</f>
        <v/>
      </c>
      <c r="D7" s="19">
        <f>INDEX(Data_EPA_Miles!$B$5:$B$35,MIN($A7,30)+1)</f>
        <v/>
      </c>
      <c r="E7" s="19">
        <f>INDEX(Data_EPA_Miles!$C$5:$C$35,MIN($A7,30)+1)</f>
        <v/>
      </c>
      <c r="F7" s="34">
        <f>IF($A7&gt;=7,1,0)</f>
        <v/>
      </c>
      <c r="G7" s="34">
        <f>IF($A7&lt;=3,1,0)</f>
        <v/>
      </c>
      <c r="I7" s="19">
        <f>IF(2024-$A7&lt;1970,0,INDEX(Data_Sales!$B$5:$B$65,MATCH(2024-$A7,Data_Sales!$A$5:$A$65,0))*INDEX(Survival!$C$6:$T$51,$A7+1,MATCH(2024,Survival!$C$3:$T$3,0)))</f>
        <v/>
      </c>
      <c r="J7" s="19">
        <f>IF(2024-$A7&lt;1970,0,INDEX(Data_Sales!$C$5:$C$65,MATCH(2024-$A7,Data_Sales!$A$5:$A$65,0))*INDEX(Survival!$C$55:$T$100,$A7+1,MATCH(2024,Survival!$C$3:$T$3,0)))</f>
        <v/>
      </c>
      <c r="K7" s="27">
        <f>IF(I7+J7=0,D7,(D7*I7+E7*J7)/(I7+J7))</f>
        <v/>
      </c>
    </row>
    <row r="8">
      <c r="A8" s="9" t="n">
        <v>2</v>
      </c>
      <c r="B8" s="33">
        <f>IF($A8=0,Inputs!$B$9,1)*EXP(-Inputs!$B$11*MAX($A8-Inputs!$B$10,0))</f>
        <v/>
      </c>
      <c r="C8" s="33">
        <f>Inputs!$B$12+(Inputs!$B$13-Inputs!$B$12)/(1+EXP(-($A8-Inputs!$B$14)/Inputs!$B$15))</f>
        <v/>
      </c>
      <c r="D8" s="19">
        <f>INDEX(Data_EPA_Miles!$B$5:$B$35,MIN($A8,30)+1)</f>
        <v/>
      </c>
      <c r="E8" s="19">
        <f>INDEX(Data_EPA_Miles!$C$5:$C$35,MIN($A8,30)+1)</f>
        <v/>
      </c>
      <c r="F8" s="34">
        <f>IF($A8&gt;=7,1,0)</f>
        <v/>
      </c>
      <c r="G8" s="34">
        <f>IF($A8&lt;=3,1,0)</f>
        <v/>
      </c>
      <c r="I8" s="19">
        <f>IF(2024-$A8&lt;1970,0,INDEX(Data_Sales!$B$5:$B$65,MATCH(2024-$A8,Data_Sales!$A$5:$A$65,0))*INDEX(Survival!$C$6:$T$51,$A8+1,MATCH(2024,Survival!$C$3:$T$3,0)))</f>
        <v/>
      </c>
      <c r="J8" s="19">
        <f>IF(2024-$A8&lt;1970,0,INDEX(Data_Sales!$C$5:$C$65,MATCH(2024-$A8,Data_Sales!$A$5:$A$65,0))*INDEX(Survival!$C$55:$T$100,$A8+1,MATCH(2024,Survival!$C$3:$T$3,0)))</f>
        <v/>
      </c>
      <c r="K8" s="27">
        <f>IF(I8+J8=0,D8,(D8*I8+E8*J8)/(I8+J8))</f>
        <v/>
      </c>
    </row>
    <row r="9">
      <c r="A9" s="9" t="n">
        <v>3</v>
      </c>
      <c r="B9" s="33">
        <f>IF($A9=0,Inputs!$B$9,1)*EXP(-Inputs!$B$11*MAX($A9-Inputs!$B$10,0))</f>
        <v/>
      </c>
      <c r="C9" s="33">
        <f>Inputs!$B$12+(Inputs!$B$13-Inputs!$B$12)/(1+EXP(-($A9-Inputs!$B$14)/Inputs!$B$15))</f>
        <v/>
      </c>
      <c r="D9" s="19">
        <f>INDEX(Data_EPA_Miles!$B$5:$B$35,MIN($A9,30)+1)</f>
        <v/>
      </c>
      <c r="E9" s="19">
        <f>INDEX(Data_EPA_Miles!$C$5:$C$35,MIN($A9,30)+1)</f>
        <v/>
      </c>
      <c r="F9" s="34">
        <f>IF($A9&gt;=7,1,0)</f>
        <v/>
      </c>
      <c r="G9" s="34">
        <f>IF($A9&lt;=3,1,0)</f>
        <v/>
      </c>
      <c r="I9" s="19">
        <f>IF(2024-$A9&lt;1970,0,INDEX(Data_Sales!$B$5:$B$65,MATCH(2024-$A9,Data_Sales!$A$5:$A$65,0))*INDEX(Survival!$C$6:$T$51,$A9+1,MATCH(2024,Survival!$C$3:$T$3,0)))</f>
        <v/>
      </c>
      <c r="J9" s="19">
        <f>IF(2024-$A9&lt;1970,0,INDEX(Data_Sales!$C$5:$C$65,MATCH(2024-$A9,Data_Sales!$A$5:$A$65,0))*INDEX(Survival!$C$55:$T$100,$A9+1,MATCH(2024,Survival!$C$3:$T$3,0)))</f>
        <v/>
      </c>
      <c r="K9" s="27">
        <f>IF(I9+J9=0,D9,(D9*I9+E9*J9)/(I9+J9))</f>
        <v/>
      </c>
    </row>
    <row r="10">
      <c r="A10" s="9" t="n">
        <v>4</v>
      </c>
      <c r="B10" s="33">
        <f>IF($A10=0,Inputs!$B$9,1)*EXP(-Inputs!$B$11*MAX($A10-Inputs!$B$10,0))</f>
        <v/>
      </c>
      <c r="C10" s="33">
        <f>Inputs!$B$12+(Inputs!$B$13-Inputs!$B$12)/(1+EXP(-($A10-Inputs!$B$14)/Inputs!$B$15))</f>
        <v/>
      </c>
      <c r="D10" s="19">
        <f>INDEX(Data_EPA_Miles!$B$5:$B$35,MIN($A10,30)+1)</f>
        <v/>
      </c>
      <c r="E10" s="19">
        <f>INDEX(Data_EPA_Miles!$C$5:$C$35,MIN($A10,30)+1)</f>
        <v/>
      </c>
      <c r="F10" s="34">
        <f>IF($A10&gt;=7,1,0)</f>
        <v/>
      </c>
      <c r="G10" s="34">
        <f>IF($A10&lt;=3,1,0)</f>
        <v/>
      </c>
      <c r="I10" s="19">
        <f>IF(2024-$A10&lt;1970,0,INDEX(Data_Sales!$B$5:$B$65,MATCH(2024-$A10,Data_Sales!$A$5:$A$65,0))*INDEX(Survival!$C$6:$T$51,$A10+1,MATCH(2024,Survival!$C$3:$T$3,0)))</f>
        <v/>
      </c>
      <c r="J10" s="19">
        <f>IF(2024-$A10&lt;1970,0,INDEX(Data_Sales!$C$5:$C$65,MATCH(2024-$A10,Data_Sales!$A$5:$A$65,0))*INDEX(Survival!$C$55:$T$100,$A10+1,MATCH(2024,Survival!$C$3:$T$3,0)))</f>
        <v/>
      </c>
      <c r="K10" s="27">
        <f>IF(I10+J10=0,D10,(D10*I10+E10*J10)/(I10+J10))</f>
        <v/>
      </c>
    </row>
    <row r="11">
      <c r="A11" s="9" t="n">
        <v>5</v>
      </c>
      <c r="B11" s="33">
        <f>IF($A11=0,Inputs!$B$9,1)*EXP(-Inputs!$B$11*MAX($A11-Inputs!$B$10,0))</f>
        <v/>
      </c>
      <c r="C11" s="33">
        <f>Inputs!$B$12+(Inputs!$B$13-Inputs!$B$12)/(1+EXP(-($A11-Inputs!$B$14)/Inputs!$B$15))</f>
        <v/>
      </c>
      <c r="D11" s="19">
        <f>INDEX(Data_EPA_Miles!$B$5:$B$35,MIN($A11,30)+1)</f>
        <v/>
      </c>
      <c r="E11" s="19">
        <f>INDEX(Data_EPA_Miles!$C$5:$C$35,MIN($A11,30)+1)</f>
        <v/>
      </c>
      <c r="F11" s="34">
        <f>IF($A11&gt;=7,1,0)</f>
        <v/>
      </c>
      <c r="G11" s="34">
        <f>IF($A11&lt;=3,1,0)</f>
        <v/>
      </c>
      <c r="I11" s="19">
        <f>IF(2024-$A11&lt;1970,0,INDEX(Data_Sales!$B$5:$B$65,MATCH(2024-$A11,Data_Sales!$A$5:$A$65,0))*INDEX(Survival!$C$6:$T$51,$A11+1,MATCH(2024,Survival!$C$3:$T$3,0)))</f>
        <v/>
      </c>
      <c r="J11" s="19">
        <f>IF(2024-$A11&lt;1970,0,INDEX(Data_Sales!$C$5:$C$65,MATCH(2024-$A11,Data_Sales!$A$5:$A$65,0))*INDEX(Survival!$C$55:$T$100,$A11+1,MATCH(2024,Survival!$C$3:$T$3,0)))</f>
        <v/>
      </c>
      <c r="K11" s="27">
        <f>IF(I11+J11=0,D11,(D11*I11+E11*J11)/(I11+J11))</f>
        <v/>
      </c>
    </row>
    <row r="12">
      <c r="A12" s="9" t="n">
        <v>6</v>
      </c>
      <c r="B12" s="33">
        <f>IF($A12=0,Inputs!$B$9,1)*EXP(-Inputs!$B$11*MAX($A12-Inputs!$B$10,0))</f>
        <v/>
      </c>
      <c r="C12" s="33">
        <f>Inputs!$B$12+(Inputs!$B$13-Inputs!$B$12)/(1+EXP(-($A12-Inputs!$B$14)/Inputs!$B$15))</f>
        <v/>
      </c>
      <c r="D12" s="19">
        <f>INDEX(Data_EPA_Miles!$B$5:$B$35,MIN($A12,30)+1)</f>
        <v/>
      </c>
      <c r="E12" s="19">
        <f>INDEX(Data_EPA_Miles!$C$5:$C$35,MIN($A12,30)+1)</f>
        <v/>
      </c>
      <c r="F12" s="34">
        <f>IF($A12&gt;=7,1,0)</f>
        <v/>
      </c>
      <c r="G12" s="34">
        <f>IF($A12&lt;=3,1,0)</f>
        <v/>
      </c>
      <c r="I12" s="19">
        <f>IF(2024-$A12&lt;1970,0,INDEX(Data_Sales!$B$5:$B$65,MATCH(2024-$A12,Data_Sales!$A$5:$A$65,0))*INDEX(Survival!$C$6:$T$51,$A12+1,MATCH(2024,Survival!$C$3:$T$3,0)))</f>
        <v/>
      </c>
      <c r="J12" s="19">
        <f>IF(2024-$A12&lt;1970,0,INDEX(Data_Sales!$C$5:$C$65,MATCH(2024-$A12,Data_Sales!$A$5:$A$65,0))*INDEX(Survival!$C$55:$T$100,$A12+1,MATCH(2024,Survival!$C$3:$T$3,0)))</f>
        <v/>
      </c>
      <c r="K12" s="27">
        <f>IF(I12+J12=0,D12,(D12*I12+E12*J12)/(I12+J12))</f>
        <v/>
      </c>
    </row>
    <row r="13">
      <c r="A13" s="9" t="n">
        <v>7</v>
      </c>
      <c r="B13" s="33">
        <f>IF($A13=0,Inputs!$B$9,1)*EXP(-Inputs!$B$11*MAX($A13-Inputs!$B$10,0))</f>
        <v/>
      </c>
      <c r="C13" s="33">
        <f>Inputs!$B$12+(Inputs!$B$13-Inputs!$B$12)/(1+EXP(-($A13-Inputs!$B$14)/Inputs!$B$15))</f>
        <v/>
      </c>
      <c r="D13" s="19">
        <f>INDEX(Data_EPA_Miles!$B$5:$B$35,MIN($A13,30)+1)</f>
        <v/>
      </c>
      <c r="E13" s="19">
        <f>INDEX(Data_EPA_Miles!$C$5:$C$35,MIN($A13,30)+1)</f>
        <v/>
      </c>
      <c r="F13" s="34">
        <f>IF($A13&gt;=7,1,0)</f>
        <v/>
      </c>
      <c r="G13" s="34">
        <f>IF($A13&lt;=3,1,0)</f>
        <v/>
      </c>
      <c r="I13" s="19">
        <f>IF(2024-$A13&lt;1970,0,INDEX(Data_Sales!$B$5:$B$65,MATCH(2024-$A13,Data_Sales!$A$5:$A$65,0))*INDEX(Survival!$C$6:$T$51,$A13+1,MATCH(2024,Survival!$C$3:$T$3,0)))</f>
        <v/>
      </c>
      <c r="J13" s="19">
        <f>IF(2024-$A13&lt;1970,0,INDEX(Data_Sales!$C$5:$C$65,MATCH(2024-$A13,Data_Sales!$A$5:$A$65,0))*INDEX(Survival!$C$55:$T$100,$A13+1,MATCH(2024,Survival!$C$3:$T$3,0)))</f>
        <v/>
      </c>
      <c r="K13" s="27">
        <f>IF(I13+J13=0,D13,(D13*I13+E13*J13)/(I13+J13))</f>
        <v/>
      </c>
    </row>
    <row r="14">
      <c r="A14" s="9" t="n">
        <v>8</v>
      </c>
      <c r="B14" s="33">
        <f>IF($A14=0,Inputs!$B$9,1)*EXP(-Inputs!$B$11*MAX($A14-Inputs!$B$10,0))</f>
        <v/>
      </c>
      <c r="C14" s="33">
        <f>Inputs!$B$12+(Inputs!$B$13-Inputs!$B$12)/(1+EXP(-($A14-Inputs!$B$14)/Inputs!$B$15))</f>
        <v/>
      </c>
      <c r="D14" s="19">
        <f>INDEX(Data_EPA_Miles!$B$5:$B$35,MIN($A14,30)+1)</f>
        <v/>
      </c>
      <c r="E14" s="19">
        <f>INDEX(Data_EPA_Miles!$C$5:$C$35,MIN($A14,30)+1)</f>
        <v/>
      </c>
      <c r="F14" s="34">
        <f>IF($A14&gt;=7,1,0)</f>
        <v/>
      </c>
      <c r="G14" s="34">
        <f>IF($A14&lt;=3,1,0)</f>
        <v/>
      </c>
      <c r="I14" s="19">
        <f>IF(2024-$A14&lt;1970,0,INDEX(Data_Sales!$B$5:$B$65,MATCH(2024-$A14,Data_Sales!$A$5:$A$65,0))*INDEX(Survival!$C$6:$T$51,$A14+1,MATCH(2024,Survival!$C$3:$T$3,0)))</f>
        <v/>
      </c>
      <c r="J14" s="19">
        <f>IF(2024-$A14&lt;1970,0,INDEX(Data_Sales!$C$5:$C$65,MATCH(2024-$A14,Data_Sales!$A$5:$A$65,0))*INDEX(Survival!$C$55:$T$100,$A14+1,MATCH(2024,Survival!$C$3:$T$3,0)))</f>
        <v/>
      </c>
      <c r="K14" s="27">
        <f>IF(I14+J14=0,D14,(D14*I14+E14*J14)/(I14+J14))</f>
        <v/>
      </c>
    </row>
    <row r="15">
      <c r="A15" s="9" t="n">
        <v>9</v>
      </c>
      <c r="B15" s="33">
        <f>IF($A15=0,Inputs!$B$9,1)*EXP(-Inputs!$B$11*MAX($A15-Inputs!$B$10,0))</f>
        <v/>
      </c>
      <c r="C15" s="33">
        <f>Inputs!$B$12+(Inputs!$B$13-Inputs!$B$12)/(1+EXP(-($A15-Inputs!$B$14)/Inputs!$B$15))</f>
        <v/>
      </c>
      <c r="D15" s="19">
        <f>INDEX(Data_EPA_Miles!$B$5:$B$35,MIN($A15,30)+1)</f>
        <v/>
      </c>
      <c r="E15" s="19">
        <f>INDEX(Data_EPA_Miles!$C$5:$C$35,MIN($A15,30)+1)</f>
        <v/>
      </c>
      <c r="F15" s="34">
        <f>IF($A15&gt;=7,1,0)</f>
        <v/>
      </c>
      <c r="G15" s="34">
        <f>IF($A15&lt;=3,1,0)</f>
        <v/>
      </c>
      <c r="I15" s="19">
        <f>IF(2024-$A15&lt;1970,0,INDEX(Data_Sales!$B$5:$B$65,MATCH(2024-$A15,Data_Sales!$A$5:$A$65,0))*INDEX(Survival!$C$6:$T$51,$A15+1,MATCH(2024,Survival!$C$3:$T$3,0)))</f>
        <v/>
      </c>
      <c r="J15" s="19">
        <f>IF(2024-$A15&lt;1970,0,INDEX(Data_Sales!$C$5:$C$65,MATCH(2024-$A15,Data_Sales!$A$5:$A$65,0))*INDEX(Survival!$C$55:$T$100,$A15+1,MATCH(2024,Survival!$C$3:$T$3,0)))</f>
        <v/>
      </c>
      <c r="K15" s="27">
        <f>IF(I15+J15=0,D15,(D15*I15+E15*J15)/(I15+J15))</f>
        <v/>
      </c>
    </row>
    <row r="16">
      <c r="A16" s="9" t="n">
        <v>10</v>
      </c>
      <c r="B16" s="33">
        <f>IF($A16=0,Inputs!$B$9,1)*EXP(-Inputs!$B$11*MAX($A16-Inputs!$B$10,0))</f>
        <v/>
      </c>
      <c r="C16" s="33">
        <f>Inputs!$B$12+(Inputs!$B$13-Inputs!$B$12)/(1+EXP(-($A16-Inputs!$B$14)/Inputs!$B$15))</f>
        <v/>
      </c>
      <c r="D16" s="19">
        <f>INDEX(Data_EPA_Miles!$B$5:$B$35,MIN($A16,30)+1)</f>
        <v/>
      </c>
      <c r="E16" s="19">
        <f>INDEX(Data_EPA_Miles!$C$5:$C$35,MIN($A16,30)+1)</f>
        <v/>
      </c>
      <c r="F16" s="34">
        <f>IF($A16&gt;=7,1,0)</f>
        <v/>
      </c>
      <c r="G16" s="34">
        <f>IF($A16&lt;=3,1,0)</f>
        <v/>
      </c>
      <c r="I16" s="19">
        <f>IF(2024-$A16&lt;1970,0,INDEX(Data_Sales!$B$5:$B$65,MATCH(2024-$A16,Data_Sales!$A$5:$A$65,0))*INDEX(Survival!$C$6:$T$51,$A16+1,MATCH(2024,Survival!$C$3:$T$3,0)))</f>
        <v/>
      </c>
      <c r="J16" s="19">
        <f>IF(2024-$A16&lt;1970,0,INDEX(Data_Sales!$C$5:$C$65,MATCH(2024-$A16,Data_Sales!$A$5:$A$65,0))*INDEX(Survival!$C$55:$T$100,$A16+1,MATCH(2024,Survival!$C$3:$T$3,0)))</f>
        <v/>
      </c>
      <c r="K16" s="27">
        <f>IF(I16+J16=0,D16,(D16*I16+E16*J16)/(I16+J16))</f>
        <v/>
      </c>
    </row>
    <row r="17">
      <c r="A17" s="9" t="n">
        <v>11</v>
      </c>
      <c r="B17" s="33">
        <f>IF($A17=0,Inputs!$B$9,1)*EXP(-Inputs!$B$11*MAX($A17-Inputs!$B$10,0))</f>
        <v/>
      </c>
      <c r="C17" s="33">
        <f>Inputs!$B$12+(Inputs!$B$13-Inputs!$B$12)/(1+EXP(-($A17-Inputs!$B$14)/Inputs!$B$15))</f>
        <v/>
      </c>
      <c r="D17" s="19">
        <f>INDEX(Data_EPA_Miles!$B$5:$B$35,MIN($A17,30)+1)</f>
        <v/>
      </c>
      <c r="E17" s="19">
        <f>INDEX(Data_EPA_Miles!$C$5:$C$35,MIN($A17,30)+1)</f>
        <v/>
      </c>
      <c r="F17" s="34">
        <f>IF($A17&gt;=7,1,0)</f>
        <v/>
      </c>
      <c r="G17" s="34">
        <f>IF($A17&lt;=3,1,0)</f>
        <v/>
      </c>
      <c r="I17" s="19">
        <f>IF(2024-$A17&lt;1970,0,INDEX(Data_Sales!$B$5:$B$65,MATCH(2024-$A17,Data_Sales!$A$5:$A$65,0))*INDEX(Survival!$C$6:$T$51,$A17+1,MATCH(2024,Survival!$C$3:$T$3,0)))</f>
        <v/>
      </c>
      <c r="J17" s="19">
        <f>IF(2024-$A17&lt;1970,0,INDEX(Data_Sales!$C$5:$C$65,MATCH(2024-$A17,Data_Sales!$A$5:$A$65,0))*INDEX(Survival!$C$55:$T$100,$A17+1,MATCH(2024,Survival!$C$3:$T$3,0)))</f>
        <v/>
      </c>
      <c r="K17" s="27">
        <f>IF(I17+J17=0,D17,(D17*I17+E17*J17)/(I17+J17))</f>
        <v/>
      </c>
    </row>
    <row r="18">
      <c r="A18" s="9" t="n">
        <v>12</v>
      </c>
      <c r="B18" s="33">
        <f>IF($A18=0,Inputs!$B$9,1)*EXP(-Inputs!$B$11*MAX($A18-Inputs!$B$10,0))</f>
        <v/>
      </c>
      <c r="C18" s="33">
        <f>Inputs!$B$12+(Inputs!$B$13-Inputs!$B$12)/(1+EXP(-($A18-Inputs!$B$14)/Inputs!$B$15))</f>
        <v/>
      </c>
      <c r="D18" s="19">
        <f>INDEX(Data_EPA_Miles!$B$5:$B$35,MIN($A18,30)+1)</f>
        <v/>
      </c>
      <c r="E18" s="19">
        <f>INDEX(Data_EPA_Miles!$C$5:$C$35,MIN($A18,30)+1)</f>
        <v/>
      </c>
      <c r="F18" s="34">
        <f>IF($A18&gt;=7,1,0)</f>
        <v/>
      </c>
      <c r="G18" s="34">
        <f>IF($A18&lt;=3,1,0)</f>
        <v/>
      </c>
      <c r="I18" s="19">
        <f>IF(2024-$A18&lt;1970,0,INDEX(Data_Sales!$B$5:$B$65,MATCH(2024-$A18,Data_Sales!$A$5:$A$65,0))*INDEX(Survival!$C$6:$T$51,$A18+1,MATCH(2024,Survival!$C$3:$T$3,0)))</f>
        <v/>
      </c>
      <c r="J18" s="19">
        <f>IF(2024-$A18&lt;1970,0,INDEX(Data_Sales!$C$5:$C$65,MATCH(2024-$A18,Data_Sales!$A$5:$A$65,0))*INDEX(Survival!$C$55:$T$100,$A18+1,MATCH(2024,Survival!$C$3:$T$3,0)))</f>
        <v/>
      </c>
      <c r="K18" s="27">
        <f>IF(I18+J18=0,D18,(D18*I18+E18*J18)/(I18+J18))</f>
        <v/>
      </c>
    </row>
    <row r="19">
      <c r="A19" s="9" t="n">
        <v>13</v>
      </c>
      <c r="B19" s="33">
        <f>IF($A19=0,Inputs!$B$9,1)*EXP(-Inputs!$B$11*MAX($A19-Inputs!$B$10,0))</f>
        <v/>
      </c>
      <c r="C19" s="33">
        <f>Inputs!$B$12+(Inputs!$B$13-Inputs!$B$12)/(1+EXP(-($A19-Inputs!$B$14)/Inputs!$B$15))</f>
        <v/>
      </c>
      <c r="D19" s="19">
        <f>INDEX(Data_EPA_Miles!$B$5:$B$35,MIN($A19,30)+1)</f>
        <v/>
      </c>
      <c r="E19" s="19">
        <f>INDEX(Data_EPA_Miles!$C$5:$C$35,MIN($A19,30)+1)</f>
        <v/>
      </c>
      <c r="F19" s="34">
        <f>IF($A19&gt;=7,1,0)</f>
        <v/>
      </c>
      <c r="G19" s="34">
        <f>IF($A19&lt;=3,1,0)</f>
        <v/>
      </c>
      <c r="I19" s="19">
        <f>IF(2024-$A19&lt;1970,0,INDEX(Data_Sales!$B$5:$B$65,MATCH(2024-$A19,Data_Sales!$A$5:$A$65,0))*INDEX(Survival!$C$6:$T$51,$A19+1,MATCH(2024,Survival!$C$3:$T$3,0)))</f>
        <v/>
      </c>
      <c r="J19" s="19">
        <f>IF(2024-$A19&lt;1970,0,INDEX(Data_Sales!$C$5:$C$65,MATCH(2024-$A19,Data_Sales!$A$5:$A$65,0))*INDEX(Survival!$C$55:$T$100,$A19+1,MATCH(2024,Survival!$C$3:$T$3,0)))</f>
        <v/>
      </c>
      <c r="K19" s="27">
        <f>IF(I19+J19=0,D19,(D19*I19+E19*J19)/(I19+J19))</f>
        <v/>
      </c>
    </row>
    <row r="20">
      <c r="A20" s="9" t="n">
        <v>14</v>
      </c>
      <c r="B20" s="33">
        <f>IF($A20=0,Inputs!$B$9,1)*EXP(-Inputs!$B$11*MAX($A20-Inputs!$B$10,0))</f>
        <v/>
      </c>
      <c r="C20" s="33">
        <f>Inputs!$B$12+(Inputs!$B$13-Inputs!$B$12)/(1+EXP(-($A20-Inputs!$B$14)/Inputs!$B$15))</f>
        <v/>
      </c>
      <c r="D20" s="19">
        <f>INDEX(Data_EPA_Miles!$B$5:$B$35,MIN($A20,30)+1)</f>
        <v/>
      </c>
      <c r="E20" s="19">
        <f>INDEX(Data_EPA_Miles!$C$5:$C$35,MIN($A20,30)+1)</f>
        <v/>
      </c>
      <c r="F20" s="34">
        <f>IF($A20&gt;=7,1,0)</f>
        <v/>
      </c>
      <c r="G20" s="34">
        <f>IF($A20&lt;=3,1,0)</f>
        <v/>
      </c>
      <c r="I20" s="19">
        <f>IF(2024-$A20&lt;1970,0,INDEX(Data_Sales!$B$5:$B$65,MATCH(2024-$A20,Data_Sales!$A$5:$A$65,0))*INDEX(Survival!$C$6:$T$51,$A20+1,MATCH(2024,Survival!$C$3:$T$3,0)))</f>
        <v/>
      </c>
      <c r="J20" s="19">
        <f>IF(2024-$A20&lt;1970,0,INDEX(Data_Sales!$C$5:$C$65,MATCH(2024-$A20,Data_Sales!$A$5:$A$65,0))*INDEX(Survival!$C$55:$T$100,$A20+1,MATCH(2024,Survival!$C$3:$T$3,0)))</f>
        <v/>
      </c>
      <c r="K20" s="27">
        <f>IF(I20+J20=0,D20,(D20*I20+E20*J20)/(I20+J20))</f>
        <v/>
      </c>
    </row>
    <row r="21">
      <c r="A21" s="9" t="n">
        <v>15</v>
      </c>
      <c r="B21" s="33">
        <f>IF($A21=0,Inputs!$B$9,1)*EXP(-Inputs!$B$11*MAX($A21-Inputs!$B$10,0))</f>
        <v/>
      </c>
      <c r="C21" s="33">
        <f>Inputs!$B$12+(Inputs!$B$13-Inputs!$B$12)/(1+EXP(-($A21-Inputs!$B$14)/Inputs!$B$15))</f>
        <v/>
      </c>
      <c r="D21" s="19">
        <f>INDEX(Data_EPA_Miles!$B$5:$B$35,MIN($A21,30)+1)</f>
        <v/>
      </c>
      <c r="E21" s="19">
        <f>INDEX(Data_EPA_Miles!$C$5:$C$35,MIN($A21,30)+1)</f>
        <v/>
      </c>
      <c r="F21" s="34">
        <f>IF($A21&gt;=7,1,0)</f>
        <v/>
      </c>
      <c r="G21" s="34">
        <f>IF($A21&lt;=3,1,0)</f>
        <v/>
      </c>
      <c r="I21" s="19">
        <f>IF(2024-$A21&lt;1970,0,INDEX(Data_Sales!$B$5:$B$65,MATCH(2024-$A21,Data_Sales!$A$5:$A$65,0))*INDEX(Survival!$C$6:$T$51,$A21+1,MATCH(2024,Survival!$C$3:$T$3,0)))</f>
        <v/>
      </c>
      <c r="J21" s="19">
        <f>IF(2024-$A21&lt;1970,0,INDEX(Data_Sales!$C$5:$C$65,MATCH(2024-$A21,Data_Sales!$A$5:$A$65,0))*INDEX(Survival!$C$55:$T$100,$A21+1,MATCH(2024,Survival!$C$3:$T$3,0)))</f>
        <v/>
      </c>
      <c r="K21" s="27">
        <f>IF(I21+J21=0,D21,(D21*I21+E21*J21)/(I21+J21))</f>
        <v/>
      </c>
    </row>
    <row r="22">
      <c r="A22" s="9" t="n">
        <v>16</v>
      </c>
      <c r="B22" s="33">
        <f>IF($A22=0,Inputs!$B$9,1)*EXP(-Inputs!$B$11*MAX($A22-Inputs!$B$10,0))</f>
        <v/>
      </c>
      <c r="C22" s="33">
        <f>Inputs!$B$12+(Inputs!$B$13-Inputs!$B$12)/(1+EXP(-($A22-Inputs!$B$14)/Inputs!$B$15))</f>
        <v/>
      </c>
      <c r="D22" s="19">
        <f>INDEX(Data_EPA_Miles!$B$5:$B$35,MIN($A22,30)+1)</f>
        <v/>
      </c>
      <c r="E22" s="19">
        <f>INDEX(Data_EPA_Miles!$C$5:$C$35,MIN($A22,30)+1)</f>
        <v/>
      </c>
      <c r="F22" s="34">
        <f>IF($A22&gt;=7,1,0)</f>
        <v/>
      </c>
      <c r="G22" s="34">
        <f>IF($A22&lt;=3,1,0)</f>
        <v/>
      </c>
      <c r="I22" s="19">
        <f>IF(2024-$A22&lt;1970,0,INDEX(Data_Sales!$B$5:$B$65,MATCH(2024-$A22,Data_Sales!$A$5:$A$65,0))*INDEX(Survival!$C$6:$T$51,$A22+1,MATCH(2024,Survival!$C$3:$T$3,0)))</f>
        <v/>
      </c>
      <c r="J22" s="19">
        <f>IF(2024-$A22&lt;1970,0,INDEX(Data_Sales!$C$5:$C$65,MATCH(2024-$A22,Data_Sales!$A$5:$A$65,0))*INDEX(Survival!$C$55:$T$100,$A22+1,MATCH(2024,Survival!$C$3:$T$3,0)))</f>
        <v/>
      </c>
      <c r="K22" s="27">
        <f>IF(I22+J22=0,D22,(D22*I22+E22*J22)/(I22+J22))</f>
        <v/>
      </c>
    </row>
    <row r="23">
      <c r="A23" s="9" t="n">
        <v>17</v>
      </c>
      <c r="B23" s="33">
        <f>IF($A23=0,Inputs!$B$9,1)*EXP(-Inputs!$B$11*MAX($A23-Inputs!$B$10,0))</f>
        <v/>
      </c>
      <c r="C23" s="33">
        <f>Inputs!$B$12+(Inputs!$B$13-Inputs!$B$12)/(1+EXP(-($A23-Inputs!$B$14)/Inputs!$B$15))</f>
        <v/>
      </c>
      <c r="D23" s="19">
        <f>INDEX(Data_EPA_Miles!$B$5:$B$35,MIN($A23,30)+1)</f>
        <v/>
      </c>
      <c r="E23" s="19">
        <f>INDEX(Data_EPA_Miles!$C$5:$C$35,MIN($A23,30)+1)</f>
        <v/>
      </c>
      <c r="F23" s="34">
        <f>IF($A23&gt;=7,1,0)</f>
        <v/>
      </c>
      <c r="G23" s="34">
        <f>IF($A23&lt;=3,1,0)</f>
        <v/>
      </c>
      <c r="I23" s="19">
        <f>IF(2024-$A23&lt;1970,0,INDEX(Data_Sales!$B$5:$B$65,MATCH(2024-$A23,Data_Sales!$A$5:$A$65,0))*INDEX(Survival!$C$6:$T$51,$A23+1,MATCH(2024,Survival!$C$3:$T$3,0)))</f>
        <v/>
      </c>
      <c r="J23" s="19">
        <f>IF(2024-$A23&lt;1970,0,INDEX(Data_Sales!$C$5:$C$65,MATCH(2024-$A23,Data_Sales!$A$5:$A$65,0))*INDEX(Survival!$C$55:$T$100,$A23+1,MATCH(2024,Survival!$C$3:$T$3,0)))</f>
        <v/>
      </c>
      <c r="K23" s="27">
        <f>IF(I23+J23=0,D23,(D23*I23+E23*J23)/(I23+J23))</f>
        <v/>
      </c>
    </row>
    <row r="24">
      <c r="A24" s="9" t="n">
        <v>18</v>
      </c>
      <c r="B24" s="33">
        <f>IF($A24=0,Inputs!$B$9,1)*EXP(-Inputs!$B$11*MAX($A24-Inputs!$B$10,0))</f>
        <v/>
      </c>
      <c r="C24" s="33">
        <f>Inputs!$B$12+(Inputs!$B$13-Inputs!$B$12)/(1+EXP(-($A24-Inputs!$B$14)/Inputs!$B$15))</f>
        <v/>
      </c>
      <c r="D24" s="19">
        <f>INDEX(Data_EPA_Miles!$B$5:$B$35,MIN($A24,30)+1)</f>
        <v/>
      </c>
      <c r="E24" s="19">
        <f>INDEX(Data_EPA_Miles!$C$5:$C$35,MIN($A24,30)+1)</f>
        <v/>
      </c>
      <c r="F24" s="34">
        <f>IF($A24&gt;=7,1,0)</f>
        <v/>
      </c>
      <c r="G24" s="34">
        <f>IF($A24&lt;=3,1,0)</f>
        <v/>
      </c>
      <c r="I24" s="19">
        <f>IF(2024-$A24&lt;1970,0,INDEX(Data_Sales!$B$5:$B$65,MATCH(2024-$A24,Data_Sales!$A$5:$A$65,0))*INDEX(Survival!$C$6:$T$51,$A24+1,MATCH(2024,Survival!$C$3:$T$3,0)))</f>
        <v/>
      </c>
      <c r="J24" s="19">
        <f>IF(2024-$A24&lt;1970,0,INDEX(Data_Sales!$C$5:$C$65,MATCH(2024-$A24,Data_Sales!$A$5:$A$65,0))*INDEX(Survival!$C$55:$T$100,$A24+1,MATCH(2024,Survival!$C$3:$T$3,0)))</f>
        <v/>
      </c>
      <c r="K24" s="27">
        <f>IF(I24+J24=0,D24,(D24*I24+E24*J24)/(I24+J24))</f>
        <v/>
      </c>
    </row>
    <row r="25">
      <c r="A25" s="9" t="n">
        <v>19</v>
      </c>
      <c r="B25" s="33">
        <f>IF($A25=0,Inputs!$B$9,1)*EXP(-Inputs!$B$11*MAX($A25-Inputs!$B$10,0))</f>
        <v/>
      </c>
      <c r="C25" s="33">
        <f>Inputs!$B$12+(Inputs!$B$13-Inputs!$B$12)/(1+EXP(-($A25-Inputs!$B$14)/Inputs!$B$15))</f>
        <v/>
      </c>
      <c r="D25" s="19">
        <f>INDEX(Data_EPA_Miles!$B$5:$B$35,MIN($A25,30)+1)</f>
        <v/>
      </c>
      <c r="E25" s="19">
        <f>INDEX(Data_EPA_Miles!$C$5:$C$35,MIN($A25,30)+1)</f>
        <v/>
      </c>
      <c r="F25" s="34">
        <f>IF($A25&gt;=7,1,0)</f>
        <v/>
      </c>
      <c r="G25" s="34">
        <f>IF($A25&lt;=3,1,0)</f>
        <v/>
      </c>
      <c r="I25" s="19">
        <f>IF(2024-$A25&lt;1970,0,INDEX(Data_Sales!$B$5:$B$65,MATCH(2024-$A25,Data_Sales!$A$5:$A$65,0))*INDEX(Survival!$C$6:$T$51,$A25+1,MATCH(2024,Survival!$C$3:$T$3,0)))</f>
        <v/>
      </c>
      <c r="J25" s="19">
        <f>IF(2024-$A25&lt;1970,0,INDEX(Data_Sales!$C$5:$C$65,MATCH(2024-$A25,Data_Sales!$A$5:$A$65,0))*INDEX(Survival!$C$55:$T$100,$A25+1,MATCH(2024,Survival!$C$3:$T$3,0)))</f>
        <v/>
      </c>
      <c r="K25" s="27">
        <f>IF(I25+J25=0,D25,(D25*I25+E25*J25)/(I25+J25))</f>
        <v/>
      </c>
    </row>
    <row r="26">
      <c r="A26" s="9" t="n">
        <v>20</v>
      </c>
      <c r="B26" s="33">
        <f>IF($A26=0,Inputs!$B$9,1)*EXP(-Inputs!$B$11*MAX($A26-Inputs!$B$10,0))</f>
        <v/>
      </c>
      <c r="C26" s="33">
        <f>Inputs!$B$12+(Inputs!$B$13-Inputs!$B$12)/(1+EXP(-($A26-Inputs!$B$14)/Inputs!$B$15))</f>
        <v/>
      </c>
      <c r="D26" s="19">
        <f>INDEX(Data_EPA_Miles!$B$5:$B$35,MIN($A26,30)+1)</f>
        <v/>
      </c>
      <c r="E26" s="19">
        <f>INDEX(Data_EPA_Miles!$C$5:$C$35,MIN($A26,30)+1)</f>
        <v/>
      </c>
      <c r="F26" s="34">
        <f>IF($A26&gt;=7,1,0)</f>
        <v/>
      </c>
      <c r="G26" s="34">
        <f>IF($A26&lt;=3,1,0)</f>
        <v/>
      </c>
      <c r="I26" s="19">
        <f>IF(2024-$A26&lt;1970,0,INDEX(Data_Sales!$B$5:$B$65,MATCH(2024-$A26,Data_Sales!$A$5:$A$65,0))*INDEX(Survival!$C$6:$T$51,$A26+1,MATCH(2024,Survival!$C$3:$T$3,0)))</f>
        <v/>
      </c>
      <c r="J26" s="19">
        <f>IF(2024-$A26&lt;1970,0,INDEX(Data_Sales!$C$5:$C$65,MATCH(2024-$A26,Data_Sales!$A$5:$A$65,0))*INDEX(Survival!$C$55:$T$100,$A26+1,MATCH(2024,Survival!$C$3:$T$3,0)))</f>
        <v/>
      </c>
      <c r="K26" s="27">
        <f>IF(I26+J26=0,D26,(D26*I26+E26*J26)/(I26+J26))</f>
        <v/>
      </c>
    </row>
    <row r="27">
      <c r="A27" s="9" t="n">
        <v>21</v>
      </c>
      <c r="B27" s="33">
        <f>IF($A27=0,Inputs!$B$9,1)*EXP(-Inputs!$B$11*MAX($A27-Inputs!$B$10,0))</f>
        <v/>
      </c>
      <c r="C27" s="33">
        <f>Inputs!$B$12+(Inputs!$B$13-Inputs!$B$12)/(1+EXP(-($A27-Inputs!$B$14)/Inputs!$B$15))</f>
        <v/>
      </c>
      <c r="D27" s="19">
        <f>INDEX(Data_EPA_Miles!$B$5:$B$35,MIN($A27,30)+1)</f>
        <v/>
      </c>
      <c r="E27" s="19">
        <f>INDEX(Data_EPA_Miles!$C$5:$C$35,MIN($A27,30)+1)</f>
        <v/>
      </c>
      <c r="F27" s="34">
        <f>IF($A27&gt;=7,1,0)</f>
        <v/>
      </c>
      <c r="G27" s="34">
        <f>IF($A27&lt;=3,1,0)</f>
        <v/>
      </c>
      <c r="I27" s="19">
        <f>IF(2024-$A27&lt;1970,0,INDEX(Data_Sales!$B$5:$B$65,MATCH(2024-$A27,Data_Sales!$A$5:$A$65,0))*INDEX(Survival!$C$6:$T$51,$A27+1,MATCH(2024,Survival!$C$3:$T$3,0)))</f>
        <v/>
      </c>
      <c r="J27" s="19">
        <f>IF(2024-$A27&lt;1970,0,INDEX(Data_Sales!$C$5:$C$65,MATCH(2024-$A27,Data_Sales!$A$5:$A$65,0))*INDEX(Survival!$C$55:$T$100,$A27+1,MATCH(2024,Survival!$C$3:$T$3,0)))</f>
        <v/>
      </c>
      <c r="K27" s="27">
        <f>IF(I27+J27=0,D27,(D27*I27+E27*J27)/(I27+J27))</f>
        <v/>
      </c>
    </row>
    <row r="28">
      <c r="A28" s="9" t="n">
        <v>22</v>
      </c>
      <c r="B28" s="33">
        <f>IF($A28=0,Inputs!$B$9,1)*EXP(-Inputs!$B$11*MAX($A28-Inputs!$B$10,0))</f>
        <v/>
      </c>
      <c r="C28" s="33">
        <f>Inputs!$B$12+(Inputs!$B$13-Inputs!$B$12)/(1+EXP(-($A28-Inputs!$B$14)/Inputs!$B$15))</f>
        <v/>
      </c>
      <c r="D28" s="19">
        <f>INDEX(Data_EPA_Miles!$B$5:$B$35,MIN($A28,30)+1)</f>
        <v/>
      </c>
      <c r="E28" s="19">
        <f>INDEX(Data_EPA_Miles!$C$5:$C$35,MIN($A28,30)+1)</f>
        <v/>
      </c>
      <c r="F28" s="34">
        <f>IF($A28&gt;=7,1,0)</f>
        <v/>
      </c>
      <c r="G28" s="34">
        <f>IF($A28&lt;=3,1,0)</f>
        <v/>
      </c>
      <c r="I28" s="19">
        <f>IF(2024-$A28&lt;1970,0,INDEX(Data_Sales!$B$5:$B$65,MATCH(2024-$A28,Data_Sales!$A$5:$A$65,0))*INDEX(Survival!$C$6:$T$51,$A28+1,MATCH(2024,Survival!$C$3:$T$3,0)))</f>
        <v/>
      </c>
      <c r="J28" s="19">
        <f>IF(2024-$A28&lt;1970,0,INDEX(Data_Sales!$C$5:$C$65,MATCH(2024-$A28,Data_Sales!$A$5:$A$65,0))*INDEX(Survival!$C$55:$T$100,$A28+1,MATCH(2024,Survival!$C$3:$T$3,0)))</f>
        <v/>
      </c>
      <c r="K28" s="27">
        <f>IF(I28+J28=0,D28,(D28*I28+E28*J28)/(I28+J28))</f>
        <v/>
      </c>
    </row>
    <row r="29">
      <c r="A29" s="9" t="n">
        <v>23</v>
      </c>
      <c r="B29" s="33">
        <f>IF($A29=0,Inputs!$B$9,1)*EXP(-Inputs!$B$11*MAX($A29-Inputs!$B$10,0))</f>
        <v/>
      </c>
      <c r="C29" s="33">
        <f>Inputs!$B$12+(Inputs!$B$13-Inputs!$B$12)/(1+EXP(-($A29-Inputs!$B$14)/Inputs!$B$15))</f>
        <v/>
      </c>
      <c r="D29" s="19">
        <f>INDEX(Data_EPA_Miles!$B$5:$B$35,MIN($A29,30)+1)</f>
        <v/>
      </c>
      <c r="E29" s="19">
        <f>INDEX(Data_EPA_Miles!$C$5:$C$35,MIN($A29,30)+1)</f>
        <v/>
      </c>
      <c r="F29" s="34">
        <f>IF($A29&gt;=7,1,0)</f>
        <v/>
      </c>
      <c r="G29" s="34">
        <f>IF($A29&lt;=3,1,0)</f>
        <v/>
      </c>
      <c r="I29" s="19">
        <f>IF(2024-$A29&lt;1970,0,INDEX(Data_Sales!$B$5:$B$65,MATCH(2024-$A29,Data_Sales!$A$5:$A$65,0))*INDEX(Survival!$C$6:$T$51,$A29+1,MATCH(2024,Survival!$C$3:$T$3,0)))</f>
        <v/>
      </c>
      <c r="J29" s="19">
        <f>IF(2024-$A29&lt;1970,0,INDEX(Data_Sales!$C$5:$C$65,MATCH(2024-$A29,Data_Sales!$A$5:$A$65,0))*INDEX(Survival!$C$55:$T$100,$A29+1,MATCH(2024,Survival!$C$3:$T$3,0)))</f>
        <v/>
      </c>
      <c r="K29" s="27">
        <f>IF(I29+J29=0,D29,(D29*I29+E29*J29)/(I29+J29))</f>
        <v/>
      </c>
    </row>
    <row r="30">
      <c r="A30" s="9" t="n">
        <v>24</v>
      </c>
      <c r="B30" s="33">
        <f>IF($A30=0,Inputs!$B$9,1)*EXP(-Inputs!$B$11*MAX($A30-Inputs!$B$10,0))</f>
        <v/>
      </c>
      <c r="C30" s="33">
        <f>Inputs!$B$12+(Inputs!$B$13-Inputs!$B$12)/(1+EXP(-($A30-Inputs!$B$14)/Inputs!$B$15))</f>
        <v/>
      </c>
      <c r="D30" s="19">
        <f>INDEX(Data_EPA_Miles!$B$5:$B$35,MIN($A30,30)+1)</f>
        <v/>
      </c>
      <c r="E30" s="19">
        <f>INDEX(Data_EPA_Miles!$C$5:$C$35,MIN($A30,30)+1)</f>
        <v/>
      </c>
      <c r="F30" s="34">
        <f>IF($A30&gt;=7,1,0)</f>
        <v/>
      </c>
      <c r="G30" s="34">
        <f>IF($A30&lt;=3,1,0)</f>
        <v/>
      </c>
      <c r="I30" s="19">
        <f>IF(2024-$A30&lt;1970,0,INDEX(Data_Sales!$B$5:$B$65,MATCH(2024-$A30,Data_Sales!$A$5:$A$65,0))*INDEX(Survival!$C$6:$T$51,$A30+1,MATCH(2024,Survival!$C$3:$T$3,0)))</f>
        <v/>
      </c>
      <c r="J30" s="19">
        <f>IF(2024-$A30&lt;1970,0,INDEX(Data_Sales!$C$5:$C$65,MATCH(2024-$A30,Data_Sales!$A$5:$A$65,0))*INDEX(Survival!$C$55:$T$100,$A30+1,MATCH(2024,Survival!$C$3:$T$3,0)))</f>
        <v/>
      </c>
      <c r="K30" s="27">
        <f>IF(I30+J30=0,D30,(D30*I30+E30*J30)/(I30+J30))</f>
        <v/>
      </c>
    </row>
    <row r="31">
      <c r="A31" s="9" t="n">
        <v>25</v>
      </c>
      <c r="B31" s="33">
        <f>IF($A31=0,Inputs!$B$9,1)*EXP(-Inputs!$B$11*MAX($A31-Inputs!$B$10,0))</f>
        <v/>
      </c>
      <c r="C31" s="33">
        <f>Inputs!$B$12+(Inputs!$B$13-Inputs!$B$12)/(1+EXP(-($A31-Inputs!$B$14)/Inputs!$B$15))</f>
        <v/>
      </c>
      <c r="D31" s="19">
        <f>INDEX(Data_EPA_Miles!$B$5:$B$35,MIN($A31,30)+1)</f>
        <v/>
      </c>
      <c r="E31" s="19">
        <f>INDEX(Data_EPA_Miles!$C$5:$C$35,MIN($A31,30)+1)</f>
        <v/>
      </c>
      <c r="F31" s="34">
        <f>IF($A31&gt;=7,1,0)</f>
        <v/>
      </c>
      <c r="G31" s="34">
        <f>IF($A31&lt;=3,1,0)</f>
        <v/>
      </c>
      <c r="I31" s="19">
        <f>IF(2024-$A31&lt;1970,0,INDEX(Data_Sales!$B$5:$B$65,MATCH(2024-$A31,Data_Sales!$A$5:$A$65,0))*INDEX(Survival!$C$6:$T$51,$A31+1,MATCH(2024,Survival!$C$3:$T$3,0)))</f>
        <v/>
      </c>
      <c r="J31" s="19">
        <f>IF(2024-$A31&lt;1970,0,INDEX(Data_Sales!$C$5:$C$65,MATCH(2024-$A31,Data_Sales!$A$5:$A$65,0))*INDEX(Survival!$C$55:$T$100,$A31+1,MATCH(2024,Survival!$C$3:$T$3,0)))</f>
        <v/>
      </c>
      <c r="K31" s="27">
        <f>IF(I31+J31=0,D31,(D31*I31+E31*J31)/(I31+J31))</f>
        <v/>
      </c>
    </row>
    <row r="32">
      <c r="A32" s="9" t="n">
        <v>26</v>
      </c>
      <c r="B32" s="33">
        <f>IF($A32=0,Inputs!$B$9,1)*EXP(-Inputs!$B$11*MAX($A32-Inputs!$B$10,0))</f>
        <v/>
      </c>
      <c r="C32" s="33">
        <f>Inputs!$B$12+(Inputs!$B$13-Inputs!$B$12)/(1+EXP(-($A32-Inputs!$B$14)/Inputs!$B$15))</f>
        <v/>
      </c>
      <c r="D32" s="19">
        <f>INDEX(Data_EPA_Miles!$B$5:$B$35,MIN($A32,30)+1)</f>
        <v/>
      </c>
      <c r="E32" s="19">
        <f>INDEX(Data_EPA_Miles!$C$5:$C$35,MIN($A32,30)+1)</f>
        <v/>
      </c>
      <c r="F32" s="34">
        <f>IF($A32&gt;=7,1,0)</f>
        <v/>
      </c>
      <c r="G32" s="34">
        <f>IF($A32&lt;=3,1,0)</f>
        <v/>
      </c>
      <c r="I32" s="19">
        <f>IF(2024-$A32&lt;1970,0,INDEX(Data_Sales!$B$5:$B$65,MATCH(2024-$A32,Data_Sales!$A$5:$A$65,0))*INDEX(Survival!$C$6:$T$51,$A32+1,MATCH(2024,Survival!$C$3:$T$3,0)))</f>
        <v/>
      </c>
      <c r="J32" s="19">
        <f>IF(2024-$A32&lt;1970,0,INDEX(Data_Sales!$C$5:$C$65,MATCH(2024-$A32,Data_Sales!$A$5:$A$65,0))*INDEX(Survival!$C$55:$T$100,$A32+1,MATCH(2024,Survival!$C$3:$T$3,0)))</f>
        <v/>
      </c>
      <c r="K32" s="27">
        <f>IF(I32+J32=0,D32,(D32*I32+E32*J32)/(I32+J32))</f>
        <v/>
      </c>
    </row>
    <row r="33">
      <c r="A33" s="9" t="n">
        <v>27</v>
      </c>
      <c r="B33" s="33">
        <f>IF($A33=0,Inputs!$B$9,1)*EXP(-Inputs!$B$11*MAX($A33-Inputs!$B$10,0))</f>
        <v/>
      </c>
      <c r="C33" s="33">
        <f>Inputs!$B$12+(Inputs!$B$13-Inputs!$B$12)/(1+EXP(-($A33-Inputs!$B$14)/Inputs!$B$15))</f>
        <v/>
      </c>
      <c r="D33" s="19">
        <f>INDEX(Data_EPA_Miles!$B$5:$B$35,MIN($A33,30)+1)</f>
        <v/>
      </c>
      <c r="E33" s="19">
        <f>INDEX(Data_EPA_Miles!$C$5:$C$35,MIN($A33,30)+1)</f>
        <v/>
      </c>
      <c r="F33" s="34">
        <f>IF($A33&gt;=7,1,0)</f>
        <v/>
      </c>
      <c r="G33" s="34">
        <f>IF($A33&lt;=3,1,0)</f>
        <v/>
      </c>
      <c r="I33" s="19">
        <f>IF(2024-$A33&lt;1970,0,INDEX(Data_Sales!$B$5:$B$65,MATCH(2024-$A33,Data_Sales!$A$5:$A$65,0))*INDEX(Survival!$C$6:$T$51,$A33+1,MATCH(2024,Survival!$C$3:$T$3,0)))</f>
        <v/>
      </c>
      <c r="J33" s="19">
        <f>IF(2024-$A33&lt;1970,0,INDEX(Data_Sales!$C$5:$C$65,MATCH(2024-$A33,Data_Sales!$A$5:$A$65,0))*INDEX(Survival!$C$55:$T$100,$A33+1,MATCH(2024,Survival!$C$3:$T$3,0)))</f>
        <v/>
      </c>
      <c r="K33" s="27">
        <f>IF(I33+J33=0,D33,(D33*I33+E33*J33)/(I33+J33))</f>
        <v/>
      </c>
    </row>
    <row r="34">
      <c r="A34" s="9" t="n">
        <v>28</v>
      </c>
      <c r="B34" s="33">
        <f>IF($A34=0,Inputs!$B$9,1)*EXP(-Inputs!$B$11*MAX($A34-Inputs!$B$10,0))</f>
        <v/>
      </c>
      <c r="C34" s="33">
        <f>Inputs!$B$12+(Inputs!$B$13-Inputs!$B$12)/(1+EXP(-($A34-Inputs!$B$14)/Inputs!$B$15))</f>
        <v/>
      </c>
      <c r="D34" s="19">
        <f>INDEX(Data_EPA_Miles!$B$5:$B$35,MIN($A34,30)+1)</f>
        <v/>
      </c>
      <c r="E34" s="19">
        <f>INDEX(Data_EPA_Miles!$C$5:$C$35,MIN($A34,30)+1)</f>
        <v/>
      </c>
      <c r="F34" s="34">
        <f>IF($A34&gt;=7,1,0)</f>
        <v/>
      </c>
      <c r="G34" s="34">
        <f>IF($A34&lt;=3,1,0)</f>
        <v/>
      </c>
      <c r="I34" s="19">
        <f>IF(2024-$A34&lt;1970,0,INDEX(Data_Sales!$B$5:$B$65,MATCH(2024-$A34,Data_Sales!$A$5:$A$65,0))*INDEX(Survival!$C$6:$T$51,$A34+1,MATCH(2024,Survival!$C$3:$T$3,0)))</f>
        <v/>
      </c>
      <c r="J34" s="19">
        <f>IF(2024-$A34&lt;1970,0,INDEX(Data_Sales!$C$5:$C$65,MATCH(2024-$A34,Data_Sales!$A$5:$A$65,0))*INDEX(Survival!$C$55:$T$100,$A34+1,MATCH(2024,Survival!$C$3:$T$3,0)))</f>
        <v/>
      </c>
      <c r="K34" s="27">
        <f>IF(I34+J34=0,D34,(D34*I34+E34*J34)/(I34+J34))</f>
        <v/>
      </c>
    </row>
    <row r="35">
      <c r="A35" s="9" t="n">
        <v>29</v>
      </c>
      <c r="B35" s="33">
        <f>IF($A35=0,Inputs!$B$9,1)*EXP(-Inputs!$B$11*MAX($A35-Inputs!$B$10,0))</f>
        <v/>
      </c>
      <c r="C35" s="33">
        <f>Inputs!$B$12+(Inputs!$B$13-Inputs!$B$12)/(1+EXP(-($A35-Inputs!$B$14)/Inputs!$B$15))</f>
        <v/>
      </c>
      <c r="D35" s="19">
        <f>INDEX(Data_EPA_Miles!$B$5:$B$35,MIN($A35,30)+1)</f>
        <v/>
      </c>
      <c r="E35" s="19">
        <f>INDEX(Data_EPA_Miles!$C$5:$C$35,MIN($A35,30)+1)</f>
        <v/>
      </c>
      <c r="F35" s="34">
        <f>IF($A35&gt;=7,1,0)</f>
        <v/>
      </c>
      <c r="G35" s="34">
        <f>IF($A35&lt;=3,1,0)</f>
        <v/>
      </c>
      <c r="I35" s="19">
        <f>IF(2024-$A35&lt;1970,0,INDEX(Data_Sales!$B$5:$B$65,MATCH(2024-$A35,Data_Sales!$A$5:$A$65,0))*INDEX(Survival!$C$6:$T$51,$A35+1,MATCH(2024,Survival!$C$3:$T$3,0)))</f>
        <v/>
      </c>
      <c r="J35" s="19">
        <f>IF(2024-$A35&lt;1970,0,INDEX(Data_Sales!$C$5:$C$65,MATCH(2024-$A35,Data_Sales!$A$5:$A$65,0))*INDEX(Survival!$C$55:$T$100,$A35+1,MATCH(2024,Survival!$C$3:$T$3,0)))</f>
        <v/>
      </c>
      <c r="K35" s="27">
        <f>IF(I35+J35=0,D35,(D35*I35+E35*J35)/(I35+J35))</f>
        <v/>
      </c>
    </row>
    <row r="36">
      <c r="A36" s="9" t="n">
        <v>30</v>
      </c>
      <c r="B36" s="33">
        <f>IF($A36=0,Inputs!$B$9,1)*EXP(-Inputs!$B$11*MAX($A36-Inputs!$B$10,0))</f>
        <v/>
      </c>
      <c r="C36" s="33">
        <f>Inputs!$B$12+(Inputs!$B$13-Inputs!$B$12)/(1+EXP(-($A36-Inputs!$B$14)/Inputs!$B$15))</f>
        <v/>
      </c>
      <c r="D36" s="19">
        <f>INDEX(Data_EPA_Miles!$B$5:$B$35,MIN($A36,30)+1)</f>
        <v/>
      </c>
      <c r="E36" s="19">
        <f>INDEX(Data_EPA_Miles!$C$5:$C$35,MIN($A36,30)+1)</f>
        <v/>
      </c>
      <c r="F36" s="34">
        <f>IF($A36&gt;=7,1,0)</f>
        <v/>
      </c>
      <c r="G36" s="34">
        <f>IF($A36&lt;=3,1,0)</f>
        <v/>
      </c>
      <c r="I36" s="19">
        <f>IF(2024-$A36&lt;1970,0,INDEX(Data_Sales!$B$5:$B$65,MATCH(2024-$A36,Data_Sales!$A$5:$A$65,0))*INDEX(Survival!$C$6:$T$51,$A36+1,MATCH(2024,Survival!$C$3:$T$3,0)))</f>
        <v/>
      </c>
      <c r="J36" s="19">
        <f>IF(2024-$A36&lt;1970,0,INDEX(Data_Sales!$C$5:$C$65,MATCH(2024-$A36,Data_Sales!$A$5:$A$65,0))*INDEX(Survival!$C$55:$T$100,$A36+1,MATCH(2024,Survival!$C$3:$T$3,0)))</f>
        <v/>
      </c>
      <c r="K36" s="27">
        <f>IF(I36+J36=0,D36,(D36*I36+E36*J36)/(I36+J36))</f>
        <v/>
      </c>
    </row>
    <row r="37">
      <c r="A37" s="9" t="n">
        <v>31</v>
      </c>
      <c r="B37" s="33">
        <f>IF($A37=0,Inputs!$B$9,1)*EXP(-Inputs!$B$11*MAX($A37-Inputs!$B$10,0))</f>
        <v/>
      </c>
      <c r="C37" s="33">
        <f>Inputs!$B$12+(Inputs!$B$13-Inputs!$B$12)/(1+EXP(-($A37-Inputs!$B$14)/Inputs!$B$15))</f>
        <v/>
      </c>
      <c r="D37" s="19">
        <f>INDEX(Data_EPA_Miles!$B$5:$B$35,MIN($A37,30)+1)</f>
        <v/>
      </c>
      <c r="E37" s="19">
        <f>INDEX(Data_EPA_Miles!$C$5:$C$35,MIN($A37,30)+1)</f>
        <v/>
      </c>
      <c r="F37" s="34">
        <f>IF($A37&gt;=7,1,0)</f>
        <v/>
      </c>
      <c r="G37" s="34">
        <f>IF($A37&lt;=3,1,0)</f>
        <v/>
      </c>
      <c r="I37" s="19">
        <f>IF(2024-$A37&lt;1970,0,INDEX(Data_Sales!$B$5:$B$65,MATCH(2024-$A37,Data_Sales!$A$5:$A$65,0))*INDEX(Survival!$C$6:$T$51,$A37+1,MATCH(2024,Survival!$C$3:$T$3,0)))</f>
        <v/>
      </c>
      <c r="J37" s="19">
        <f>IF(2024-$A37&lt;1970,0,INDEX(Data_Sales!$C$5:$C$65,MATCH(2024-$A37,Data_Sales!$A$5:$A$65,0))*INDEX(Survival!$C$55:$T$100,$A37+1,MATCH(2024,Survival!$C$3:$T$3,0)))</f>
        <v/>
      </c>
      <c r="K37" s="27">
        <f>IF(I37+J37=0,D37,(D37*I37+E37*J37)/(I37+J37))</f>
        <v/>
      </c>
    </row>
    <row r="38">
      <c r="A38" s="9" t="n">
        <v>32</v>
      </c>
      <c r="B38" s="33">
        <f>IF($A38=0,Inputs!$B$9,1)*EXP(-Inputs!$B$11*MAX($A38-Inputs!$B$10,0))</f>
        <v/>
      </c>
      <c r="C38" s="33">
        <f>Inputs!$B$12+(Inputs!$B$13-Inputs!$B$12)/(1+EXP(-($A38-Inputs!$B$14)/Inputs!$B$15))</f>
        <v/>
      </c>
      <c r="D38" s="19">
        <f>INDEX(Data_EPA_Miles!$B$5:$B$35,MIN($A38,30)+1)</f>
        <v/>
      </c>
      <c r="E38" s="19">
        <f>INDEX(Data_EPA_Miles!$C$5:$C$35,MIN($A38,30)+1)</f>
        <v/>
      </c>
      <c r="F38" s="34">
        <f>IF($A38&gt;=7,1,0)</f>
        <v/>
      </c>
      <c r="G38" s="34">
        <f>IF($A38&lt;=3,1,0)</f>
        <v/>
      </c>
      <c r="I38" s="19">
        <f>IF(2024-$A38&lt;1970,0,INDEX(Data_Sales!$B$5:$B$65,MATCH(2024-$A38,Data_Sales!$A$5:$A$65,0))*INDEX(Survival!$C$6:$T$51,$A38+1,MATCH(2024,Survival!$C$3:$T$3,0)))</f>
        <v/>
      </c>
      <c r="J38" s="19">
        <f>IF(2024-$A38&lt;1970,0,INDEX(Data_Sales!$C$5:$C$65,MATCH(2024-$A38,Data_Sales!$A$5:$A$65,0))*INDEX(Survival!$C$55:$T$100,$A38+1,MATCH(2024,Survival!$C$3:$T$3,0)))</f>
        <v/>
      </c>
      <c r="K38" s="27">
        <f>IF(I38+J38=0,D38,(D38*I38+E38*J38)/(I38+J38))</f>
        <v/>
      </c>
    </row>
    <row r="39">
      <c r="A39" s="9" t="n">
        <v>33</v>
      </c>
      <c r="B39" s="33">
        <f>IF($A39=0,Inputs!$B$9,1)*EXP(-Inputs!$B$11*MAX($A39-Inputs!$B$10,0))</f>
        <v/>
      </c>
      <c r="C39" s="33">
        <f>Inputs!$B$12+(Inputs!$B$13-Inputs!$B$12)/(1+EXP(-($A39-Inputs!$B$14)/Inputs!$B$15))</f>
        <v/>
      </c>
      <c r="D39" s="19">
        <f>INDEX(Data_EPA_Miles!$B$5:$B$35,MIN($A39,30)+1)</f>
        <v/>
      </c>
      <c r="E39" s="19">
        <f>INDEX(Data_EPA_Miles!$C$5:$C$35,MIN($A39,30)+1)</f>
        <v/>
      </c>
      <c r="F39" s="34">
        <f>IF($A39&gt;=7,1,0)</f>
        <v/>
      </c>
      <c r="G39" s="34">
        <f>IF($A39&lt;=3,1,0)</f>
        <v/>
      </c>
      <c r="I39" s="19">
        <f>IF(2024-$A39&lt;1970,0,INDEX(Data_Sales!$B$5:$B$65,MATCH(2024-$A39,Data_Sales!$A$5:$A$65,0))*INDEX(Survival!$C$6:$T$51,$A39+1,MATCH(2024,Survival!$C$3:$T$3,0)))</f>
        <v/>
      </c>
      <c r="J39" s="19">
        <f>IF(2024-$A39&lt;1970,0,INDEX(Data_Sales!$C$5:$C$65,MATCH(2024-$A39,Data_Sales!$A$5:$A$65,0))*INDEX(Survival!$C$55:$T$100,$A39+1,MATCH(2024,Survival!$C$3:$T$3,0)))</f>
        <v/>
      </c>
      <c r="K39" s="27">
        <f>IF(I39+J39=0,D39,(D39*I39+E39*J39)/(I39+J39))</f>
        <v/>
      </c>
    </row>
    <row r="40">
      <c r="A40" s="9" t="n">
        <v>34</v>
      </c>
      <c r="B40" s="33">
        <f>IF($A40=0,Inputs!$B$9,1)*EXP(-Inputs!$B$11*MAX($A40-Inputs!$B$10,0))</f>
        <v/>
      </c>
      <c r="C40" s="33">
        <f>Inputs!$B$12+(Inputs!$B$13-Inputs!$B$12)/(1+EXP(-($A40-Inputs!$B$14)/Inputs!$B$15))</f>
        <v/>
      </c>
      <c r="D40" s="19">
        <f>INDEX(Data_EPA_Miles!$B$5:$B$35,MIN($A40,30)+1)</f>
        <v/>
      </c>
      <c r="E40" s="19">
        <f>INDEX(Data_EPA_Miles!$C$5:$C$35,MIN($A40,30)+1)</f>
        <v/>
      </c>
      <c r="F40" s="34">
        <f>IF($A40&gt;=7,1,0)</f>
        <v/>
      </c>
      <c r="G40" s="34">
        <f>IF($A40&lt;=3,1,0)</f>
        <v/>
      </c>
      <c r="I40" s="19">
        <f>IF(2024-$A40&lt;1970,0,INDEX(Data_Sales!$B$5:$B$65,MATCH(2024-$A40,Data_Sales!$A$5:$A$65,0))*INDEX(Survival!$C$6:$T$51,$A40+1,MATCH(2024,Survival!$C$3:$T$3,0)))</f>
        <v/>
      </c>
      <c r="J40" s="19">
        <f>IF(2024-$A40&lt;1970,0,INDEX(Data_Sales!$C$5:$C$65,MATCH(2024-$A40,Data_Sales!$A$5:$A$65,0))*INDEX(Survival!$C$55:$T$100,$A40+1,MATCH(2024,Survival!$C$3:$T$3,0)))</f>
        <v/>
      </c>
      <c r="K40" s="27">
        <f>IF(I40+J40=0,D40,(D40*I40+E40*J40)/(I40+J40))</f>
        <v/>
      </c>
    </row>
    <row r="41">
      <c r="A41" s="9" t="n">
        <v>35</v>
      </c>
      <c r="B41" s="33">
        <f>IF($A41=0,Inputs!$B$9,1)*EXP(-Inputs!$B$11*MAX($A41-Inputs!$B$10,0))</f>
        <v/>
      </c>
      <c r="C41" s="33">
        <f>Inputs!$B$12+(Inputs!$B$13-Inputs!$B$12)/(1+EXP(-($A41-Inputs!$B$14)/Inputs!$B$15))</f>
        <v/>
      </c>
      <c r="D41" s="19">
        <f>INDEX(Data_EPA_Miles!$B$5:$B$35,MIN($A41,30)+1)</f>
        <v/>
      </c>
      <c r="E41" s="19">
        <f>INDEX(Data_EPA_Miles!$C$5:$C$35,MIN($A41,30)+1)</f>
        <v/>
      </c>
      <c r="F41" s="34">
        <f>IF($A41&gt;=7,1,0)</f>
        <v/>
      </c>
      <c r="G41" s="34">
        <f>IF($A41&lt;=3,1,0)</f>
        <v/>
      </c>
      <c r="I41" s="19">
        <f>IF(2024-$A41&lt;1970,0,INDEX(Data_Sales!$B$5:$B$65,MATCH(2024-$A41,Data_Sales!$A$5:$A$65,0))*INDEX(Survival!$C$6:$T$51,$A41+1,MATCH(2024,Survival!$C$3:$T$3,0)))</f>
        <v/>
      </c>
      <c r="J41" s="19">
        <f>IF(2024-$A41&lt;1970,0,INDEX(Data_Sales!$C$5:$C$65,MATCH(2024-$A41,Data_Sales!$A$5:$A$65,0))*INDEX(Survival!$C$55:$T$100,$A41+1,MATCH(2024,Survival!$C$3:$T$3,0)))</f>
        <v/>
      </c>
      <c r="K41" s="27">
        <f>IF(I41+J41=0,D41,(D41*I41+E41*J41)/(I41+J41))</f>
        <v/>
      </c>
    </row>
    <row r="42">
      <c r="A42" s="9" t="n">
        <v>36</v>
      </c>
      <c r="B42" s="33">
        <f>IF($A42=0,Inputs!$B$9,1)*EXP(-Inputs!$B$11*MAX($A42-Inputs!$B$10,0))</f>
        <v/>
      </c>
      <c r="C42" s="33">
        <f>Inputs!$B$12+(Inputs!$B$13-Inputs!$B$12)/(1+EXP(-($A42-Inputs!$B$14)/Inputs!$B$15))</f>
        <v/>
      </c>
      <c r="D42" s="19">
        <f>INDEX(Data_EPA_Miles!$B$5:$B$35,MIN($A42,30)+1)</f>
        <v/>
      </c>
      <c r="E42" s="19">
        <f>INDEX(Data_EPA_Miles!$C$5:$C$35,MIN($A42,30)+1)</f>
        <v/>
      </c>
      <c r="F42" s="34">
        <f>IF($A42&gt;=7,1,0)</f>
        <v/>
      </c>
      <c r="G42" s="34">
        <f>IF($A42&lt;=3,1,0)</f>
        <v/>
      </c>
      <c r="I42" s="19">
        <f>IF(2024-$A42&lt;1970,0,INDEX(Data_Sales!$B$5:$B$65,MATCH(2024-$A42,Data_Sales!$A$5:$A$65,0))*INDEX(Survival!$C$6:$T$51,$A42+1,MATCH(2024,Survival!$C$3:$T$3,0)))</f>
        <v/>
      </c>
      <c r="J42" s="19">
        <f>IF(2024-$A42&lt;1970,0,INDEX(Data_Sales!$C$5:$C$65,MATCH(2024-$A42,Data_Sales!$A$5:$A$65,0))*INDEX(Survival!$C$55:$T$100,$A42+1,MATCH(2024,Survival!$C$3:$T$3,0)))</f>
        <v/>
      </c>
      <c r="K42" s="27">
        <f>IF(I42+J42=0,D42,(D42*I42+E42*J42)/(I42+J42))</f>
        <v/>
      </c>
    </row>
    <row r="43">
      <c r="A43" s="9" t="n">
        <v>37</v>
      </c>
      <c r="B43" s="33">
        <f>IF($A43=0,Inputs!$B$9,1)*EXP(-Inputs!$B$11*MAX($A43-Inputs!$B$10,0))</f>
        <v/>
      </c>
      <c r="C43" s="33">
        <f>Inputs!$B$12+(Inputs!$B$13-Inputs!$B$12)/(1+EXP(-($A43-Inputs!$B$14)/Inputs!$B$15))</f>
        <v/>
      </c>
      <c r="D43" s="19">
        <f>INDEX(Data_EPA_Miles!$B$5:$B$35,MIN($A43,30)+1)</f>
        <v/>
      </c>
      <c r="E43" s="19">
        <f>INDEX(Data_EPA_Miles!$C$5:$C$35,MIN($A43,30)+1)</f>
        <v/>
      </c>
      <c r="F43" s="34">
        <f>IF($A43&gt;=7,1,0)</f>
        <v/>
      </c>
      <c r="G43" s="34">
        <f>IF($A43&lt;=3,1,0)</f>
        <v/>
      </c>
      <c r="I43" s="19">
        <f>IF(2024-$A43&lt;1970,0,INDEX(Data_Sales!$B$5:$B$65,MATCH(2024-$A43,Data_Sales!$A$5:$A$65,0))*INDEX(Survival!$C$6:$T$51,$A43+1,MATCH(2024,Survival!$C$3:$T$3,0)))</f>
        <v/>
      </c>
      <c r="J43" s="19">
        <f>IF(2024-$A43&lt;1970,0,INDEX(Data_Sales!$C$5:$C$65,MATCH(2024-$A43,Data_Sales!$A$5:$A$65,0))*INDEX(Survival!$C$55:$T$100,$A43+1,MATCH(2024,Survival!$C$3:$T$3,0)))</f>
        <v/>
      </c>
      <c r="K43" s="27">
        <f>IF(I43+J43=0,D43,(D43*I43+E43*J43)/(I43+J43))</f>
        <v/>
      </c>
    </row>
    <row r="44">
      <c r="A44" s="9" t="n">
        <v>38</v>
      </c>
      <c r="B44" s="33">
        <f>IF($A44=0,Inputs!$B$9,1)*EXP(-Inputs!$B$11*MAX($A44-Inputs!$B$10,0))</f>
        <v/>
      </c>
      <c r="C44" s="33">
        <f>Inputs!$B$12+(Inputs!$B$13-Inputs!$B$12)/(1+EXP(-($A44-Inputs!$B$14)/Inputs!$B$15))</f>
        <v/>
      </c>
      <c r="D44" s="19">
        <f>INDEX(Data_EPA_Miles!$B$5:$B$35,MIN($A44,30)+1)</f>
        <v/>
      </c>
      <c r="E44" s="19">
        <f>INDEX(Data_EPA_Miles!$C$5:$C$35,MIN($A44,30)+1)</f>
        <v/>
      </c>
      <c r="F44" s="34">
        <f>IF($A44&gt;=7,1,0)</f>
        <v/>
      </c>
      <c r="G44" s="34">
        <f>IF($A44&lt;=3,1,0)</f>
        <v/>
      </c>
      <c r="I44" s="19">
        <f>IF(2024-$A44&lt;1970,0,INDEX(Data_Sales!$B$5:$B$65,MATCH(2024-$A44,Data_Sales!$A$5:$A$65,0))*INDEX(Survival!$C$6:$T$51,$A44+1,MATCH(2024,Survival!$C$3:$T$3,0)))</f>
        <v/>
      </c>
      <c r="J44" s="19">
        <f>IF(2024-$A44&lt;1970,0,INDEX(Data_Sales!$C$5:$C$65,MATCH(2024-$A44,Data_Sales!$A$5:$A$65,0))*INDEX(Survival!$C$55:$T$100,$A44+1,MATCH(2024,Survival!$C$3:$T$3,0)))</f>
        <v/>
      </c>
      <c r="K44" s="27">
        <f>IF(I44+J44=0,D44,(D44*I44+E44*J44)/(I44+J44))</f>
        <v/>
      </c>
    </row>
    <row r="45">
      <c r="A45" s="9" t="n">
        <v>39</v>
      </c>
      <c r="B45" s="33">
        <f>IF($A45=0,Inputs!$B$9,1)*EXP(-Inputs!$B$11*MAX($A45-Inputs!$B$10,0))</f>
        <v/>
      </c>
      <c r="C45" s="33">
        <f>Inputs!$B$12+(Inputs!$B$13-Inputs!$B$12)/(1+EXP(-($A45-Inputs!$B$14)/Inputs!$B$15))</f>
        <v/>
      </c>
      <c r="D45" s="19">
        <f>INDEX(Data_EPA_Miles!$B$5:$B$35,MIN($A45,30)+1)</f>
        <v/>
      </c>
      <c r="E45" s="19">
        <f>INDEX(Data_EPA_Miles!$C$5:$C$35,MIN($A45,30)+1)</f>
        <v/>
      </c>
      <c r="F45" s="34">
        <f>IF($A45&gt;=7,1,0)</f>
        <v/>
      </c>
      <c r="G45" s="34">
        <f>IF($A45&lt;=3,1,0)</f>
        <v/>
      </c>
      <c r="I45" s="19">
        <f>IF(2024-$A45&lt;1970,0,INDEX(Data_Sales!$B$5:$B$65,MATCH(2024-$A45,Data_Sales!$A$5:$A$65,0))*INDEX(Survival!$C$6:$T$51,$A45+1,MATCH(2024,Survival!$C$3:$T$3,0)))</f>
        <v/>
      </c>
      <c r="J45" s="19">
        <f>IF(2024-$A45&lt;1970,0,INDEX(Data_Sales!$C$5:$C$65,MATCH(2024-$A45,Data_Sales!$A$5:$A$65,0))*INDEX(Survival!$C$55:$T$100,$A45+1,MATCH(2024,Survival!$C$3:$T$3,0)))</f>
        <v/>
      </c>
      <c r="K45" s="27">
        <f>IF(I45+J45=0,D45,(D45*I45+E45*J45)/(I45+J45))</f>
        <v/>
      </c>
    </row>
    <row r="46">
      <c r="A46" s="9" t="n">
        <v>40</v>
      </c>
      <c r="B46" s="33">
        <f>IF($A46=0,Inputs!$B$9,1)*EXP(-Inputs!$B$11*MAX($A46-Inputs!$B$10,0))</f>
        <v/>
      </c>
      <c r="C46" s="33">
        <f>Inputs!$B$12+(Inputs!$B$13-Inputs!$B$12)/(1+EXP(-($A46-Inputs!$B$14)/Inputs!$B$15))</f>
        <v/>
      </c>
      <c r="D46" s="19">
        <f>INDEX(Data_EPA_Miles!$B$5:$B$35,MIN($A46,30)+1)</f>
        <v/>
      </c>
      <c r="E46" s="19">
        <f>INDEX(Data_EPA_Miles!$C$5:$C$35,MIN($A46,30)+1)</f>
        <v/>
      </c>
      <c r="F46" s="34">
        <f>IF($A46&gt;=7,1,0)</f>
        <v/>
      </c>
      <c r="G46" s="34">
        <f>IF($A46&lt;=3,1,0)</f>
        <v/>
      </c>
      <c r="I46" s="19">
        <f>IF(2024-$A46&lt;1970,0,INDEX(Data_Sales!$B$5:$B$65,MATCH(2024-$A46,Data_Sales!$A$5:$A$65,0))*INDEX(Survival!$C$6:$T$51,$A46+1,MATCH(2024,Survival!$C$3:$T$3,0)))</f>
        <v/>
      </c>
      <c r="J46" s="19">
        <f>IF(2024-$A46&lt;1970,0,INDEX(Data_Sales!$C$5:$C$65,MATCH(2024-$A46,Data_Sales!$A$5:$A$65,0))*INDEX(Survival!$C$55:$T$100,$A46+1,MATCH(2024,Survival!$C$3:$T$3,0)))</f>
        <v/>
      </c>
      <c r="K46" s="27">
        <f>IF(I46+J46=0,D46,(D46*I46+E46*J46)/(I46+J46))</f>
        <v/>
      </c>
    </row>
    <row r="47">
      <c r="A47" s="9" t="n">
        <v>41</v>
      </c>
      <c r="B47" s="33">
        <f>IF($A47=0,Inputs!$B$9,1)*EXP(-Inputs!$B$11*MAX($A47-Inputs!$B$10,0))</f>
        <v/>
      </c>
      <c r="C47" s="33">
        <f>Inputs!$B$12+(Inputs!$B$13-Inputs!$B$12)/(1+EXP(-($A47-Inputs!$B$14)/Inputs!$B$15))</f>
        <v/>
      </c>
      <c r="D47" s="19">
        <f>INDEX(Data_EPA_Miles!$B$5:$B$35,MIN($A47,30)+1)</f>
        <v/>
      </c>
      <c r="E47" s="19">
        <f>INDEX(Data_EPA_Miles!$C$5:$C$35,MIN($A47,30)+1)</f>
        <v/>
      </c>
      <c r="F47" s="34">
        <f>IF($A47&gt;=7,1,0)</f>
        <v/>
      </c>
      <c r="G47" s="34">
        <f>IF($A47&lt;=3,1,0)</f>
        <v/>
      </c>
      <c r="I47" s="19">
        <f>IF(2024-$A47&lt;1970,0,INDEX(Data_Sales!$B$5:$B$65,MATCH(2024-$A47,Data_Sales!$A$5:$A$65,0))*INDEX(Survival!$C$6:$T$51,$A47+1,MATCH(2024,Survival!$C$3:$T$3,0)))</f>
        <v/>
      </c>
      <c r="J47" s="19">
        <f>IF(2024-$A47&lt;1970,0,INDEX(Data_Sales!$C$5:$C$65,MATCH(2024-$A47,Data_Sales!$A$5:$A$65,0))*INDEX(Survival!$C$55:$T$100,$A47+1,MATCH(2024,Survival!$C$3:$T$3,0)))</f>
        <v/>
      </c>
      <c r="K47" s="27">
        <f>IF(I47+J47=0,D47,(D47*I47+E47*J47)/(I47+J47))</f>
        <v/>
      </c>
    </row>
    <row r="48">
      <c r="A48" s="9" t="n">
        <v>42</v>
      </c>
      <c r="B48" s="33">
        <f>IF($A48=0,Inputs!$B$9,1)*EXP(-Inputs!$B$11*MAX($A48-Inputs!$B$10,0))</f>
        <v/>
      </c>
      <c r="C48" s="33">
        <f>Inputs!$B$12+(Inputs!$B$13-Inputs!$B$12)/(1+EXP(-($A48-Inputs!$B$14)/Inputs!$B$15))</f>
        <v/>
      </c>
      <c r="D48" s="19">
        <f>INDEX(Data_EPA_Miles!$B$5:$B$35,MIN($A48,30)+1)</f>
        <v/>
      </c>
      <c r="E48" s="19">
        <f>INDEX(Data_EPA_Miles!$C$5:$C$35,MIN($A48,30)+1)</f>
        <v/>
      </c>
      <c r="F48" s="34">
        <f>IF($A48&gt;=7,1,0)</f>
        <v/>
      </c>
      <c r="G48" s="34">
        <f>IF($A48&lt;=3,1,0)</f>
        <v/>
      </c>
      <c r="I48" s="19">
        <f>IF(2024-$A48&lt;1970,0,INDEX(Data_Sales!$B$5:$B$65,MATCH(2024-$A48,Data_Sales!$A$5:$A$65,0))*INDEX(Survival!$C$6:$T$51,$A48+1,MATCH(2024,Survival!$C$3:$T$3,0)))</f>
        <v/>
      </c>
      <c r="J48" s="19">
        <f>IF(2024-$A48&lt;1970,0,INDEX(Data_Sales!$C$5:$C$65,MATCH(2024-$A48,Data_Sales!$A$5:$A$65,0))*INDEX(Survival!$C$55:$T$100,$A48+1,MATCH(2024,Survival!$C$3:$T$3,0)))</f>
        <v/>
      </c>
      <c r="K48" s="27">
        <f>IF(I48+J48=0,D48,(D48*I48+E48*J48)/(I48+J48))</f>
        <v/>
      </c>
    </row>
    <row r="49">
      <c r="A49" s="9" t="n">
        <v>43</v>
      </c>
      <c r="B49" s="33">
        <f>IF($A49=0,Inputs!$B$9,1)*EXP(-Inputs!$B$11*MAX($A49-Inputs!$B$10,0))</f>
        <v/>
      </c>
      <c r="C49" s="33">
        <f>Inputs!$B$12+(Inputs!$B$13-Inputs!$B$12)/(1+EXP(-($A49-Inputs!$B$14)/Inputs!$B$15))</f>
        <v/>
      </c>
      <c r="D49" s="19">
        <f>INDEX(Data_EPA_Miles!$B$5:$B$35,MIN($A49,30)+1)</f>
        <v/>
      </c>
      <c r="E49" s="19">
        <f>INDEX(Data_EPA_Miles!$C$5:$C$35,MIN($A49,30)+1)</f>
        <v/>
      </c>
      <c r="F49" s="34">
        <f>IF($A49&gt;=7,1,0)</f>
        <v/>
      </c>
      <c r="G49" s="34">
        <f>IF($A49&lt;=3,1,0)</f>
        <v/>
      </c>
      <c r="I49" s="19">
        <f>IF(2024-$A49&lt;1970,0,INDEX(Data_Sales!$B$5:$B$65,MATCH(2024-$A49,Data_Sales!$A$5:$A$65,0))*INDEX(Survival!$C$6:$T$51,$A49+1,MATCH(2024,Survival!$C$3:$T$3,0)))</f>
        <v/>
      </c>
      <c r="J49" s="19">
        <f>IF(2024-$A49&lt;1970,0,INDEX(Data_Sales!$C$5:$C$65,MATCH(2024-$A49,Data_Sales!$A$5:$A$65,0))*INDEX(Survival!$C$55:$T$100,$A49+1,MATCH(2024,Survival!$C$3:$T$3,0)))</f>
        <v/>
      </c>
      <c r="K49" s="27">
        <f>IF(I49+J49=0,D49,(D49*I49+E49*J49)/(I49+J49))</f>
        <v/>
      </c>
    </row>
    <row r="50">
      <c r="A50" s="9" t="n">
        <v>44</v>
      </c>
      <c r="B50" s="33">
        <f>IF($A50=0,Inputs!$B$9,1)*EXP(-Inputs!$B$11*MAX($A50-Inputs!$B$10,0))</f>
        <v/>
      </c>
      <c r="C50" s="33">
        <f>Inputs!$B$12+(Inputs!$B$13-Inputs!$B$12)/(1+EXP(-($A50-Inputs!$B$14)/Inputs!$B$15))</f>
        <v/>
      </c>
      <c r="D50" s="19">
        <f>INDEX(Data_EPA_Miles!$B$5:$B$35,MIN($A50,30)+1)</f>
        <v/>
      </c>
      <c r="E50" s="19">
        <f>INDEX(Data_EPA_Miles!$C$5:$C$35,MIN($A50,30)+1)</f>
        <v/>
      </c>
      <c r="F50" s="34">
        <f>IF($A50&gt;=7,1,0)</f>
        <v/>
      </c>
      <c r="G50" s="34">
        <f>IF($A50&lt;=3,1,0)</f>
        <v/>
      </c>
      <c r="I50" s="19">
        <f>IF(2024-$A50&lt;1970,0,INDEX(Data_Sales!$B$5:$B$65,MATCH(2024-$A50,Data_Sales!$A$5:$A$65,0))*INDEX(Survival!$C$6:$T$51,$A50+1,MATCH(2024,Survival!$C$3:$T$3,0)))</f>
        <v/>
      </c>
      <c r="J50" s="19">
        <f>IF(2024-$A50&lt;1970,0,INDEX(Data_Sales!$C$5:$C$65,MATCH(2024-$A50,Data_Sales!$A$5:$A$65,0))*INDEX(Survival!$C$55:$T$100,$A50+1,MATCH(2024,Survival!$C$3:$T$3,0)))</f>
        <v/>
      </c>
      <c r="K50" s="27">
        <f>IF(I50+J50=0,D50,(D50*I50+E50*J50)/(I50+J50))</f>
        <v/>
      </c>
    </row>
    <row r="51">
      <c r="A51" s="9" t="n">
        <v>45</v>
      </c>
      <c r="B51" s="33">
        <f>IF($A51=0,Inputs!$B$9,1)*EXP(-Inputs!$B$11*MAX($A51-Inputs!$B$10,0))</f>
        <v/>
      </c>
      <c r="C51" s="33">
        <f>Inputs!$B$12+(Inputs!$B$13-Inputs!$B$12)/(1+EXP(-($A51-Inputs!$B$14)/Inputs!$B$15))</f>
        <v/>
      </c>
      <c r="D51" s="19">
        <f>INDEX(Data_EPA_Miles!$B$5:$B$35,MIN($A51,30)+1)</f>
        <v/>
      </c>
      <c r="E51" s="19">
        <f>INDEX(Data_EPA_Miles!$C$5:$C$35,MIN($A51,30)+1)</f>
        <v/>
      </c>
      <c r="F51" s="34">
        <f>IF($A51&gt;=7,1,0)</f>
        <v/>
      </c>
      <c r="G51" s="34">
        <f>IF($A51&lt;=3,1,0)</f>
        <v/>
      </c>
      <c r="I51" s="19">
        <f>IF(2024-$A51&lt;1970,0,INDEX(Data_Sales!$B$5:$B$65,MATCH(2024-$A51,Data_Sales!$A$5:$A$65,0))*INDEX(Survival!$C$6:$T$51,$A51+1,MATCH(2024,Survival!$C$3:$T$3,0)))</f>
        <v/>
      </c>
      <c r="J51" s="19">
        <f>IF(2024-$A51&lt;1970,0,INDEX(Data_Sales!$C$5:$C$65,MATCH(2024-$A51,Data_Sales!$A$5:$A$65,0))*INDEX(Survival!$C$55:$T$100,$A51+1,MATCH(2024,Survival!$C$3:$T$3,0)))</f>
        <v/>
      </c>
      <c r="K51" s="27">
        <f>IF(I51+J51=0,D51,(D51*I51+E51*J51)/(I51+J51))</f>
        <v/>
      </c>
    </row>
    <row r="53">
      <c r="A53" s="3" t="inlineStr">
        <is>
          <t>R decomposition, 7+ vs 0–6 (2024 fleet weights)</t>
        </is>
      </c>
    </row>
    <row r="54">
      <c r="A54" s="5" t="inlineStr">
        <is>
          <t>Fleet-weighted miles ratio 7+ / 0–6</t>
        </is>
      </c>
      <c r="B54" s="26">
        <f>(SUMPRODUCT($K$6:$K$51,$F$6:$F$51,FleetByAge!N$6:N$51)/SUMPRODUCT($F$6:$F$51,FleetByAge!N$6:N$51))/(SUMPRODUCT($K$6:$K$51,1-$F$6:$F$51,FleetByAge!N$6:N$51)/SUMPRODUCT(1-$F$6:$F$51,FleetByAge!N$6:N$51))</f>
        <v/>
      </c>
      <c r="C54" s="2" t="inlineStr">
        <is>
          <t>EPA T3.14 miles × 2024 fleet (≈0.65)</t>
        </is>
      </c>
    </row>
    <row r="55">
      <c r="A55" s="5" t="inlineStr">
        <is>
          <t>Fitted R ratio 7+ / 0–6 (claims per vehicle)</t>
        </is>
      </c>
      <c r="B55" s="26">
        <f>(SUMPRODUCT($B$6:$B$51,$F$6:$F$51,FleetByAge!N$6:N$51)/SUMPRODUCT($F$6:$F$51,FleetByAge!N$6:N$51))/(SUMPRODUCT($B$6:$B$51,1-$F$6:$F$51,FleetByAge!N$6:N$51)/SUMPRODUCT(1-$F$6:$F$51,FleetByAge!N$6:N$51))</f>
        <v/>
      </c>
      <c r="C55" s="2" t="inlineStr">
        <is>
          <t>claims per vehicle, 7+ vs 0–6 (≈0.56)</t>
        </is>
      </c>
    </row>
    <row r="56">
      <c r="A56" s="5" t="inlineStr">
        <is>
          <t>Residual = coverage / filing</t>
        </is>
      </c>
      <c r="B56" s="26">
        <f>B55/B54</f>
        <v/>
      </c>
      <c r="C56" s="2" t="inlineStr">
        <is>
          <t>liability-only, higher deductibles, unfiled small claims on older cars (≈0.87)</t>
        </is>
      </c>
    </row>
  </sheetData>
  <mergeCells count="1">
    <mergeCell ref="A2:K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8"/>
  <sheetViews>
    <sheetView workbookViewId="0">
      <pane ySplit="12" topLeftCell="A13" activePane="bottomLeft" state="frozen"/>
      <selection pane="bottomLeft" activeCell="A1" sqref="A1"/>
    </sheetView>
  </sheetViews>
  <sheetFormatPr baseColWidth="8" defaultRowHeight="15"/>
  <cols>
    <col width="8" customWidth="1" min="1" max="1"/>
    <col width="12" customWidth="1" min="2" max="2"/>
    <col width="22" customWidth="1" min="3" max="3"/>
    <col width="9" customWidth="1" min="4" max="4"/>
    <col width="14" customWidth="1" min="5" max="5"/>
    <col width="16" customWidth="1" min="6" max="6"/>
    <col width="16" customWidth="1" min="7" max="7"/>
    <col width="3" customWidth="1" min="8" max="8"/>
    <col width="8" customWidth="1" min="9" max="9"/>
    <col width="34" customWidth="1" min="10" max="10"/>
    <col width="10" customWidth="1" min="11" max="11"/>
    <col width="11" customWidth="1" min="12" max="12"/>
    <col width="10" customWidth="1" min="13" max="13"/>
    <col width="13" customWidth="1" min="14" max="14"/>
    <col width="90" customWidth="1" min="15" max="15"/>
  </cols>
  <sheetData>
    <row r="1">
      <c r="A1" s="1" t="inlineStr">
        <is>
          <t>Calibration — fit R(a) and P(a) to CCC 2024 with Solver</t>
        </is>
      </c>
    </row>
    <row r="2" ht="30" customHeight="1">
      <c r="A2" s="6" t="inlineStr">
        <is>
          <t>Working parameters B4:B8 (yellow) are what Solver changes. They start at the fitted values. After a run, copy B4:B8 → Inputs!B11:B15 so the model does not depend on Solver being re-run.</t>
        </is>
      </c>
    </row>
    <row r="3">
      <c r="A3" s="7" t="inlineStr">
        <is>
          <t>Working parameter</t>
        </is>
      </c>
      <c r="B3" s="7" t="inlineStr">
        <is>
          <t>Value</t>
        </is>
      </c>
      <c r="C3" s="7" t="inlineStr">
        <is>
          <t>Bounds for Solver</t>
        </is>
      </c>
    </row>
    <row r="4">
      <c r="A4" s="5" t="inlineStr">
        <is>
          <t>R slope after kink</t>
        </is>
      </c>
      <c r="B4" s="11" t="n">
        <v>0.09027</v>
      </c>
      <c r="C4" s="2" t="inlineStr">
        <is>
          <t>0 to 0.5</t>
        </is>
      </c>
    </row>
    <row r="5">
      <c r="A5" s="5" t="inlineStr">
        <is>
          <t>P floor (pmin)</t>
        </is>
      </c>
      <c r="B5" s="8" t="n">
        <v>0.0483</v>
      </c>
      <c r="C5" s="2" t="inlineStr">
        <is>
          <t>0.01 to 0.3</t>
        </is>
      </c>
    </row>
    <row r="6">
      <c r="A6" s="5" t="inlineStr">
        <is>
          <t>P ceiling (pmax)</t>
        </is>
      </c>
      <c r="B6" s="8" t="n">
        <v>0.4804</v>
      </c>
      <c r="C6" s="2" t="inlineStr">
        <is>
          <t>0.3 to 0.95, and ≥ B5</t>
        </is>
      </c>
    </row>
    <row r="7">
      <c r="A7" s="5" t="inlineStr">
        <is>
          <t>P midpoint age</t>
        </is>
      </c>
      <c r="B7" s="12" t="n">
        <v>9.215999999999999</v>
      </c>
      <c r="C7" s="2" t="inlineStr">
        <is>
          <t>0 to 30</t>
        </is>
      </c>
    </row>
    <row r="8">
      <c r="A8" s="5" t="inlineStr">
        <is>
          <t>P width</t>
        </is>
      </c>
      <c r="B8" s="12" t="n">
        <v>3.726</v>
      </c>
      <c r="C8" s="2" t="inlineStr">
        <is>
          <t>0.3 to 12</t>
        </is>
      </c>
    </row>
    <row r="9">
      <c r="A9" s="5" t="inlineStr">
        <is>
          <t>Exposure age 0 (from Inputs)</t>
        </is>
      </c>
      <c r="B9" s="35">
        <f>Inputs!$B$9</f>
        <v/>
      </c>
    </row>
    <row r="10">
      <c r="A10" s="5" t="inlineStr">
        <is>
          <t>R kink age (from Inputs)</t>
        </is>
      </c>
      <c r="B10" s="36">
        <f>Inputs!$B$10</f>
        <v/>
      </c>
    </row>
    <row r="12" ht="30" customHeight="1">
      <c r="A12" s="18" t="inlineStr">
        <is>
          <t>age</t>
        </is>
      </c>
      <c r="B12" s="18" t="inlineStr">
        <is>
          <t>fleet 2024 (thousands)</t>
        </is>
      </c>
      <c r="C12" s="18" t="inlineStr">
        <is>
          <t>R(a)</t>
        </is>
      </c>
      <c r="D12" s="18" t="inlineStr">
        <is>
          <t>P(a)</t>
        </is>
      </c>
      <c r="E12" s="18" t="inlineStr">
        <is>
          <t>claims = fleet×R</t>
        </is>
      </c>
      <c r="F12" s="18" t="inlineStr">
        <is>
          <t>total losses = claims×P</t>
        </is>
      </c>
      <c r="G12" s="18" t="inlineStr">
        <is>
          <t>repairables = claims−TL</t>
        </is>
      </c>
      <c r="I12" s="7" t="inlineStr">
        <is>
          <t>key</t>
        </is>
      </c>
      <c r="J12" s="7" t="inlineStr">
        <is>
          <t>statistic (2024)</t>
        </is>
      </c>
      <c r="K12" s="7" t="inlineStr">
        <is>
          <t>model</t>
        </is>
      </c>
      <c r="L12" s="7" t="inlineStr">
        <is>
          <t>CCC target</t>
        </is>
      </c>
      <c r="M12" s="7" t="inlineStr">
        <is>
          <t>tolerance</t>
        </is>
      </c>
      <c r="N12" s="7" t="inlineStr">
        <is>
          <t>scaled sq. error</t>
        </is>
      </c>
      <c r="O12" s="7" t="inlineStr">
        <is>
          <t>source quote</t>
        </is>
      </c>
    </row>
    <row r="13">
      <c r="A13" s="9" t="n">
        <v>0</v>
      </c>
      <c r="B13" s="19">
        <f>INDEX(FleetByAge!$C$6:$T$51,MATCH($A13,FleetByAge!$A$6:$A$51,0),MATCH(2024,FleetByAge!$C$4:$T$4,0))</f>
        <v/>
      </c>
      <c r="C13" s="26">
        <f>IF($A13=0,$B$9,1)*EXP(-$B$4*MAX($A13-$B$10,0))</f>
        <v/>
      </c>
      <c r="D13" s="26">
        <f>$B$5+($B$6-$B$5)/(1+EXP(-($A13-$B$7)/$B$8))</f>
        <v/>
      </c>
      <c r="E13" s="27">
        <f>B13*C13</f>
        <v/>
      </c>
      <c r="F13" s="27">
        <f>E13*D13</f>
        <v/>
      </c>
      <c r="G13" s="27">
        <f>E13-F13</f>
        <v/>
      </c>
      <c r="I13" s="5" t="inlineStr">
        <is>
          <t>tlf</t>
        </is>
      </c>
      <c r="J13" s="5" t="inlineStr">
        <is>
          <t>Total-loss frequency</t>
        </is>
      </c>
      <c r="K13" s="31">
        <f>SUM($F$13:$F$58)/SUM($E$13:$E$58)</f>
        <v/>
      </c>
      <c r="L13" s="37">
        <f>Data_CCC_Targets!$E$5</f>
        <v/>
      </c>
      <c r="M13" s="38">
        <f>Data_CCC_Targets!$F$5</f>
        <v/>
      </c>
      <c r="N13" s="26">
        <f>((K13-L13)/M13)^2</f>
        <v/>
      </c>
      <c r="O13" s="39">
        <f>Data_CCC_Targets!$G$5</f>
        <v/>
      </c>
    </row>
    <row r="14">
      <c r="A14" s="9" t="n">
        <v>1</v>
      </c>
      <c r="B14" s="19">
        <f>INDEX(FleetByAge!$C$6:$T$51,MATCH($A14,FleetByAge!$A$6:$A$51,0),MATCH(2024,FleetByAge!$C$4:$T$4,0))</f>
        <v/>
      </c>
      <c r="C14" s="26">
        <f>IF($A14=0,$B$9,1)*EXP(-$B$4*MAX($A14-$B$10,0))</f>
        <v/>
      </c>
      <c r="D14" s="26">
        <f>$B$5+($B$6-$B$5)/(1+EXP(-($A14-$B$7)/$B$8))</f>
        <v/>
      </c>
      <c r="E14" s="27">
        <f>B14*C14</f>
        <v/>
      </c>
      <c r="F14" s="27">
        <f>E14*D14</f>
        <v/>
      </c>
      <c r="G14" s="27">
        <f>E14-F14</f>
        <v/>
      </c>
      <c r="I14" s="5" t="inlineStr">
        <is>
          <t>tl7</t>
        </is>
      </c>
      <c r="J14" s="5" t="inlineStr">
        <is>
          <t>Total losses from vehicles 7+</t>
        </is>
      </c>
      <c r="K14" s="31">
        <f>SUMIF($A$13:$A$58,"&gt;=7",$F$13:$F$58)/SUM($F$13:$F$58)</f>
        <v/>
      </c>
      <c r="L14" s="37">
        <f>Data_CCC_Targets!$E$6</f>
        <v/>
      </c>
      <c r="M14" s="38">
        <f>Data_CCC_Targets!$F$6</f>
        <v/>
      </c>
      <c r="N14" s="26">
        <f>((K14-L14)/M14)^2</f>
        <v/>
      </c>
      <c r="O14" s="39">
        <f>Data_CCC_Targets!$G$6</f>
        <v/>
      </c>
    </row>
    <row r="15">
      <c r="A15" s="9" t="n">
        <v>2</v>
      </c>
      <c r="B15" s="19">
        <f>INDEX(FleetByAge!$C$6:$T$51,MATCH($A15,FleetByAge!$A$6:$A$51,0),MATCH(2024,FleetByAge!$C$4:$T$4,0))</f>
        <v/>
      </c>
      <c r="C15" s="26">
        <f>IF($A15=0,$B$9,1)*EXP(-$B$4*MAX($A15-$B$10,0))</f>
        <v/>
      </c>
      <c r="D15" s="26">
        <f>$B$5+($B$6-$B$5)/(1+EXP(-($A15-$B$7)/$B$8))</f>
        <v/>
      </c>
      <c r="E15" s="27">
        <f>B15*C15</f>
        <v/>
      </c>
      <c r="F15" s="27">
        <f>E15*D15</f>
        <v/>
      </c>
      <c r="G15" s="27">
        <f>E15-F15</f>
        <v/>
      </c>
      <c r="I15" s="5" t="inlineStr">
        <is>
          <t>rp7</t>
        </is>
      </c>
      <c r="J15" s="5" t="inlineStr">
        <is>
          <t>Repairables from vehicles 7+</t>
        </is>
      </c>
      <c r="K15" s="31">
        <f>SUMIF($A$13:$A$58,"&gt;=7",$G$13:$G$58)/SUM($G$13:$G$58)</f>
        <v/>
      </c>
      <c r="L15" s="37">
        <f>Data_CCC_Targets!$E$7</f>
        <v/>
      </c>
      <c r="M15" s="38">
        <f>Data_CCC_Targets!$F$7</f>
        <v/>
      </c>
      <c r="N15" s="26">
        <f>((K15-L15)/M15)^2</f>
        <v/>
      </c>
      <c r="O15" s="39">
        <f>Data_CCC_Targets!$G$7</f>
        <v/>
      </c>
    </row>
    <row r="16">
      <c r="A16" s="9" t="n">
        <v>3</v>
      </c>
      <c r="B16" s="19">
        <f>INDEX(FleetByAge!$C$6:$T$51,MATCH($A16,FleetByAge!$A$6:$A$51,0),MATCH(2024,FleetByAge!$C$4:$T$4,0))</f>
        <v/>
      </c>
      <c r="C16" s="26">
        <f>IF($A16=0,$B$9,1)*EXP(-$B$4*MAX($A16-$B$10,0))</f>
        <v/>
      </c>
      <c r="D16" s="26">
        <f>$B$5+($B$6-$B$5)/(1+EXP(-($A16-$B$7)/$B$8))</f>
        <v/>
      </c>
      <c r="E16" s="27">
        <f>B16*C16</f>
        <v/>
      </c>
      <c r="F16" s="27">
        <f>E16*D16</f>
        <v/>
      </c>
      <c r="G16" s="27">
        <f>E16-F16</f>
        <v/>
      </c>
      <c r="I16" s="5" t="inlineStr">
        <is>
          <t>rp3</t>
        </is>
      </c>
      <c r="J16" s="5" t="inlineStr">
        <is>
          <t>Repairables from vehicles ≤3</t>
        </is>
      </c>
      <c r="K16" s="31">
        <f>SUMIF($A$13:$A$58,"&lt;=3",$G$13:$G$58)/SUM($G$13:$G$58)</f>
        <v/>
      </c>
      <c r="L16" s="37">
        <f>Data_CCC_Targets!$E$8</f>
        <v/>
      </c>
      <c r="M16" s="38">
        <f>Data_CCC_Targets!$F$8</f>
        <v/>
      </c>
      <c r="N16" s="26">
        <f>((K16-L16)/M16)^2</f>
        <v/>
      </c>
      <c r="O16" s="39">
        <f>Data_CCC_Targets!$G$8</f>
        <v/>
      </c>
    </row>
    <row r="17">
      <c r="A17" s="9" t="n">
        <v>4</v>
      </c>
      <c r="B17" s="19">
        <f>INDEX(FleetByAge!$C$6:$T$51,MATCH($A17,FleetByAge!$A$6:$A$51,0),MATCH(2024,FleetByAge!$C$4:$T$4,0))</f>
        <v/>
      </c>
      <c r="C17" s="26">
        <f>IF($A17=0,$B$9,1)*EXP(-$B$4*MAX($A17-$B$10,0))</f>
        <v/>
      </c>
      <c r="D17" s="26">
        <f>$B$5+($B$6-$B$5)/(1+EXP(-($A17-$B$7)/$B$8))</f>
        <v/>
      </c>
      <c r="E17" s="27">
        <f>B17*C17</f>
        <v/>
      </c>
      <c r="F17" s="27">
        <f>E17*D17</f>
        <v/>
      </c>
      <c r="G17" s="27">
        <f>E17-F17</f>
        <v/>
      </c>
      <c r="I17" s="5" t="inlineStr">
        <is>
          <t>age_cl</t>
        </is>
      </c>
      <c r="J17" s="5" t="inlineStr">
        <is>
          <t>Average age, claim vehicles</t>
        </is>
      </c>
      <c r="K17" s="40">
        <f>SUMPRODUCT($A$13:$A$58,$E$13:$E$58)/SUM($E$13:$E$58)</f>
        <v/>
      </c>
      <c r="L17" s="35">
        <f>Data_CCC_Targets!$E$9</f>
        <v/>
      </c>
      <c r="M17" s="35">
        <f>Data_CCC_Targets!$F$9</f>
        <v/>
      </c>
      <c r="N17" s="26">
        <f>((K17-L17)/M17)^2</f>
        <v/>
      </c>
      <c r="O17" s="39">
        <f>Data_CCC_Targets!$G$9</f>
        <v/>
      </c>
    </row>
    <row r="18">
      <c r="A18" s="9" t="n">
        <v>5</v>
      </c>
      <c r="B18" s="19">
        <f>INDEX(FleetByAge!$C$6:$T$51,MATCH($A18,FleetByAge!$A$6:$A$51,0),MATCH(2024,FleetByAge!$C$4:$T$4,0))</f>
        <v/>
      </c>
      <c r="C18" s="26">
        <f>IF($A18=0,$B$9,1)*EXP(-$B$4*MAX($A18-$B$10,0))</f>
        <v/>
      </c>
      <c r="D18" s="26">
        <f>$B$5+($B$6-$B$5)/(1+EXP(-($A18-$B$7)/$B$8))</f>
        <v/>
      </c>
      <c r="E18" s="27">
        <f>B18*C18</f>
        <v/>
      </c>
      <c r="F18" s="27">
        <f>E18*D18</f>
        <v/>
      </c>
      <c r="G18" s="27">
        <f>E18-F18</f>
        <v/>
      </c>
      <c r="I18" s="5" t="inlineStr">
        <is>
          <t>age_rp</t>
        </is>
      </c>
      <c r="J18" s="5" t="inlineStr">
        <is>
          <t>Average age, repairables</t>
        </is>
      </c>
      <c r="K18" s="40">
        <f>SUMPRODUCT($A$13:$A$58,$G$13:$G$58)/SUM($G$13:$G$58)</f>
        <v/>
      </c>
      <c r="L18" s="35">
        <f>Data_CCC_Targets!$E$10</f>
        <v/>
      </c>
      <c r="M18" s="35">
        <f>Data_CCC_Targets!$F$10</f>
        <v/>
      </c>
      <c r="N18" s="26">
        <f>((K18-L18)/M18)^2</f>
        <v/>
      </c>
      <c r="O18" s="39">
        <f>Data_CCC_Targets!$G$10</f>
        <v/>
      </c>
    </row>
    <row r="19">
      <c r="A19" s="9" t="n">
        <v>6</v>
      </c>
      <c r="B19" s="19">
        <f>INDEX(FleetByAge!$C$6:$T$51,MATCH($A19,FleetByAge!$A$6:$A$51,0),MATCH(2024,FleetByAge!$C$4:$T$4,0))</f>
        <v/>
      </c>
      <c r="C19" s="26">
        <f>IF($A19=0,$B$9,1)*EXP(-$B$4*MAX($A19-$B$10,0))</f>
        <v/>
      </c>
      <c r="D19" s="26">
        <f>$B$5+($B$6-$B$5)/(1+EXP(-($A19-$B$7)/$B$8))</f>
        <v/>
      </c>
      <c r="E19" s="27">
        <f>B19*C19</f>
        <v/>
      </c>
      <c r="F19" s="27">
        <f>E19*D19</f>
        <v/>
      </c>
      <c r="G19" s="27">
        <f>E19-F19</f>
        <v/>
      </c>
      <c r="I19" s="5" t="inlineStr">
        <is>
          <t>age_tl</t>
        </is>
      </c>
      <c r="J19" s="5" t="inlineStr">
        <is>
          <t>Average age, total losses</t>
        </is>
      </c>
      <c r="K19" s="40">
        <f>SUMPRODUCT($A$13:$A$58,$F$13:$F$58)/SUM($F$13:$F$58)</f>
        <v/>
      </c>
      <c r="L19" s="35">
        <f>Data_CCC_Targets!$E$11</f>
        <v/>
      </c>
      <c r="M19" s="35">
        <f>Data_CCC_Targets!$F$11</f>
        <v/>
      </c>
      <c r="N19" s="26">
        <f>((K19-L19)/M19)^2</f>
        <v/>
      </c>
      <c r="O19" s="39">
        <f>Data_CCC_Targets!$G$11</f>
        <v/>
      </c>
    </row>
    <row r="20">
      <c r="A20" s="9" t="n">
        <v>7</v>
      </c>
      <c r="B20" s="19">
        <f>INDEX(FleetByAge!$C$6:$T$51,MATCH($A20,FleetByAge!$A$6:$A$51,0),MATCH(2024,FleetByAge!$C$4:$T$4,0))</f>
        <v/>
      </c>
      <c r="C20" s="26">
        <f>IF($A20=0,$B$9,1)*EXP(-$B$4*MAX($A20-$B$10,0))</f>
        <v/>
      </c>
      <c r="D20" s="26">
        <f>$B$5+($B$6-$B$5)/(1+EXP(-($A20-$B$7)/$B$8))</f>
        <v/>
      </c>
      <c r="E20" s="27">
        <f>B20*C20</f>
        <v/>
      </c>
      <c r="F20" s="27">
        <f>E20*D20</f>
        <v/>
      </c>
      <c r="G20" s="27">
        <f>E20-F20</f>
        <v/>
      </c>
      <c r="I20" s="5" t="inlineStr">
        <is>
          <t>p03</t>
        </is>
      </c>
      <c r="J20" s="5" t="inlineStr">
        <is>
          <t>Total-loss rate, vehicles ≤3</t>
        </is>
      </c>
      <c r="K20" s="31">
        <f>SUMIF($A$13:$A$58,"&lt;=3",$F$13:$F$58)/SUMIF($A$13:$A$58,"&lt;=3",$E$13:$E$58)</f>
        <v/>
      </c>
      <c r="L20" s="37">
        <f>Data_CCC_Targets!$E$12</f>
        <v/>
      </c>
      <c r="M20" s="38">
        <f>Data_CCC_Targets!$F$12</f>
        <v/>
      </c>
      <c r="N20" s="26">
        <f>((K20-L20)/M20)^2</f>
        <v/>
      </c>
      <c r="O20" s="39">
        <f>Data_CCC_Targets!$G$12</f>
        <v/>
      </c>
    </row>
    <row r="21">
      <c r="A21" s="9" t="n">
        <v>8</v>
      </c>
      <c r="B21" s="19">
        <f>INDEX(FleetByAge!$C$6:$T$51,MATCH($A21,FleetByAge!$A$6:$A$51,0),MATCH(2024,FleetByAge!$C$4:$T$4,0))</f>
        <v/>
      </c>
      <c r="C21" s="26">
        <f>IF($A21=0,$B$9,1)*EXP(-$B$4*MAX($A21-$B$10,0))</f>
        <v/>
      </c>
      <c r="D21" s="26">
        <f>$B$5+($B$6-$B$5)/(1+EXP(-($A21-$B$7)/$B$8))</f>
        <v/>
      </c>
      <c r="E21" s="27">
        <f>B21*C21</f>
        <v/>
      </c>
      <c r="F21" s="27">
        <f>E21*D21</f>
        <v/>
      </c>
      <c r="G21" s="27">
        <f>E21-F21</f>
        <v/>
      </c>
    </row>
    <row r="22">
      <c r="A22" s="9" t="n">
        <v>9</v>
      </c>
      <c r="B22" s="19">
        <f>INDEX(FleetByAge!$C$6:$T$51,MATCH($A22,FleetByAge!$A$6:$A$51,0),MATCH(2024,FleetByAge!$C$4:$T$4,0))</f>
        <v/>
      </c>
      <c r="C22" s="26">
        <f>IF($A22=0,$B$9,1)*EXP(-$B$4*MAX($A22-$B$10,0))</f>
        <v/>
      </c>
      <c r="D22" s="26">
        <f>$B$5+($B$6-$B$5)/(1+EXP(-($A22-$B$7)/$B$8))</f>
        <v/>
      </c>
      <c r="E22" s="27">
        <f>B22*C22</f>
        <v/>
      </c>
      <c r="F22" s="27">
        <f>E22*D22</f>
        <v/>
      </c>
      <c r="G22" s="27">
        <f>E22-F22</f>
        <v/>
      </c>
      <c r="J22" s="3" t="inlineStr">
        <is>
          <t>LOSS (Solver objective → minimise)</t>
        </is>
      </c>
      <c r="N22" s="41">
        <f>SUM(N13:N20)</f>
        <v/>
      </c>
    </row>
    <row r="23">
      <c r="A23" s="9" t="n">
        <v>10</v>
      </c>
      <c r="B23" s="19">
        <f>INDEX(FleetByAge!$C$6:$T$51,MATCH($A23,FleetByAge!$A$6:$A$51,0),MATCH(2024,FleetByAge!$C$4:$T$4,0))</f>
        <v/>
      </c>
      <c r="C23" s="26">
        <f>IF($A23=0,$B$9,1)*EXP(-$B$4*MAX($A23-$B$10,0))</f>
        <v/>
      </c>
      <c r="D23" s="26">
        <f>$B$5+($B$6-$B$5)/(1+EXP(-($A23-$B$7)/$B$8))</f>
        <v/>
      </c>
      <c r="E23" s="27">
        <f>B23*C23</f>
        <v/>
      </c>
      <c r="F23" s="27">
        <f>E23*D23</f>
        <v/>
      </c>
      <c r="G23" s="27">
        <f>E23-F23</f>
        <v/>
      </c>
      <c r="J23" s="2" t="inlineStr">
        <is>
          <t>Reference: the Python fit (scripts/age_curves.py) lands at ~1.0. One unit = one statistic off by exactly its tolerance.</t>
        </is>
      </c>
    </row>
    <row r="24">
      <c r="A24" s="9" t="n">
        <v>11</v>
      </c>
      <c r="B24" s="19">
        <f>INDEX(FleetByAge!$C$6:$T$51,MATCH($A24,FleetByAge!$A$6:$A$51,0),MATCH(2024,FleetByAge!$C$4:$T$4,0))</f>
        <v/>
      </c>
      <c r="C24" s="26">
        <f>IF($A24=0,$B$9,1)*EXP(-$B$4*MAX($A24-$B$10,0))</f>
        <v/>
      </c>
      <c r="D24" s="26">
        <f>$B$5+($B$6-$B$5)/(1+EXP(-($A24-$B$7)/$B$8))</f>
        <v/>
      </c>
      <c r="E24" s="27">
        <f>B24*C24</f>
        <v/>
      </c>
      <c r="F24" s="27">
        <f>E24*D24</f>
        <v/>
      </c>
      <c r="G24" s="27">
        <f>E24-F24</f>
        <v/>
      </c>
    </row>
    <row r="25">
      <c r="A25" s="9" t="n">
        <v>12</v>
      </c>
      <c r="B25" s="19">
        <f>INDEX(FleetByAge!$C$6:$T$51,MATCH($A25,FleetByAge!$A$6:$A$51,0),MATCH(2024,FleetByAge!$C$4:$T$4,0))</f>
        <v/>
      </c>
      <c r="C25" s="26">
        <f>IF($A25=0,$B$9,1)*EXP(-$B$4*MAX($A25-$B$10,0))</f>
        <v/>
      </c>
      <c r="D25" s="26">
        <f>$B$5+($B$6-$B$5)/(1+EXP(-($A25-$B$7)/$B$8))</f>
        <v/>
      </c>
      <c r="E25" s="27">
        <f>B25*C25</f>
        <v/>
      </c>
      <c r="F25" s="27">
        <f>E25*D25</f>
        <v/>
      </c>
      <c r="G25" s="27">
        <f>E25-F25</f>
        <v/>
      </c>
      <c r="I25" s="3" t="inlineStr">
        <is>
          <t>SOLVER SET-UP (Excel → Data → Solver; on Mac enable once via Tools → Excel Add-ins → Solver):</t>
        </is>
      </c>
    </row>
    <row r="26">
      <c r="A26" s="9" t="n">
        <v>13</v>
      </c>
      <c r="B26" s="19">
        <f>INDEX(FleetByAge!$C$6:$T$51,MATCH($A26,FleetByAge!$A$6:$A$51,0),MATCH(2024,FleetByAge!$C$4:$T$4,0))</f>
        <v/>
      </c>
      <c r="C26" s="26">
        <f>IF($A26=0,$B$9,1)*EXP(-$B$4*MAX($A26-$B$10,0))</f>
        <v/>
      </c>
      <c r="D26" s="26">
        <f>$B$5+($B$6-$B$5)/(1+EXP(-($A26-$B$7)/$B$8))</f>
        <v/>
      </c>
      <c r="E26" s="27">
        <f>B26*C26</f>
        <v/>
      </c>
      <c r="F26" s="27">
        <f>E26*D26</f>
        <v/>
      </c>
      <c r="G26" s="27">
        <f>E26-F26</f>
        <v/>
      </c>
      <c r="I26" s="5" t="inlineStr">
        <is>
          <t>1. Set Objective: $N$22, To: Min.</t>
        </is>
      </c>
    </row>
    <row r="27">
      <c r="A27" s="9" t="n">
        <v>14</v>
      </c>
      <c r="B27" s="19">
        <f>INDEX(FleetByAge!$C$6:$T$51,MATCH($A27,FleetByAge!$A$6:$A$51,0),MATCH(2024,FleetByAge!$C$4:$T$4,0))</f>
        <v/>
      </c>
      <c r="C27" s="26">
        <f>IF($A27=0,$B$9,1)*EXP(-$B$4*MAX($A27-$B$10,0))</f>
        <v/>
      </c>
      <c r="D27" s="26">
        <f>$B$5+($B$6-$B$5)/(1+EXP(-($A27-$B$7)/$B$8))</f>
        <v/>
      </c>
      <c r="E27" s="27">
        <f>B27*C27</f>
        <v/>
      </c>
      <c r="F27" s="27">
        <f>E27*D27</f>
        <v/>
      </c>
      <c r="G27" s="27">
        <f>E27-F27</f>
        <v/>
      </c>
      <c r="I27" s="5" t="inlineStr">
        <is>
          <t>2. By Changing Variable Cells: $B$4:$B$8.</t>
        </is>
      </c>
    </row>
    <row r="28">
      <c r="A28" s="9" t="n">
        <v>15</v>
      </c>
      <c r="B28" s="19">
        <f>INDEX(FleetByAge!$C$6:$T$51,MATCH($A28,FleetByAge!$A$6:$A$51,0),MATCH(2024,FleetByAge!$C$4:$T$4,0))</f>
        <v/>
      </c>
      <c r="C28" s="26">
        <f>IF($A28=0,$B$9,1)*EXP(-$B$4*MAX($A28-$B$10,0))</f>
        <v/>
      </c>
      <c r="D28" s="26">
        <f>$B$5+($B$6-$B$5)/(1+EXP(-($A28-$B$7)/$B$8))</f>
        <v/>
      </c>
      <c r="E28" s="27">
        <f>B28*C28</f>
        <v/>
      </c>
      <c r="F28" s="27">
        <f>E28*D28</f>
        <v/>
      </c>
      <c r="G28" s="27">
        <f>E28-F28</f>
        <v/>
      </c>
      <c r="I28" s="5" t="inlineStr">
        <is>
          <t>3. Constraints: B4 ≥ 0; B4 ≤ 0.5; B5 ≥ 0.01; B5 ≤ 0.3; B6 ≥ 0.3; B6 ≤ 0.95; B6 ≥ B5; B7 ≥ 0; B7 ≤ 30; B8 ≥ 0.3; B8 ≤ 12.</t>
        </is>
      </c>
    </row>
    <row r="29">
      <c r="A29" s="9" t="n">
        <v>16</v>
      </c>
      <c r="B29" s="19">
        <f>INDEX(FleetByAge!$C$6:$T$51,MATCH($A29,FleetByAge!$A$6:$A$51,0),MATCH(2024,FleetByAge!$C$4:$T$4,0))</f>
        <v/>
      </c>
      <c r="C29" s="26">
        <f>IF($A29=0,$B$9,1)*EXP(-$B$4*MAX($A29-$B$10,0))</f>
        <v/>
      </c>
      <c r="D29" s="26">
        <f>$B$5+($B$6-$B$5)/(1+EXP(-($A29-$B$7)/$B$8))</f>
        <v/>
      </c>
      <c r="E29" s="27">
        <f>B29*C29</f>
        <v/>
      </c>
      <c r="F29" s="27">
        <f>E29*D29</f>
        <v/>
      </c>
      <c r="G29" s="27">
        <f>E29-F29</f>
        <v/>
      </c>
      <c r="I29" s="5" t="inlineStr">
        <is>
          <t>4. Method: GRG Nonlinear. Options → GRG Nonlinear tab: tick Use Multistart, Population Size 100, Random Seed 7, tick Require Bounds on Variables. Untick 'Make Unconstrained Variables Non-Negative' (bounds are set explicitly).</t>
        </is>
      </c>
    </row>
    <row r="30">
      <c r="A30" s="9" t="n">
        <v>17</v>
      </c>
      <c r="B30" s="19">
        <f>INDEX(FleetByAge!$C$6:$T$51,MATCH($A30,FleetByAge!$A$6:$A$51,0),MATCH(2024,FleetByAge!$C$4:$T$4,0))</f>
        <v/>
      </c>
      <c r="C30" s="26">
        <f>IF($A30=0,$B$9,1)*EXP(-$B$4*MAX($A30-$B$10,0))</f>
        <v/>
      </c>
      <c r="D30" s="26">
        <f>$B$5+($B$6-$B$5)/(1+EXP(-($A30-$B$7)/$B$8))</f>
        <v/>
      </c>
      <c r="E30" s="27">
        <f>B30*C30</f>
        <v/>
      </c>
      <c r="F30" s="27">
        <f>E30*D30</f>
        <v/>
      </c>
      <c r="G30" s="27">
        <f>E30-F30</f>
        <v/>
      </c>
      <c r="I30" s="5" t="inlineStr">
        <is>
          <t>5. Solve. Expect LOSS ≈ 1.0 and B4:B8 within a few thousandths of the starting values. Copy B4:B8 → Inputs!B11:B15 (paste values).</t>
        </is>
      </c>
    </row>
    <row r="31">
      <c r="A31" s="9" t="n">
        <v>18</v>
      </c>
      <c r="B31" s="19">
        <f>INDEX(FleetByAge!$C$6:$T$51,MATCH($A31,FleetByAge!$A$6:$A$51,0),MATCH(2024,FleetByAge!$C$4:$T$4,0))</f>
        <v/>
      </c>
      <c r="C31" s="26">
        <f>IF($A31=0,$B$9,1)*EXP(-$B$4*MAX($A31-$B$10,0))</f>
        <v/>
      </c>
      <c r="D31" s="26">
        <f>$B$5+($B$6-$B$5)/(1+EXP(-($A31-$B$7)/$B$8))</f>
        <v/>
      </c>
      <c r="E31" s="27">
        <f>B31*C31</f>
        <v/>
      </c>
      <c r="F31" s="27">
        <f>E31*D31</f>
        <v/>
      </c>
      <c r="G31" s="27">
        <f>E31-F31</f>
        <v/>
      </c>
      <c r="I31" s="5" t="inlineStr">
        <is>
          <t>What this does in words: turn the five knobs until the model's eight 2024 statistics match CCC's published ones. Multistart = try from many random starting points so Solver does not settle in a shallow dip.</t>
        </is>
      </c>
    </row>
    <row r="32">
      <c r="A32" s="9" t="n">
        <v>19</v>
      </c>
      <c r="B32" s="19">
        <f>INDEX(FleetByAge!$C$6:$T$51,MATCH($A32,FleetByAge!$A$6:$A$51,0),MATCH(2024,FleetByAge!$C$4:$T$4,0))</f>
        <v/>
      </c>
      <c r="C32" s="26">
        <f>IF($A32=0,$B$9,1)*EXP(-$B$4*MAX($A32-$B$10,0))</f>
        <v/>
      </c>
      <c r="D32" s="26">
        <f>$B$5+($B$6-$B$5)/(1+EXP(-($A32-$B$7)/$B$8))</f>
        <v/>
      </c>
      <c r="E32" s="27">
        <f>B32*C32</f>
        <v/>
      </c>
      <c r="F32" s="27">
        <f>E32*D32</f>
        <v/>
      </c>
      <c r="G32" s="27">
        <f>E32-F32</f>
        <v/>
      </c>
    </row>
    <row r="33">
      <c r="A33" s="9" t="n">
        <v>20</v>
      </c>
      <c r="B33" s="19">
        <f>INDEX(FleetByAge!$C$6:$T$51,MATCH($A33,FleetByAge!$A$6:$A$51,0),MATCH(2024,FleetByAge!$C$4:$T$4,0))</f>
        <v/>
      </c>
      <c r="C33" s="26">
        <f>IF($A33=0,$B$9,1)*EXP(-$B$4*MAX($A33-$B$10,0))</f>
        <v/>
      </c>
      <c r="D33" s="26">
        <f>$B$5+($B$6-$B$5)/(1+EXP(-($A33-$B$7)/$B$8))</f>
        <v/>
      </c>
      <c r="E33" s="27">
        <f>B33*C33</f>
        <v/>
      </c>
      <c r="F33" s="27">
        <f>E33*D33</f>
        <v/>
      </c>
      <c r="G33" s="27">
        <f>E33-F33</f>
        <v/>
      </c>
    </row>
    <row r="34">
      <c r="A34" s="9" t="n">
        <v>21</v>
      </c>
      <c r="B34" s="19">
        <f>INDEX(FleetByAge!$C$6:$T$51,MATCH($A34,FleetByAge!$A$6:$A$51,0),MATCH(2024,FleetByAge!$C$4:$T$4,0))</f>
        <v/>
      </c>
      <c r="C34" s="26">
        <f>IF($A34=0,$B$9,1)*EXP(-$B$4*MAX($A34-$B$10,0))</f>
        <v/>
      </c>
      <c r="D34" s="26">
        <f>$B$5+($B$6-$B$5)/(1+EXP(-($A34-$B$7)/$B$8))</f>
        <v/>
      </c>
      <c r="E34" s="27">
        <f>B34*C34</f>
        <v/>
      </c>
      <c r="F34" s="27">
        <f>E34*D34</f>
        <v/>
      </c>
      <c r="G34" s="27">
        <f>E34-F34</f>
        <v/>
      </c>
    </row>
    <row r="35">
      <c r="A35" s="9" t="n">
        <v>22</v>
      </c>
      <c r="B35" s="19">
        <f>INDEX(FleetByAge!$C$6:$T$51,MATCH($A35,FleetByAge!$A$6:$A$51,0),MATCH(2024,FleetByAge!$C$4:$T$4,0))</f>
        <v/>
      </c>
      <c r="C35" s="26">
        <f>IF($A35=0,$B$9,1)*EXP(-$B$4*MAX($A35-$B$10,0))</f>
        <v/>
      </c>
      <c r="D35" s="26">
        <f>$B$5+($B$6-$B$5)/(1+EXP(-($A35-$B$7)/$B$8))</f>
        <v/>
      </c>
      <c r="E35" s="27">
        <f>B35*C35</f>
        <v/>
      </c>
      <c r="F35" s="27">
        <f>E35*D35</f>
        <v/>
      </c>
      <c r="G35" s="27">
        <f>E35-F35</f>
        <v/>
      </c>
    </row>
    <row r="36">
      <c r="A36" s="9" t="n">
        <v>23</v>
      </c>
      <c r="B36" s="19">
        <f>INDEX(FleetByAge!$C$6:$T$51,MATCH($A36,FleetByAge!$A$6:$A$51,0),MATCH(2024,FleetByAge!$C$4:$T$4,0))</f>
        <v/>
      </c>
      <c r="C36" s="26">
        <f>IF($A36=0,$B$9,1)*EXP(-$B$4*MAX($A36-$B$10,0))</f>
        <v/>
      </c>
      <c r="D36" s="26">
        <f>$B$5+($B$6-$B$5)/(1+EXP(-($A36-$B$7)/$B$8))</f>
        <v/>
      </c>
      <c r="E36" s="27">
        <f>B36*C36</f>
        <v/>
      </c>
      <c r="F36" s="27">
        <f>E36*D36</f>
        <v/>
      </c>
      <c r="G36" s="27">
        <f>E36-F36</f>
        <v/>
      </c>
    </row>
    <row r="37">
      <c r="A37" s="9" t="n">
        <v>24</v>
      </c>
      <c r="B37" s="19">
        <f>INDEX(FleetByAge!$C$6:$T$51,MATCH($A37,FleetByAge!$A$6:$A$51,0),MATCH(2024,FleetByAge!$C$4:$T$4,0))</f>
        <v/>
      </c>
      <c r="C37" s="26">
        <f>IF($A37=0,$B$9,1)*EXP(-$B$4*MAX($A37-$B$10,0))</f>
        <v/>
      </c>
      <c r="D37" s="26">
        <f>$B$5+($B$6-$B$5)/(1+EXP(-($A37-$B$7)/$B$8))</f>
        <v/>
      </c>
      <c r="E37" s="27">
        <f>B37*C37</f>
        <v/>
      </c>
      <c r="F37" s="27">
        <f>E37*D37</f>
        <v/>
      </c>
      <c r="G37" s="27">
        <f>E37-F37</f>
        <v/>
      </c>
    </row>
    <row r="38">
      <c r="A38" s="9" t="n">
        <v>25</v>
      </c>
      <c r="B38" s="19">
        <f>INDEX(FleetByAge!$C$6:$T$51,MATCH($A38,FleetByAge!$A$6:$A$51,0),MATCH(2024,FleetByAge!$C$4:$T$4,0))</f>
        <v/>
      </c>
      <c r="C38" s="26">
        <f>IF($A38=0,$B$9,1)*EXP(-$B$4*MAX($A38-$B$10,0))</f>
        <v/>
      </c>
      <c r="D38" s="26">
        <f>$B$5+($B$6-$B$5)/(1+EXP(-($A38-$B$7)/$B$8))</f>
        <v/>
      </c>
      <c r="E38" s="27">
        <f>B38*C38</f>
        <v/>
      </c>
      <c r="F38" s="27">
        <f>E38*D38</f>
        <v/>
      </c>
      <c r="G38" s="27">
        <f>E38-F38</f>
        <v/>
      </c>
    </row>
    <row r="39">
      <c r="A39" s="9" t="n">
        <v>26</v>
      </c>
      <c r="B39" s="19">
        <f>INDEX(FleetByAge!$C$6:$T$51,MATCH($A39,FleetByAge!$A$6:$A$51,0),MATCH(2024,FleetByAge!$C$4:$T$4,0))</f>
        <v/>
      </c>
      <c r="C39" s="26">
        <f>IF($A39=0,$B$9,1)*EXP(-$B$4*MAX($A39-$B$10,0))</f>
        <v/>
      </c>
      <c r="D39" s="26">
        <f>$B$5+($B$6-$B$5)/(1+EXP(-($A39-$B$7)/$B$8))</f>
        <v/>
      </c>
      <c r="E39" s="27">
        <f>B39*C39</f>
        <v/>
      </c>
      <c r="F39" s="27">
        <f>E39*D39</f>
        <v/>
      </c>
      <c r="G39" s="27">
        <f>E39-F39</f>
        <v/>
      </c>
    </row>
    <row r="40">
      <c r="A40" s="9" t="n">
        <v>27</v>
      </c>
      <c r="B40" s="19">
        <f>INDEX(FleetByAge!$C$6:$T$51,MATCH($A40,FleetByAge!$A$6:$A$51,0),MATCH(2024,FleetByAge!$C$4:$T$4,0))</f>
        <v/>
      </c>
      <c r="C40" s="26">
        <f>IF($A40=0,$B$9,1)*EXP(-$B$4*MAX($A40-$B$10,0))</f>
        <v/>
      </c>
      <c r="D40" s="26">
        <f>$B$5+($B$6-$B$5)/(1+EXP(-($A40-$B$7)/$B$8))</f>
        <v/>
      </c>
      <c r="E40" s="27">
        <f>B40*C40</f>
        <v/>
      </c>
      <c r="F40" s="27">
        <f>E40*D40</f>
        <v/>
      </c>
      <c r="G40" s="27">
        <f>E40-F40</f>
        <v/>
      </c>
    </row>
    <row r="41">
      <c r="A41" s="9" t="n">
        <v>28</v>
      </c>
      <c r="B41" s="19">
        <f>INDEX(FleetByAge!$C$6:$T$51,MATCH($A41,FleetByAge!$A$6:$A$51,0),MATCH(2024,FleetByAge!$C$4:$T$4,0))</f>
        <v/>
      </c>
      <c r="C41" s="26">
        <f>IF($A41=0,$B$9,1)*EXP(-$B$4*MAX($A41-$B$10,0))</f>
        <v/>
      </c>
      <c r="D41" s="26">
        <f>$B$5+($B$6-$B$5)/(1+EXP(-($A41-$B$7)/$B$8))</f>
        <v/>
      </c>
      <c r="E41" s="27">
        <f>B41*C41</f>
        <v/>
      </c>
      <c r="F41" s="27">
        <f>E41*D41</f>
        <v/>
      </c>
      <c r="G41" s="27">
        <f>E41-F41</f>
        <v/>
      </c>
    </row>
    <row r="42">
      <c r="A42" s="9" t="n">
        <v>29</v>
      </c>
      <c r="B42" s="19">
        <f>INDEX(FleetByAge!$C$6:$T$51,MATCH($A42,FleetByAge!$A$6:$A$51,0),MATCH(2024,FleetByAge!$C$4:$T$4,0))</f>
        <v/>
      </c>
      <c r="C42" s="26">
        <f>IF($A42=0,$B$9,1)*EXP(-$B$4*MAX($A42-$B$10,0))</f>
        <v/>
      </c>
      <c r="D42" s="26">
        <f>$B$5+($B$6-$B$5)/(1+EXP(-($A42-$B$7)/$B$8))</f>
        <v/>
      </c>
      <c r="E42" s="27">
        <f>B42*C42</f>
        <v/>
      </c>
      <c r="F42" s="27">
        <f>E42*D42</f>
        <v/>
      </c>
      <c r="G42" s="27">
        <f>E42-F42</f>
        <v/>
      </c>
    </row>
    <row r="43">
      <c r="A43" s="9" t="n">
        <v>30</v>
      </c>
      <c r="B43" s="19">
        <f>INDEX(FleetByAge!$C$6:$T$51,MATCH($A43,FleetByAge!$A$6:$A$51,0),MATCH(2024,FleetByAge!$C$4:$T$4,0))</f>
        <v/>
      </c>
      <c r="C43" s="26">
        <f>IF($A43=0,$B$9,1)*EXP(-$B$4*MAX($A43-$B$10,0))</f>
        <v/>
      </c>
      <c r="D43" s="26">
        <f>$B$5+($B$6-$B$5)/(1+EXP(-($A43-$B$7)/$B$8))</f>
        <v/>
      </c>
      <c r="E43" s="27">
        <f>B43*C43</f>
        <v/>
      </c>
      <c r="F43" s="27">
        <f>E43*D43</f>
        <v/>
      </c>
      <c r="G43" s="27">
        <f>E43-F43</f>
        <v/>
      </c>
    </row>
    <row r="44">
      <c r="A44" s="9" t="n">
        <v>31</v>
      </c>
      <c r="B44" s="19">
        <f>INDEX(FleetByAge!$C$6:$T$51,MATCH($A44,FleetByAge!$A$6:$A$51,0),MATCH(2024,FleetByAge!$C$4:$T$4,0))</f>
        <v/>
      </c>
      <c r="C44" s="26">
        <f>IF($A44=0,$B$9,1)*EXP(-$B$4*MAX($A44-$B$10,0))</f>
        <v/>
      </c>
      <c r="D44" s="26">
        <f>$B$5+($B$6-$B$5)/(1+EXP(-($A44-$B$7)/$B$8))</f>
        <v/>
      </c>
      <c r="E44" s="27">
        <f>B44*C44</f>
        <v/>
      </c>
      <c r="F44" s="27">
        <f>E44*D44</f>
        <v/>
      </c>
      <c r="G44" s="27">
        <f>E44-F44</f>
        <v/>
      </c>
    </row>
    <row r="45">
      <c r="A45" s="9" t="n">
        <v>32</v>
      </c>
      <c r="B45" s="19">
        <f>INDEX(FleetByAge!$C$6:$T$51,MATCH($A45,FleetByAge!$A$6:$A$51,0),MATCH(2024,FleetByAge!$C$4:$T$4,0))</f>
        <v/>
      </c>
      <c r="C45" s="26">
        <f>IF($A45=0,$B$9,1)*EXP(-$B$4*MAX($A45-$B$10,0))</f>
        <v/>
      </c>
      <c r="D45" s="26">
        <f>$B$5+($B$6-$B$5)/(1+EXP(-($A45-$B$7)/$B$8))</f>
        <v/>
      </c>
      <c r="E45" s="27">
        <f>B45*C45</f>
        <v/>
      </c>
      <c r="F45" s="27">
        <f>E45*D45</f>
        <v/>
      </c>
      <c r="G45" s="27">
        <f>E45-F45</f>
        <v/>
      </c>
    </row>
    <row r="46">
      <c r="A46" s="9" t="n">
        <v>33</v>
      </c>
      <c r="B46" s="19">
        <f>INDEX(FleetByAge!$C$6:$T$51,MATCH($A46,FleetByAge!$A$6:$A$51,0),MATCH(2024,FleetByAge!$C$4:$T$4,0))</f>
        <v/>
      </c>
      <c r="C46" s="26">
        <f>IF($A46=0,$B$9,1)*EXP(-$B$4*MAX($A46-$B$10,0))</f>
        <v/>
      </c>
      <c r="D46" s="26">
        <f>$B$5+($B$6-$B$5)/(1+EXP(-($A46-$B$7)/$B$8))</f>
        <v/>
      </c>
      <c r="E46" s="27">
        <f>B46*C46</f>
        <v/>
      </c>
      <c r="F46" s="27">
        <f>E46*D46</f>
        <v/>
      </c>
      <c r="G46" s="27">
        <f>E46-F46</f>
        <v/>
      </c>
    </row>
    <row r="47">
      <c r="A47" s="9" t="n">
        <v>34</v>
      </c>
      <c r="B47" s="19">
        <f>INDEX(FleetByAge!$C$6:$T$51,MATCH($A47,FleetByAge!$A$6:$A$51,0),MATCH(2024,FleetByAge!$C$4:$T$4,0))</f>
        <v/>
      </c>
      <c r="C47" s="26">
        <f>IF($A47=0,$B$9,1)*EXP(-$B$4*MAX($A47-$B$10,0))</f>
        <v/>
      </c>
      <c r="D47" s="26">
        <f>$B$5+($B$6-$B$5)/(1+EXP(-($A47-$B$7)/$B$8))</f>
        <v/>
      </c>
      <c r="E47" s="27">
        <f>B47*C47</f>
        <v/>
      </c>
      <c r="F47" s="27">
        <f>E47*D47</f>
        <v/>
      </c>
      <c r="G47" s="27">
        <f>E47-F47</f>
        <v/>
      </c>
    </row>
    <row r="48">
      <c r="A48" s="9" t="n">
        <v>35</v>
      </c>
      <c r="B48" s="19">
        <f>INDEX(FleetByAge!$C$6:$T$51,MATCH($A48,FleetByAge!$A$6:$A$51,0),MATCH(2024,FleetByAge!$C$4:$T$4,0))</f>
        <v/>
      </c>
      <c r="C48" s="26">
        <f>IF($A48=0,$B$9,1)*EXP(-$B$4*MAX($A48-$B$10,0))</f>
        <v/>
      </c>
      <c r="D48" s="26">
        <f>$B$5+($B$6-$B$5)/(1+EXP(-($A48-$B$7)/$B$8))</f>
        <v/>
      </c>
      <c r="E48" s="27">
        <f>B48*C48</f>
        <v/>
      </c>
      <c r="F48" s="27">
        <f>E48*D48</f>
        <v/>
      </c>
      <c r="G48" s="27">
        <f>E48-F48</f>
        <v/>
      </c>
    </row>
    <row r="49">
      <c r="A49" s="9" t="n">
        <v>36</v>
      </c>
      <c r="B49" s="19">
        <f>INDEX(FleetByAge!$C$6:$T$51,MATCH($A49,FleetByAge!$A$6:$A$51,0),MATCH(2024,FleetByAge!$C$4:$T$4,0))</f>
        <v/>
      </c>
      <c r="C49" s="26">
        <f>IF($A49=0,$B$9,1)*EXP(-$B$4*MAX($A49-$B$10,0))</f>
        <v/>
      </c>
      <c r="D49" s="26">
        <f>$B$5+($B$6-$B$5)/(1+EXP(-($A49-$B$7)/$B$8))</f>
        <v/>
      </c>
      <c r="E49" s="27">
        <f>B49*C49</f>
        <v/>
      </c>
      <c r="F49" s="27">
        <f>E49*D49</f>
        <v/>
      </c>
      <c r="G49" s="27">
        <f>E49-F49</f>
        <v/>
      </c>
    </row>
    <row r="50">
      <c r="A50" s="9" t="n">
        <v>37</v>
      </c>
      <c r="B50" s="19">
        <f>INDEX(FleetByAge!$C$6:$T$51,MATCH($A50,FleetByAge!$A$6:$A$51,0),MATCH(2024,FleetByAge!$C$4:$T$4,0))</f>
        <v/>
      </c>
      <c r="C50" s="26">
        <f>IF($A50=0,$B$9,1)*EXP(-$B$4*MAX($A50-$B$10,0))</f>
        <v/>
      </c>
      <c r="D50" s="26">
        <f>$B$5+($B$6-$B$5)/(1+EXP(-($A50-$B$7)/$B$8))</f>
        <v/>
      </c>
      <c r="E50" s="27">
        <f>B50*C50</f>
        <v/>
      </c>
      <c r="F50" s="27">
        <f>E50*D50</f>
        <v/>
      </c>
      <c r="G50" s="27">
        <f>E50-F50</f>
        <v/>
      </c>
    </row>
    <row r="51">
      <c r="A51" s="9" t="n">
        <v>38</v>
      </c>
      <c r="B51" s="19">
        <f>INDEX(FleetByAge!$C$6:$T$51,MATCH($A51,FleetByAge!$A$6:$A$51,0),MATCH(2024,FleetByAge!$C$4:$T$4,0))</f>
        <v/>
      </c>
      <c r="C51" s="26">
        <f>IF($A51=0,$B$9,1)*EXP(-$B$4*MAX($A51-$B$10,0))</f>
        <v/>
      </c>
      <c r="D51" s="26">
        <f>$B$5+($B$6-$B$5)/(1+EXP(-($A51-$B$7)/$B$8))</f>
        <v/>
      </c>
      <c r="E51" s="27">
        <f>B51*C51</f>
        <v/>
      </c>
      <c r="F51" s="27">
        <f>E51*D51</f>
        <v/>
      </c>
      <c r="G51" s="27">
        <f>E51-F51</f>
        <v/>
      </c>
    </row>
    <row r="52">
      <c r="A52" s="9" t="n">
        <v>39</v>
      </c>
      <c r="B52" s="19">
        <f>INDEX(FleetByAge!$C$6:$T$51,MATCH($A52,FleetByAge!$A$6:$A$51,0),MATCH(2024,FleetByAge!$C$4:$T$4,0))</f>
        <v/>
      </c>
      <c r="C52" s="26">
        <f>IF($A52=0,$B$9,1)*EXP(-$B$4*MAX($A52-$B$10,0))</f>
        <v/>
      </c>
      <c r="D52" s="26">
        <f>$B$5+($B$6-$B$5)/(1+EXP(-($A52-$B$7)/$B$8))</f>
        <v/>
      </c>
      <c r="E52" s="27">
        <f>B52*C52</f>
        <v/>
      </c>
      <c r="F52" s="27">
        <f>E52*D52</f>
        <v/>
      </c>
      <c r="G52" s="27">
        <f>E52-F52</f>
        <v/>
      </c>
    </row>
    <row r="53">
      <c r="A53" s="9" t="n">
        <v>40</v>
      </c>
      <c r="B53" s="19">
        <f>INDEX(FleetByAge!$C$6:$T$51,MATCH($A53,FleetByAge!$A$6:$A$51,0),MATCH(2024,FleetByAge!$C$4:$T$4,0))</f>
        <v/>
      </c>
      <c r="C53" s="26">
        <f>IF($A53=0,$B$9,1)*EXP(-$B$4*MAX($A53-$B$10,0))</f>
        <v/>
      </c>
      <c r="D53" s="26">
        <f>$B$5+($B$6-$B$5)/(1+EXP(-($A53-$B$7)/$B$8))</f>
        <v/>
      </c>
      <c r="E53" s="27">
        <f>B53*C53</f>
        <v/>
      </c>
      <c r="F53" s="27">
        <f>E53*D53</f>
        <v/>
      </c>
      <c r="G53" s="27">
        <f>E53-F53</f>
        <v/>
      </c>
    </row>
    <row r="54">
      <c r="A54" s="9" t="n">
        <v>41</v>
      </c>
      <c r="B54" s="19">
        <f>INDEX(FleetByAge!$C$6:$T$51,MATCH($A54,FleetByAge!$A$6:$A$51,0),MATCH(2024,FleetByAge!$C$4:$T$4,0))</f>
        <v/>
      </c>
      <c r="C54" s="26">
        <f>IF($A54=0,$B$9,1)*EXP(-$B$4*MAX($A54-$B$10,0))</f>
        <v/>
      </c>
      <c r="D54" s="26">
        <f>$B$5+($B$6-$B$5)/(1+EXP(-($A54-$B$7)/$B$8))</f>
        <v/>
      </c>
      <c r="E54" s="27">
        <f>B54*C54</f>
        <v/>
      </c>
      <c r="F54" s="27">
        <f>E54*D54</f>
        <v/>
      </c>
      <c r="G54" s="27">
        <f>E54-F54</f>
        <v/>
      </c>
    </row>
    <row r="55">
      <c r="A55" s="9" t="n">
        <v>42</v>
      </c>
      <c r="B55" s="19">
        <f>INDEX(FleetByAge!$C$6:$T$51,MATCH($A55,FleetByAge!$A$6:$A$51,0),MATCH(2024,FleetByAge!$C$4:$T$4,0))</f>
        <v/>
      </c>
      <c r="C55" s="26">
        <f>IF($A55=0,$B$9,1)*EXP(-$B$4*MAX($A55-$B$10,0))</f>
        <v/>
      </c>
      <c r="D55" s="26">
        <f>$B$5+($B$6-$B$5)/(1+EXP(-($A55-$B$7)/$B$8))</f>
        <v/>
      </c>
      <c r="E55" s="27">
        <f>B55*C55</f>
        <v/>
      </c>
      <c r="F55" s="27">
        <f>E55*D55</f>
        <v/>
      </c>
      <c r="G55" s="27">
        <f>E55-F55</f>
        <v/>
      </c>
    </row>
    <row r="56">
      <c r="A56" s="9" t="n">
        <v>43</v>
      </c>
      <c r="B56" s="19">
        <f>INDEX(FleetByAge!$C$6:$T$51,MATCH($A56,FleetByAge!$A$6:$A$51,0),MATCH(2024,FleetByAge!$C$4:$T$4,0))</f>
        <v/>
      </c>
      <c r="C56" s="26">
        <f>IF($A56=0,$B$9,1)*EXP(-$B$4*MAX($A56-$B$10,0))</f>
        <v/>
      </c>
      <c r="D56" s="26">
        <f>$B$5+($B$6-$B$5)/(1+EXP(-($A56-$B$7)/$B$8))</f>
        <v/>
      </c>
      <c r="E56" s="27">
        <f>B56*C56</f>
        <v/>
      </c>
      <c r="F56" s="27">
        <f>E56*D56</f>
        <v/>
      </c>
      <c r="G56" s="27">
        <f>E56-F56</f>
        <v/>
      </c>
    </row>
    <row r="57">
      <c r="A57" s="9" t="n">
        <v>44</v>
      </c>
      <c r="B57" s="19">
        <f>INDEX(FleetByAge!$C$6:$T$51,MATCH($A57,FleetByAge!$A$6:$A$51,0),MATCH(2024,FleetByAge!$C$4:$T$4,0))</f>
        <v/>
      </c>
      <c r="C57" s="26">
        <f>IF($A57=0,$B$9,1)*EXP(-$B$4*MAX($A57-$B$10,0))</f>
        <v/>
      </c>
      <c r="D57" s="26">
        <f>$B$5+($B$6-$B$5)/(1+EXP(-($A57-$B$7)/$B$8))</f>
        <v/>
      </c>
      <c r="E57" s="27">
        <f>B57*C57</f>
        <v/>
      </c>
      <c r="F57" s="27">
        <f>E57*D57</f>
        <v/>
      </c>
      <c r="G57" s="27">
        <f>E57-F57</f>
        <v/>
      </c>
    </row>
    <row r="58">
      <c r="A58" s="9" t="n">
        <v>45</v>
      </c>
      <c r="B58" s="19">
        <f>INDEX(FleetByAge!$C$6:$T$51,MATCH($A58,FleetByAge!$A$6:$A$51,0),MATCH(2024,FleetByAge!$C$4:$T$4,0))</f>
        <v/>
      </c>
      <c r="C58" s="26">
        <f>IF($A58=0,$B$9,1)*EXP(-$B$4*MAX($A58-$B$10,0))</f>
        <v/>
      </c>
      <c r="D58" s="26">
        <f>$B$5+($B$6-$B$5)/(1+EXP(-($A58-$B$7)/$B$8))</f>
        <v/>
      </c>
      <c r="E58" s="27">
        <f>B58*C58</f>
        <v/>
      </c>
      <c r="F58" s="27">
        <f>E58*D58</f>
        <v/>
      </c>
      <c r="G58" s="27">
        <f>E58-F58</f>
        <v/>
      </c>
    </row>
  </sheetData>
  <mergeCells count="1">
    <mergeCell ref="A2:N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7" customWidth="1" min="2" max="2"/>
    <col width="44" customWidth="1" min="3" max="3"/>
    <col width="11" customWidth="1" min="4" max="4"/>
    <col width="11" customWidth="1" min="5" max="5"/>
    <col width="10" customWidth="1" min="6" max="6"/>
    <col width="90" customWidth="1" min="7" max="7"/>
  </cols>
  <sheetData>
    <row r="1">
      <c r="A1" s="1" t="inlineStr">
        <is>
          <t>Baseline total-loss frequency from demographics alone, by year — and the out-of-sample tests</t>
        </is>
      </c>
    </row>
    <row r="2" ht="42" customHeight="1">
      <c r="A2" s="6" t="inlineStr">
        <is>
          <t>claims index = Σ_a fleet(a,t)·R(a); TL index = Σ_a fleet(a,t)·R(a)·P(a); baseline TLF = TL/claims. R and P are FROZEN (Inputs); only the fleet changes year to year. The YoY drift row is the demographic contribution to TLF; everything else in actual TLF is level (spread cycle, technology, filing).</t>
        </is>
      </c>
    </row>
    <row r="4">
      <c r="A4" s="15" t="inlineStr">
        <is>
          <t>Year →</t>
        </is>
      </c>
      <c r="C4" s="23">
        <f>Inputs!C23</f>
        <v/>
      </c>
      <c r="D4" s="23">
        <f>Inputs!D23</f>
        <v/>
      </c>
      <c r="E4" s="23">
        <f>Inputs!E23</f>
        <v/>
      </c>
      <c r="F4" s="23">
        <f>Inputs!F23</f>
        <v/>
      </c>
      <c r="G4" s="23">
        <f>Inputs!G23</f>
        <v/>
      </c>
      <c r="H4" s="23">
        <f>Inputs!H23</f>
        <v/>
      </c>
      <c r="I4" s="23">
        <f>Inputs!I23</f>
        <v/>
      </c>
      <c r="J4" s="23">
        <f>Inputs!J23</f>
        <v/>
      </c>
      <c r="K4" s="23">
        <f>Inputs!K23</f>
        <v/>
      </c>
      <c r="L4" s="23">
        <f>Inputs!L23</f>
        <v/>
      </c>
      <c r="M4" s="23">
        <f>Inputs!M23</f>
        <v/>
      </c>
      <c r="N4" s="23">
        <f>Inputs!N23</f>
        <v/>
      </c>
      <c r="O4" s="23">
        <f>Inputs!O23</f>
        <v/>
      </c>
      <c r="P4" s="23">
        <f>Inputs!P23</f>
        <v/>
      </c>
      <c r="Q4" s="23">
        <f>Inputs!Q23</f>
        <v/>
      </c>
      <c r="R4" s="23">
        <f>Inputs!R23</f>
        <v/>
      </c>
      <c r="S4" s="23">
        <f>Inputs!S23</f>
        <v/>
      </c>
      <c r="T4" s="23">
        <f>Inputs!T23</f>
        <v/>
      </c>
    </row>
    <row r="6">
      <c r="A6" s="5" t="inlineStr">
        <is>
          <t>Claims index Σ fleet·R (thousands)</t>
        </is>
      </c>
      <c r="C6" s="27">
        <f>SUMPRODUCT(FleetByAge!C$6:C$51,Curves!$B$6:$B$51)</f>
        <v/>
      </c>
      <c r="D6" s="27">
        <f>SUMPRODUCT(FleetByAge!D$6:D$51,Curves!$B$6:$B$51)</f>
        <v/>
      </c>
      <c r="E6" s="27">
        <f>SUMPRODUCT(FleetByAge!E$6:E$51,Curves!$B$6:$B$51)</f>
        <v/>
      </c>
      <c r="F6" s="27">
        <f>SUMPRODUCT(FleetByAge!F$6:F$51,Curves!$B$6:$B$51)</f>
        <v/>
      </c>
      <c r="G6" s="27">
        <f>SUMPRODUCT(FleetByAge!G$6:G$51,Curves!$B$6:$B$51)</f>
        <v/>
      </c>
      <c r="H6" s="27">
        <f>SUMPRODUCT(FleetByAge!H$6:H$51,Curves!$B$6:$B$51)</f>
        <v/>
      </c>
      <c r="I6" s="27">
        <f>SUMPRODUCT(FleetByAge!I$6:I$51,Curves!$B$6:$B$51)</f>
        <v/>
      </c>
      <c r="J6" s="27">
        <f>SUMPRODUCT(FleetByAge!J$6:J$51,Curves!$B$6:$B$51)</f>
        <v/>
      </c>
      <c r="K6" s="27">
        <f>SUMPRODUCT(FleetByAge!K$6:K$51,Curves!$B$6:$B$51)</f>
        <v/>
      </c>
      <c r="L6" s="27">
        <f>SUMPRODUCT(FleetByAge!L$6:L$51,Curves!$B$6:$B$51)</f>
        <v/>
      </c>
      <c r="M6" s="27">
        <f>SUMPRODUCT(FleetByAge!M$6:M$51,Curves!$B$6:$B$51)</f>
        <v/>
      </c>
      <c r="N6" s="27">
        <f>SUMPRODUCT(FleetByAge!N$6:N$51,Curves!$B$6:$B$51)</f>
        <v/>
      </c>
      <c r="O6" s="27">
        <f>SUMPRODUCT(FleetByAge!O$6:O$51,Curves!$B$6:$B$51)</f>
        <v/>
      </c>
      <c r="P6" s="27">
        <f>SUMPRODUCT(FleetByAge!P$6:P$51,Curves!$B$6:$B$51)</f>
        <v/>
      </c>
      <c r="Q6" s="27">
        <f>SUMPRODUCT(FleetByAge!Q$6:Q$51,Curves!$B$6:$B$51)</f>
        <v/>
      </c>
      <c r="R6" s="27">
        <f>SUMPRODUCT(FleetByAge!R$6:R$51,Curves!$B$6:$B$51)</f>
        <v/>
      </c>
      <c r="S6" s="27">
        <f>SUMPRODUCT(FleetByAge!S$6:S$51,Curves!$B$6:$B$51)</f>
        <v/>
      </c>
      <c r="T6" s="27">
        <f>SUMPRODUCT(FleetByAge!T$6:T$51,Curves!$B$6:$B$51)</f>
        <v/>
      </c>
    </row>
    <row r="7">
      <c r="A7" s="5" t="inlineStr">
        <is>
          <t>Total-loss index Σ fleet·R·P (thousands)</t>
        </is>
      </c>
      <c r="C7" s="27">
        <f>SUMPRODUCT(FleetByAge!C$6:C$51,Curves!$B$6:$B$51,Curves!$C$6:$C$51)</f>
        <v/>
      </c>
      <c r="D7" s="27">
        <f>SUMPRODUCT(FleetByAge!D$6:D$51,Curves!$B$6:$B$51,Curves!$C$6:$C$51)</f>
        <v/>
      </c>
      <c r="E7" s="27">
        <f>SUMPRODUCT(FleetByAge!E$6:E$51,Curves!$B$6:$B$51,Curves!$C$6:$C$51)</f>
        <v/>
      </c>
      <c r="F7" s="27">
        <f>SUMPRODUCT(FleetByAge!F$6:F$51,Curves!$B$6:$B$51,Curves!$C$6:$C$51)</f>
        <v/>
      </c>
      <c r="G7" s="27">
        <f>SUMPRODUCT(FleetByAge!G$6:G$51,Curves!$B$6:$B$51,Curves!$C$6:$C$51)</f>
        <v/>
      </c>
      <c r="H7" s="27">
        <f>SUMPRODUCT(FleetByAge!H$6:H$51,Curves!$B$6:$B$51,Curves!$C$6:$C$51)</f>
        <v/>
      </c>
      <c r="I7" s="27">
        <f>SUMPRODUCT(FleetByAge!I$6:I$51,Curves!$B$6:$B$51,Curves!$C$6:$C$51)</f>
        <v/>
      </c>
      <c r="J7" s="27">
        <f>SUMPRODUCT(FleetByAge!J$6:J$51,Curves!$B$6:$B$51,Curves!$C$6:$C$51)</f>
        <v/>
      </c>
      <c r="K7" s="27">
        <f>SUMPRODUCT(FleetByAge!K$6:K$51,Curves!$B$6:$B$51,Curves!$C$6:$C$51)</f>
        <v/>
      </c>
      <c r="L7" s="27">
        <f>SUMPRODUCT(FleetByAge!L$6:L$51,Curves!$B$6:$B$51,Curves!$C$6:$C$51)</f>
        <v/>
      </c>
      <c r="M7" s="27">
        <f>SUMPRODUCT(FleetByAge!M$6:M$51,Curves!$B$6:$B$51,Curves!$C$6:$C$51)</f>
        <v/>
      </c>
      <c r="N7" s="27">
        <f>SUMPRODUCT(FleetByAge!N$6:N$51,Curves!$B$6:$B$51,Curves!$C$6:$C$51)</f>
        <v/>
      </c>
      <c r="O7" s="27">
        <f>SUMPRODUCT(FleetByAge!O$6:O$51,Curves!$B$6:$B$51,Curves!$C$6:$C$51)</f>
        <v/>
      </c>
      <c r="P7" s="27">
        <f>SUMPRODUCT(FleetByAge!P$6:P$51,Curves!$B$6:$B$51,Curves!$C$6:$C$51)</f>
        <v/>
      </c>
      <c r="Q7" s="27">
        <f>SUMPRODUCT(FleetByAge!Q$6:Q$51,Curves!$B$6:$B$51,Curves!$C$6:$C$51)</f>
        <v/>
      </c>
      <c r="R7" s="27">
        <f>SUMPRODUCT(FleetByAge!R$6:R$51,Curves!$B$6:$B$51,Curves!$C$6:$C$51)</f>
        <v/>
      </c>
      <c r="S7" s="27">
        <f>SUMPRODUCT(FleetByAge!S$6:S$51,Curves!$B$6:$B$51,Curves!$C$6:$C$51)</f>
        <v/>
      </c>
      <c r="T7" s="27">
        <f>SUMPRODUCT(FleetByAge!T$6:T$51,Curves!$B$6:$B$51,Curves!$C$6:$C$51)</f>
        <v/>
      </c>
    </row>
    <row r="8">
      <c r="A8" s="3" t="inlineStr">
        <is>
          <t>Baseline TLF (demographics only)</t>
        </is>
      </c>
      <c r="C8" s="42">
        <f>C7/C6</f>
        <v/>
      </c>
      <c r="D8" s="42">
        <f>D7/D6</f>
        <v/>
      </c>
      <c r="E8" s="42">
        <f>E7/E6</f>
        <v/>
      </c>
      <c r="F8" s="42">
        <f>F7/F6</f>
        <v/>
      </c>
      <c r="G8" s="42">
        <f>G7/G6</f>
        <v/>
      </c>
      <c r="H8" s="42">
        <f>H7/H6</f>
        <v/>
      </c>
      <c r="I8" s="42">
        <f>I7/I6</f>
        <v/>
      </c>
      <c r="J8" s="42">
        <f>J7/J6</f>
        <v/>
      </c>
      <c r="K8" s="42">
        <f>K7/K6</f>
        <v/>
      </c>
      <c r="L8" s="42">
        <f>L7/L6</f>
        <v/>
      </c>
      <c r="M8" s="42">
        <f>M7/M6</f>
        <v/>
      </c>
      <c r="N8" s="42">
        <f>N7/N6</f>
        <v/>
      </c>
      <c r="O8" s="42">
        <f>O7/O6</f>
        <v/>
      </c>
      <c r="P8" s="42">
        <f>P7/P6</f>
        <v/>
      </c>
      <c r="Q8" s="42">
        <f>Q7/Q6</f>
        <v/>
      </c>
      <c r="R8" s="42">
        <f>R7/R6</f>
        <v/>
      </c>
      <c r="S8" s="42">
        <f>S7/S6</f>
        <v/>
      </c>
      <c r="T8" s="42">
        <f>T7/T6</f>
        <v/>
      </c>
    </row>
    <row r="9">
      <c r="A9" s="3" t="inlineStr">
        <is>
          <t>YoY change in baseline TLF (pp)</t>
        </is>
      </c>
      <c r="C9" s="43" t="inlineStr"/>
      <c r="D9" s="43">
        <f>(D8-C8)*100</f>
        <v/>
      </c>
      <c r="E9" s="43">
        <f>(E8-D8)*100</f>
        <v/>
      </c>
      <c r="F9" s="43">
        <f>(F8-E8)*100</f>
        <v/>
      </c>
      <c r="G9" s="43">
        <f>(G8-F8)*100</f>
        <v/>
      </c>
      <c r="H9" s="43">
        <f>(H8-G8)*100</f>
        <v/>
      </c>
      <c r="I9" s="43">
        <f>(I8-H8)*100</f>
        <v/>
      </c>
      <c r="J9" s="43">
        <f>(J8-I8)*100</f>
        <v/>
      </c>
      <c r="K9" s="43">
        <f>(K8-J8)*100</f>
        <v/>
      </c>
      <c r="L9" s="43">
        <f>(L8-K8)*100</f>
        <v/>
      </c>
      <c r="M9" s="43">
        <f>(M8-L8)*100</f>
        <v/>
      </c>
      <c r="N9" s="43">
        <f>(N8-M8)*100</f>
        <v/>
      </c>
      <c r="O9" s="43">
        <f>(O8-N8)*100</f>
        <v/>
      </c>
      <c r="P9" s="43">
        <f>(P8-O8)*100</f>
        <v/>
      </c>
      <c r="Q9" s="43">
        <f>(Q8-P8)*100</f>
        <v/>
      </c>
      <c r="R9" s="43">
        <f>(R8-Q8)*100</f>
        <v/>
      </c>
      <c r="S9" s="43">
        <f>(S8-R8)*100</f>
        <v/>
      </c>
      <c r="T9" s="43">
        <f>(T8-S8)*100</f>
        <v/>
      </c>
    </row>
    <row r="10">
      <c r="A10" s="5" t="inlineStr">
        <is>
          <t>Claims share, vehicles 7+</t>
        </is>
      </c>
      <c r="C10" s="31">
        <f>SUMPRODUCT(FleetByAge!C$6:C$51,Curves!$B$6:$B$51,Curves!$F$6:$F$51)/C6</f>
        <v/>
      </c>
      <c r="D10" s="31">
        <f>SUMPRODUCT(FleetByAge!D$6:D$51,Curves!$B$6:$B$51,Curves!$F$6:$F$51)/D6</f>
        <v/>
      </c>
      <c r="E10" s="31">
        <f>SUMPRODUCT(FleetByAge!E$6:E$51,Curves!$B$6:$B$51,Curves!$F$6:$F$51)/E6</f>
        <v/>
      </c>
      <c r="F10" s="31">
        <f>SUMPRODUCT(FleetByAge!F$6:F$51,Curves!$B$6:$B$51,Curves!$F$6:$F$51)/F6</f>
        <v/>
      </c>
      <c r="G10" s="31">
        <f>SUMPRODUCT(FleetByAge!G$6:G$51,Curves!$B$6:$B$51,Curves!$F$6:$F$51)/G6</f>
        <v/>
      </c>
      <c r="H10" s="31">
        <f>SUMPRODUCT(FleetByAge!H$6:H$51,Curves!$B$6:$B$51,Curves!$F$6:$F$51)/H6</f>
        <v/>
      </c>
      <c r="I10" s="31">
        <f>SUMPRODUCT(FleetByAge!I$6:I$51,Curves!$B$6:$B$51,Curves!$F$6:$F$51)/I6</f>
        <v/>
      </c>
      <c r="J10" s="31">
        <f>SUMPRODUCT(FleetByAge!J$6:J$51,Curves!$B$6:$B$51,Curves!$F$6:$F$51)/J6</f>
        <v/>
      </c>
      <c r="K10" s="31">
        <f>SUMPRODUCT(FleetByAge!K$6:K$51,Curves!$B$6:$B$51,Curves!$F$6:$F$51)/K6</f>
        <v/>
      </c>
      <c r="L10" s="31">
        <f>SUMPRODUCT(FleetByAge!L$6:L$51,Curves!$B$6:$B$51,Curves!$F$6:$F$51)/L6</f>
        <v/>
      </c>
      <c r="M10" s="31">
        <f>SUMPRODUCT(FleetByAge!M$6:M$51,Curves!$B$6:$B$51,Curves!$F$6:$F$51)/M6</f>
        <v/>
      </c>
      <c r="N10" s="31">
        <f>SUMPRODUCT(FleetByAge!N$6:N$51,Curves!$B$6:$B$51,Curves!$F$6:$F$51)/N6</f>
        <v/>
      </c>
      <c r="O10" s="31">
        <f>SUMPRODUCT(FleetByAge!O$6:O$51,Curves!$B$6:$B$51,Curves!$F$6:$F$51)/O6</f>
        <v/>
      </c>
      <c r="P10" s="31">
        <f>SUMPRODUCT(FleetByAge!P$6:P$51,Curves!$B$6:$B$51,Curves!$F$6:$F$51)/P6</f>
        <v/>
      </c>
      <c r="Q10" s="31">
        <f>SUMPRODUCT(FleetByAge!Q$6:Q$51,Curves!$B$6:$B$51,Curves!$F$6:$F$51)/Q6</f>
        <v/>
      </c>
      <c r="R10" s="31">
        <f>SUMPRODUCT(FleetByAge!R$6:R$51,Curves!$B$6:$B$51,Curves!$F$6:$F$51)/R6</f>
        <v/>
      </c>
      <c r="S10" s="31">
        <f>SUMPRODUCT(FleetByAge!S$6:S$51,Curves!$B$6:$B$51,Curves!$F$6:$F$51)/S6</f>
        <v/>
      </c>
      <c r="T10" s="31">
        <f>SUMPRODUCT(FleetByAge!T$6:T$51,Curves!$B$6:$B$51,Curves!$F$6:$F$51)/T6</f>
        <v/>
      </c>
    </row>
    <row r="11">
      <c r="A11" s="5" t="inlineStr">
        <is>
          <t>Total-loss share, vehicles 7+</t>
        </is>
      </c>
      <c r="C11" s="31">
        <f>SUMPRODUCT(FleetByAge!C$6:C$51,Curves!$B$6:$B$51,Curves!$C$6:$C$51,Curves!$F$6:$F$51)/C7</f>
        <v/>
      </c>
      <c r="D11" s="31">
        <f>SUMPRODUCT(FleetByAge!D$6:D$51,Curves!$B$6:$B$51,Curves!$C$6:$C$51,Curves!$F$6:$F$51)/D7</f>
        <v/>
      </c>
      <c r="E11" s="31">
        <f>SUMPRODUCT(FleetByAge!E$6:E$51,Curves!$B$6:$B$51,Curves!$C$6:$C$51,Curves!$F$6:$F$51)/E7</f>
        <v/>
      </c>
      <c r="F11" s="31">
        <f>SUMPRODUCT(FleetByAge!F$6:F$51,Curves!$B$6:$B$51,Curves!$C$6:$C$51,Curves!$F$6:$F$51)/F7</f>
        <v/>
      </c>
      <c r="G11" s="31">
        <f>SUMPRODUCT(FleetByAge!G$6:G$51,Curves!$B$6:$B$51,Curves!$C$6:$C$51,Curves!$F$6:$F$51)/G7</f>
        <v/>
      </c>
      <c r="H11" s="31">
        <f>SUMPRODUCT(FleetByAge!H$6:H$51,Curves!$B$6:$B$51,Curves!$C$6:$C$51,Curves!$F$6:$F$51)/H7</f>
        <v/>
      </c>
      <c r="I11" s="31">
        <f>SUMPRODUCT(FleetByAge!I$6:I$51,Curves!$B$6:$B$51,Curves!$C$6:$C$51,Curves!$F$6:$F$51)/I7</f>
        <v/>
      </c>
      <c r="J11" s="31">
        <f>SUMPRODUCT(FleetByAge!J$6:J$51,Curves!$B$6:$B$51,Curves!$C$6:$C$51,Curves!$F$6:$F$51)/J7</f>
        <v/>
      </c>
      <c r="K11" s="31">
        <f>SUMPRODUCT(FleetByAge!K$6:K$51,Curves!$B$6:$B$51,Curves!$C$6:$C$51,Curves!$F$6:$F$51)/K7</f>
        <v/>
      </c>
      <c r="L11" s="31">
        <f>SUMPRODUCT(FleetByAge!L$6:L$51,Curves!$B$6:$B$51,Curves!$C$6:$C$51,Curves!$F$6:$F$51)/L7</f>
        <v/>
      </c>
      <c r="M11" s="31">
        <f>SUMPRODUCT(FleetByAge!M$6:M$51,Curves!$B$6:$B$51,Curves!$C$6:$C$51,Curves!$F$6:$F$51)/M7</f>
        <v/>
      </c>
      <c r="N11" s="31">
        <f>SUMPRODUCT(FleetByAge!N$6:N$51,Curves!$B$6:$B$51,Curves!$C$6:$C$51,Curves!$F$6:$F$51)/N7</f>
        <v/>
      </c>
      <c r="O11" s="31">
        <f>SUMPRODUCT(FleetByAge!O$6:O$51,Curves!$B$6:$B$51,Curves!$C$6:$C$51,Curves!$F$6:$F$51)/O7</f>
        <v/>
      </c>
      <c r="P11" s="31">
        <f>SUMPRODUCT(FleetByAge!P$6:P$51,Curves!$B$6:$B$51,Curves!$C$6:$C$51,Curves!$F$6:$F$51)/P7</f>
        <v/>
      </c>
      <c r="Q11" s="31">
        <f>SUMPRODUCT(FleetByAge!Q$6:Q$51,Curves!$B$6:$B$51,Curves!$C$6:$C$51,Curves!$F$6:$F$51)/Q7</f>
        <v/>
      </c>
      <c r="R11" s="31">
        <f>SUMPRODUCT(FleetByAge!R$6:R$51,Curves!$B$6:$B$51,Curves!$C$6:$C$51,Curves!$F$6:$F$51)/R7</f>
        <v/>
      </c>
      <c r="S11" s="31">
        <f>SUMPRODUCT(FleetByAge!S$6:S$51,Curves!$B$6:$B$51,Curves!$C$6:$C$51,Curves!$F$6:$F$51)/S7</f>
        <v/>
      </c>
      <c r="T11" s="31">
        <f>SUMPRODUCT(FleetByAge!T$6:T$51,Curves!$B$6:$B$51,Curves!$C$6:$C$51,Curves!$F$6:$F$51)/T7</f>
        <v/>
      </c>
    </row>
    <row r="12">
      <c r="A12" s="5" t="inlineStr">
        <is>
          <t>Repairable share, vehicles 7+</t>
        </is>
      </c>
      <c r="C12" s="31">
        <f>(SUMPRODUCT(FleetByAge!C$6:C$51,Curves!$B$6:$B$51,Curves!$F$6:$F$51)-SUMPRODUCT(FleetByAge!C$6:C$51,Curves!$B$6:$B$51,Curves!$C$6:$C$51,Curves!$F$6:$F$51))/(C6-C7)</f>
        <v/>
      </c>
      <c r="D12" s="31">
        <f>(SUMPRODUCT(FleetByAge!D$6:D$51,Curves!$B$6:$B$51,Curves!$F$6:$F$51)-SUMPRODUCT(FleetByAge!D$6:D$51,Curves!$B$6:$B$51,Curves!$C$6:$C$51,Curves!$F$6:$F$51))/(D6-D7)</f>
        <v/>
      </c>
      <c r="E12" s="31">
        <f>(SUMPRODUCT(FleetByAge!E$6:E$51,Curves!$B$6:$B$51,Curves!$F$6:$F$51)-SUMPRODUCT(FleetByAge!E$6:E$51,Curves!$B$6:$B$51,Curves!$C$6:$C$51,Curves!$F$6:$F$51))/(E6-E7)</f>
        <v/>
      </c>
      <c r="F12" s="31">
        <f>(SUMPRODUCT(FleetByAge!F$6:F$51,Curves!$B$6:$B$51,Curves!$F$6:$F$51)-SUMPRODUCT(FleetByAge!F$6:F$51,Curves!$B$6:$B$51,Curves!$C$6:$C$51,Curves!$F$6:$F$51))/(F6-F7)</f>
        <v/>
      </c>
      <c r="G12" s="31">
        <f>(SUMPRODUCT(FleetByAge!G$6:G$51,Curves!$B$6:$B$51,Curves!$F$6:$F$51)-SUMPRODUCT(FleetByAge!G$6:G$51,Curves!$B$6:$B$51,Curves!$C$6:$C$51,Curves!$F$6:$F$51))/(G6-G7)</f>
        <v/>
      </c>
      <c r="H12" s="31">
        <f>(SUMPRODUCT(FleetByAge!H$6:H$51,Curves!$B$6:$B$51,Curves!$F$6:$F$51)-SUMPRODUCT(FleetByAge!H$6:H$51,Curves!$B$6:$B$51,Curves!$C$6:$C$51,Curves!$F$6:$F$51))/(H6-H7)</f>
        <v/>
      </c>
      <c r="I12" s="31">
        <f>(SUMPRODUCT(FleetByAge!I$6:I$51,Curves!$B$6:$B$51,Curves!$F$6:$F$51)-SUMPRODUCT(FleetByAge!I$6:I$51,Curves!$B$6:$B$51,Curves!$C$6:$C$51,Curves!$F$6:$F$51))/(I6-I7)</f>
        <v/>
      </c>
      <c r="J12" s="31">
        <f>(SUMPRODUCT(FleetByAge!J$6:J$51,Curves!$B$6:$B$51,Curves!$F$6:$F$51)-SUMPRODUCT(FleetByAge!J$6:J$51,Curves!$B$6:$B$51,Curves!$C$6:$C$51,Curves!$F$6:$F$51))/(J6-J7)</f>
        <v/>
      </c>
      <c r="K12" s="31">
        <f>(SUMPRODUCT(FleetByAge!K$6:K$51,Curves!$B$6:$B$51,Curves!$F$6:$F$51)-SUMPRODUCT(FleetByAge!K$6:K$51,Curves!$B$6:$B$51,Curves!$C$6:$C$51,Curves!$F$6:$F$51))/(K6-K7)</f>
        <v/>
      </c>
      <c r="L12" s="31">
        <f>(SUMPRODUCT(FleetByAge!L$6:L$51,Curves!$B$6:$B$51,Curves!$F$6:$F$51)-SUMPRODUCT(FleetByAge!L$6:L$51,Curves!$B$6:$B$51,Curves!$C$6:$C$51,Curves!$F$6:$F$51))/(L6-L7)</f>
        <v/>
      </c>
      <c r="M12" s="31">
        <f>(SUMPRODUCT(FleetByAge!M$6:M$51,Curves!$B$6:$B$51,Curves!$F$6:$F$51)-SUMPRODUCT(FleetByAge!M$6:M$51,Curves!$B$6:$B$51,Curves!$C$6:$C$51,Curves!$F$6:$F$51))/(M6-M7)</f>
        <v/>
      </c>
      <c r="N12" s="31">
        <f>(SUMPRODUCT(FleetByAge!N$6:N$51,Curves!$B$6:$B$51,Curves!$F$6:$F$51)-SUMPRODUCT(FleetByAge!N$6:N$51,Curves!$B$6:$B$51,Curves!$C$6:$C$51,Curves!$F$6:$F$51))/(N6-N7)</f>
        <v/>
      </c>
      <c r="O12" s="31">
        <f>(SUMPRODUCT(FleetByAge!O$6:O$51,Curves!$B$6:$B$51,Curves!$F$6:$F$51)-SUMPRODUCT(FleetByAge!O$6:O$51,Curves!$B$6:$B$51,Curves!$C$6:$C$51,Curves!$F$6:$F$51))/(O6-O7)</f>
        <v/>
      </c>
      <c r="P12" s="31">
        <f>(SUMPRODUCT(FleetByAge!P$6:P$51,Curves!$B$6:$B$51,Curves!$F$6:$F$51)-SUMPRODUCT(FleetByAge!P$6:P$51,Curves!$B$6:$B$51,Curves!$C$6:$C$51,Curves!$F$6:$F$51))/(P6-P7)</f>
        <v/>
      </c>
      <c r="Q12" s="31">
        <f>(SUMPRODUCT(FleetByAge!Q$6:Q$51,Curves!$B$6:$B$51,Curves!$F$6:$F$51)-SUMPRODUCT(FleetByAge!Q$6:Q$51,Curves!$B$6:$B$51,Curves!$C$6:$C$51,Curves!$F$6:$F$51))/(Q6-Q7)</f>
        <v/>
      </c>
      <c r="R12" s="31">
        <f>(SUMPRODUCT(FleetByAge!R$6:R$51,Curves!$B$6:$B$51,Curves!$F$6:$F$51)-SUMPRODUCT(FleetByAge!R$6:R$51,Curves!$B$6:$B$51,Curves!$C$6:$C$51,Curves!$F$6:$F$51))/(R6-R7)</f>
        <v/>
      </c>
      <c r="S12" s="31">
        <f>(SUMPRODUCT(FleetByAge!S$6:S$51,Curves!$B$6:$B$51,Curves!$F$6:$F$51)-SUMPRODUCT(FleetByAge!S$6:S$51,Curves!$B$6:$B$51,Curves!$C$6:$C$51,Curves!$F$6:$F$51))/(S6-S7)</f>
        <v/>
      </c>
      <c r="T12" s="31">
        <f>(SUMPRODUCT(FleetByAge!T$6:T$51,Curves!$B$6:$B$51,Curves!$F$6:$F$51)-SUMPRODUCT(FleetByAge!T$6:T$51,Curves!$B$6:$B$51,Curves!$C$6:$C$51,Curves!$F$6:$F$51))/(T6-T7)</f>
        <v/>
      </c>
    </row>
    <row r="13">
      <c r="A13" s="5" t="inlineStr">
        <is>
          <t>Repairable share, vehicles ≤3</t>
        </is>
      </c>
      <c r="C13" s="31">
        <f>(SUMPRODUCT(FleetByAge!C$6:C$51,Curves!$B$6:$B$51,Curves!$G$6:$G$51)-SUMPRODUCT(FleetByAge!C$6:C$51,Curves!$B$6:$B$51,Curves!$C$6:$C$51,Curves!$G$6:$G$51))/(C6-C7)</f>
        <v/>
      </c>
      <c r="D13" s="31">
        <f>(SUMPRODUCT(FleetByAge!D$6:D$51,Curves!$B$6:$B$51,Curves!$G$6:$G$51)-SUMPRODUCT(FleetByAge!D$6:D$51,Curves!$B$6:$B$51,Curves!$C$6:$C$51,Curves!$G$6:$G$51))/(D6-D7)</f>
        <v/>
      </c>
      <c r="E13" s="31">
        <f>(SUMPRODUCT(FleetByAge!E$6:E$51,Curves!$B$6:$B$51,Curves!$G$6:$G$51)-SUMPRODUCT(FleetByAge!E$6:E$51,Curves!$B$6:$B$51,Curves!$C$6:$C$51,Curves!$G$6:$G$51))/(E6-E7)</f>
        <v/>
      </c>
      <c r="F13" s="31">
        <f>(SUMPRODUCT(FleetByAge!F$6:F$51,Curves!$B$6:$B$51,Curves!$G$6:$G$51)-SUMPRODUCT(FleetByAge!F$6:F$51,Curves!$B$6:$B$51,Curves!$C$6:$C$51,Curves!$G$6:$G$51))/(F6-F7)</f>
        <v/>
      </c>
      <c r="G13" s="31">
        <f>(SUMPRODUCT(FleetByAge!G$6:G$51,Curves!$B$6:$B$51,Curves!$G$6:$G$51)-SUMPRODUCT(FleetByAge!G$6:G$51,Curves!$B$6:$B$51,Curves!$C$6:$C$51,Curves!$G$6:$G$51))/(G6-G7)</f>
        <v/>
      </c>
      <c r="H13" s="31">
        <f>(SUMPRODUCT(FleetByAge!H$6:H$51,Curves!$B$6:$B$51,Curves!$G$6:$G$51)-SUMPRODUCT(FleetByAge!H$6:H$51,Curves!$B$6:$B$51,Curves!$C$6:$C$51,Curves!$G$6:$G$51))/(H6-H7)</f>
        <v/>
      </c>
      <c r="I13" s="31">
        <f>(SUMPRODUCT(FleetByAge!I$6:I$51,Curves!$B$6:$B$51,Curves!$G$6:$G$51)-SUMPRODUCT(FleetByAge!I$6:I$51,Curves!$B$6:$B$51,Curves!$C$6:$C$51,Curves!$G$6:$G$51))/(I6-I7)</f>
        <v/>
      </c>
      <c r="J13" s="31">
        <f>(SUMPRODUCT(FleetByAge!J$6:J$51,Curves!$B$6:$B$51,Curves!$G$6:$G$51)-SUMPRODUCT(FleetByAge!J$6:J$51,Curves!$B$6:$B$51,Curves!$C$6:$C$51,Curves!$G$6:$G$51))/(J6-J7)</f>
        <v/>
      </c>
      <c r="K13" s="31">
        <f>(SUMPRODUCT(FleetByAge!K$6:K$51,Curves!$B$6:$B$51,Curves!$G$6:$G$51)-SUMPRODUCT(FleetByAge!K$6:K$51,Curves!$B$6:$B$51,Curves!$C$6:$C$51,Curves!$G$6:$G$51))/(K6-K7)</f>
        <v/>
      </c>
      <c r="L13" s="31">
        <f>(SUMPRODUCT(FleetByAge!L$6:L$51,Curves!$B$6:$B$51,Curves!$G$6:$G$51)-SUMPRODUCT(FleetByAge!L$6:L$51,Curves!$B$6:$B$51,Curves!$C$6:$C$51,Curves!$G$6:$G$51))/(L6-L7)</f>
        <v/>
      </c>
      <c r="M13" s="31">
        <f>(SUMPRODUCT(FleetByAge!M$6:M$51,Curves!$B$6:$B$51,Curves!$G$6:$G$51)-SUMPRODUCT(FleetByAge!M$6:M$51,Curves!$B$6:$B$51,Curves!$C$6:$C$51,Curves!$G$6:$G$51))/(M6-M7)</f>
        <v/>
      </c>
      <c r="N13" s="31">
        <f>(SUMPRODUCT(FleetByAge!N$6:N$51,Curves!$B$6:$B$51,Curves!$G$6:$G$51)-SUMPRODUCT(FleetByAge!N$6:N$51,Curves!$B$6:$B$51,Curves!$C$6:$C$51,Curves!$G$6:$G$51))/(N6-N7)</f>
        <v/>
      </c>
      <c r="O13" s="31">
        <f>(SUMPRODUCT(FleetByAge!O$6:O$51,Curves!$B$6:$B$51,Curves!$G$6:$G$51)-SUMPRODUCT(FleetByAge!O$6:O$51,Curves!$B$6:$B$51,Curves!$C$6:$C$51,Curves!$G$6:$G$51))/(O6-O7)</f>
        <v/>
      </c>
      <c r="P13" s="31">
        <f>(SUMPRODUCT(FleetByAge!P$6:P$51,Curves!$B$6:$B$51,Curves!$G$6:$G$51)-SUMPRODUCT(FleetByAge!P$6:P$51,Curves!$B$6:$B$51,Curves!$C$6:$C$51,Curves!$G$6:$G$51))/(P6-P7)</f>
        <v/>
      </c>
      <c r="Q13" s="31">
        <f>(SUMPRODUCT(FleetByAge!Q$6:Q$51,Curves!$B$6:$B$51,Curves!$G$6:$G$51)-SUMPRODUCT(FleetByAge!Q$6:Q$51,Curves!$B$6:$B$51,Curves!$C$6:$C$51,Curves!$G$6:$G$51))/(Q6-Q7)</f>
        <v/>
      </c>
      <c r="R13" s="31">
        <f>(SUMPRODUCT(FleetByAge!R$6:R$51,Curves!$B$6:$B$51,Curves!$G$6:$G$51)-SUMPRODUCT(FleetByAge!R$6:R$51,Curves!$B$6:$B$51,Curves!$C$6:$C$51,Curves!$G$6:$G$51))/(R6-R7)</f>
        <v/>
      </c>
      <c r="S13" s="31">
        <f>(SUMPRODUCT(FleetByAge!S$6:S$51,Curves!$B$6:$B$51,Curves!$G$6:$G$51)-SUMPRODUCT(FleetByAge!S$6:S$51,Curves!$B$6:$B$51,Curves!$C$6:$C$51,Curves!$G$6:$G$51))/(S6-S7)</f>
        <v/>
      </c>
      <c r="T13" s="31">
        <f>(SUMPRODUCT(FleetByAge!T$6:T$51,Curves!$B$6:$B$51,Curves!$G$6:$G$51)-SUMPRODUCT(FleetByAge!T$6:T$51,Curves!$B$6:$B$51,Curves!$C$6:$C$51,Curves!$G$6:$G$51))/(T6-T7)</f>
        <v/>
      </c>
    </row>
    <row r="14">
      <c r="A14" s="5" t="inlineStr">
        <is>
          <t>Average age, claim vehicles</t>
        </is>
      </c>
      <c r="C14" s="29">
        <f>SUMPRODUCT(FleetByAge!C$6:C$51,Curves!$B$6:$B$51,Curves!$A$6:$A$51)/C6</f>
        <v/>
      </c>
      <c r="D14" s="29">
        <f>SUMPRODUCT(FleetByAge!D$6:D$51,Curves!$B$6:$B$51,Curves!$A$6:$A$51)/D6</f>
        <v/>
      </c>
      <c r="E14" s="29">
        <f>SUMPRODUCT(FleetByAge!E$6:E$51,Curves!$B$6:$B$51,Curves!$A$6:$A$51)/E6</f>
        <v/>
      </c>
      <c r="F14" s="29">
        <f>SUMPRODUCT(FleetByAge!F$6:F$51,Curves!$B$6:$B$51,Curves!$A$6:$A$51)/F6</f>
        <v/>
      </c>
      <c r="G14" s="29">
        <f>SUMPRODUCT(FleetByAge!G$6:G$51,Curves!$B$6:$B$51,Curves!$A$6:$A$51)/G6</f>
        <v/>
      </c>
      <c r="H14" s="29">
        <f>SUMPRODUCT(FleetByAge!H$6:H$51,Curves!$B$6:$B$51,Curves!$A$6:$A$51)/H6</f>
        <v/>
      </c>
      <c r="I14" s="29">
        <f>SUMPRODUCT(FleetByAge!I$6:I$51,Curves!$B$6:$B$51,Curves!$A$6:$A$51)/I6</f>
        <v/>
      </c>
      <c r="J14" s="29">
        <f>SUMPRODUCT(FleetByAge!J$6:J$51,Curves!$B$6:$B$51,Curves!$A$6:$A$51)/J6</f>
        <v/>
      </c>
      <c r="K14" s="29">
        <f>SUMPRODUCT(FleetByAge!K$6:K$51,Curves!$B$6:$B$51,Curves!$A$6:$A$51)/K6</f>
        <v/>
      </c>
      <c r="L14" s="29">
        <f>SUMPRODUCT(FleetByAge!L$6:L$51,Curves!$B$6:$B$51,Curves!$A$6:$A$51)/L6</f>
        <v/>
      </c>
      <c r="M14" s="29">
        <f>SUMPRODUCT(FleetByAge!M$6:M$51,Curves!$B$6:$B$51,Curves!$A$6:$A$51)/M6</f>
        <v/>
      </c>
      <c r="N14" s="29">
        <f>SUMPRODUCT(FleetByAge!N$6:N$51,Curves!$B$6:$B$51,Curves!$A$6:$A$51)/N6</f>
        <v/>
      </c>
      <c r="O14" s="29">
        <f>SUMPRODUCT(FleetByAge!O$6:O$51,Curves!$B$6:$B$51,Curves!$A$6:$A$51)/O6</f>
        <v/>
      </c>
      <c r="P14" s="29">
        <f>SUMPRODUCT(FleetByAge!P$6:P$51,Curves!$B$6:$B$51,Curves!$A$6:$A$51)/P6</f>
        <v/>
      </c>
      <c r="Q14" s="29">
        <f>SUMPRODUCT(FleetByAge!Q$6:Q$51,Curves!$B$6:$B$51,Curves!$A$6:$A$51)/Q6</f>
        <v/>
      </c>
      <c r="R14" s="29">
        <f>SUMPRODUCT(FleetByAge!R$6:R$51,Curves!$B$6:$B$51,Curves!$A$6:$A$51)/R6</f>
        <v/>
      </c>
      <c r="S14" s="29">
        <f>SUMPRODUCT(FleetByAge!S$6:S$51,Curves!$B$6:$B$51,Curves!$A$6:$A$51)/S6</f>
        <v/>
      </c>
      <c r="T14" s="29">
        <f>SUMPRODUCT(FleetByAge!T$6:T$51,Curves!$B$6:$B$51,Curves!$A$6:$A$51)/T6</f>
        <v/>
      </c>
    </row>
    <row r="15">
      <c r="A15" s="5" t="inlineStr">
        <is>
          <t>Average age, total losses</t>
        </is>
      </c>
      <c r="C15" s="29">
        <f>SUMPRODUCT(FleetByAge!C$6:C$51,Curves!$B$6:$B$51,Curves!$C$6:$C$51,Curves!$A$6:$A$51)/C7</f>
        <v/>
      </c>
      <c r="D15" s="29">
        <f>SUMPRODUCT(FleetByAge!D$6:D$51,Curves!$B$6:$B$51,Curves!$C$6:$C$51,Curves!$A$6:$A$51)/D7</f>
        <v/>
      </c>
      <c r="E15" s="29">
        <f>SUMPRODUCT(FleetByAge!E$6:E$51,Curves!$B$6:$B$51,Curves!$C$6:$C$51,Curves!$A$6:$A$51)/E7</f>
        <v/>
      </c>
      <c r="F15" s="29">
        <f>SUMPRODUCT(FleetByAge!F$6:F$51,Curves!$B$6:$B$51,Curves!$C$6:$C$51,Curves!$A$6:$A$51)/F7</f>
        <v/>
      </c>
      <c r="G15" s="29">
        <f>SUMPRODUCT(FleetByAge!G$6:G$51,Curves!$B$6:$B$51,Curves!$C$6:$C$51,Curves!$A$6:$A$51)/G7</f>
        <v/>
      </c>
      <c r="H15" s="29">
        <f>SUMPRODUCT(FleetByAge!H$6:H$51,Curves!$B$6:$B$51,Curves!$C$6:$C$51,Curves!$A$6:$A$51)/H7</f>
        <v/>
      </c>
      <c r="I15" s="29">
        <f>SUMPRODUCT(FleetByAge!I$6:I$51,Curves!$B$6:$B$51,Curves!$C$6:$C$51,Curves!$A$6:$A$51)/I7</f>
        <v/>
      </c>
      <c r="J15" s="29">
        <f>SUMPRODUCT(FleetByAge!J$6:J$51,Curves!$B$6:$B$51,Curves!$C$6:$C$51,Curves!$A$6:$A$51)/J7</f>
        <v/>
      </c>
      <c r="K15" s="29">
        <f>SUMPRODUCT(FleetByAge!K$6:K$51,Curves!$B$6:$B$51,Curves!$C$6:$C$51,Curves!$A$6:$A$51)/K7</f>
        <v/>
      </c>
      <c r="L15" s="29">
        <f>SUMPRODUCT(FleetByAge!L$6:L$51,Curves!$B$6:$B$51,Curves!$C$6:$C$51,Curves!$A$6:$A$51)/L7</f>
        <v/>
      </c>
      <c r="M15" s="29">
        <f>SUMPRODUCT(FleetByAge!M$6:M$51,Curves!$B$6:$B$51,Curves!$C$6:$C$51,Curves!$A$6:$A$51)/M7</f>
        <v/>
      </c>
      <c r="N15" s="29">
        <f>SUMPRODUCT(FleetByAge!N$6:N$51,Curves!$B$6:$B$51,Curves!$C$6:$C$51,Curves!$A$6:$A$51)/N7</f>
        <v/>
      </c>
      <c r="O15" s="29">
        <f>SUMPRODUCT(FleetByAge!O$6:O$51,Curves!$B$6:$B$51,Curves!$C$6:$C$51,Curves!$A$6:$A$51)/O7</f>
        <v/>
      </c>
      <c r="P15" s="29">
        <f>SUMPRODUCT(FleetByAge!P$6:P$51,Curves!$B$6:$B$51,Curves!$C$6:$C$51,Curves!$A$6:$A$51)/P7</f>
        <v/>
      </c>
      <c r="Q15" s="29">
        <f>SUMPRODUCT(FleetByAge!Q$6:Q$51,Curves!$B$6:$B$51,Curves!$C$6:$C$51,Curves!$A$6:$A$51)/Q7</f>
        <v/>
      </c>
      <c r="R15" s="29">
        <f>SUMPRODUCT(FleetByAge!R$6:R$51,Curves!$B$6:$B$51,Curves!$C$6:$C$51,Curves!$A$6:$A$51)/R7</f>
        <v/>
      </c>
      <c r="S15" s="29">
        <f>SUMPRODUCT(FleetByAge!S$6:S$51,Curves!$B$6:$B$51,Curves!$C$6:$C$51,Curves!$A$6:$A$51)/S7</f>
        <v/>
      </c>
      <c r="T15" s="29">
        <f>SUMPRODUCT(FleetByAge!T$6:T$51,Curves!$B$6:$B$51,Curves!$C$6:$C$51,Curves!$A$6:$A$51)/T7</f>
        <v/>
      </c>
    </row>
    <row r="16">
      <c r="A16" s="5" t="inlineStr">
        <is>
          <t>Average age, repairables</t>
        </is>
      </c>
      <c r="C16" s="29">
        <f>(SUMPRODUCT(FleetByAge!C$6:C$51,Curves!$B$6:$B$51,Curves!$A$6:$A$51)-SUMPRODUCT(FleetByAge!C$6:C$51,Curves!$B$6:$B$51,Curves!$C$6:$C$51,Curves!$A$6:$A$51))/(C6-C7)</f>
        <v/>
      </c>
      <c r="D16" s="29">
        <f>(SUMPRODUCT(FleetByAge!D$6:D$51,Curves!$B$6:$B$51,Curves!$A$6:$A$51)-SUMPRODUCT(FleetByAge!D$6:D$51,Curves!$B$6:$B$51,Curves!$C$6:$C$51,Curves!$A$6:$A$51))/(D6-D7)</f>
        <v/>
      </c>
      <c r="E16" s="29">
        <f>(SUMPRODUCT(FleetByAge!E$6:E$51,Curves!$B$6:$B$51,Curves!$A$6:$A$51)-SUMPRODUCT(FleetByAge!E$6:E$51,Curves!$B$6:$B$51,Curves!$C$6:$C$51,Curves!$A$6:$A$51))/(E6-E7)</f>
        <v/>
      </c>
      <c r="F16" s="29">
        <f>(SUMPRODUCT(FleetByAge!F$6:F$51,Curves!$B$6:$B$51,Curves!$A$6:$A$51)-SUMPRODUCT(FleetByAge!F$6:F$51,Curves!$B$6:$B$51,Curves!$C$6:$C$51,Curves!$A$6:$A$51))/(F6-F7)</f>
        <v/>
      </c>
      <c r="G16" s="29">
        <f>(SUMPRODUCT(FleetByAge!G$6:G$51,Curves!$B$6:$B$51,Curves!$A$6:$A$51)-SUMPRODUCT(FleetByAge!G$6:G$51,Curves!$B$6:$B$51,Curves!$C$6:$C$51,Curves!$A$6:$A$51))/(G6-G7)</f>
        <v/>
      </c>
      <c r="H16" s="29">
        <f>(SUMPRODUCT(FleetByAge!H$6:H$51,Curves!$B$6:$B$51,Curves!$A$6:$A$51)-SUMPRODUCT(FleetByAge!H$6:H$51,Curves!$B$6:$B$51,Curves!$C$6:$C$51,Curves!$A$6:$A$51))/(H6-H7)</f>
        <v/>
      </c>
      <c r="I16" s="29">
        <f>(SUMPRODUCT(FleetByAge!I$6:I$51,Curves!$B$6:$B$51,Curves!$A$6:$A$51)-SUMPRODUCT(FleetByAge!I$6:I$51,Curves!$B$6:$B$51,Curves!$C$6:$C$51,Curves!$A$6:$A$51))/(I6-I7)</f>
        <v/>
      </c>
      <c r="J16" s="29">
        <f>(SUMPRODUCT(FleetByAge!J$6:J$51,Curves!$B$6:$B$51,Curves!$A$6:$A$51)-SUMPRODUCT(FleetByAge!J$6:J$51,Curves!$B$6:$B$51,Curves!$C$6:$C$51,Curves!$A$6:$A$51))/(J6-J7)</f>
        <v/>
      </c>
      <c r="K16" s="29">
        <f>(SUMPRODUCT(FleetByAge!K$6:K$51,Curves!$B$6:$B$51,Curves!$A$6:$A$51)-SUMPRODUCT(FleetByAge!K$6:K$51,Curves!$B$6:$B$51,Curves!$C$6:$C$51,Curves!$A$6:$A$51))/(K6-K7)</f>
        <v/>
      </c>
      <c r="L16" s="29">
        <f>(SUMPRODUCT(FleetByAge!L$6:L$51,Curves!$B$6:$B$51,Curves!$A$6:$A$51)-SUMPRODUCT(FleetByAge!L$6:L$51,Curves!$B$6:$B$51,Curves!$C$6:$C$51,Curves!$A$6:$A$51))/(L6-L7)</f>
        <v/>
      </c>
      <c r="M16" s="29">
        <f>(SUMPRODUCT(FleetByAge!M$6:M$51,Curves!$B$6:$B$51,Curves!$A$6:$A$51)-SUMPRODUCT(FleetByAge!M$6:M$51,Curves!$B$6:$B$51,Curves!$C$6:$C$51,Curves!$A$6:$A$51))/(M6-M7)</f>
        <v/>
      </c>
      <c r="N16" s="29">
        <f>(SUMPRODUCT(FleetByAge!N$6:N$51,Curves!$B$6:$B$51,Curves!$A$6:$A$51)-SUMPRODUCT(FleetByAge!N$6:N$51,Curves!$B$6:$B$51,Curves!$C$6:$C$51,Curves!$A$6:$A$51))/(N6-N7)</f>
        <v/>
      </c>
      <c r="O16" s="29">
        <f>(SUMPRODUCT(FleetByAge!O$6:O$51,Curves!$B$6:$B$51,Curves!$A$6:$A$51)-SUMPRODUCT(FleetByAge!O$6:O$51,Curves!$B$6:$B$51,Curves!$C$6:$C$51,Curves!$A$6:$A$51))/(O6-O7)</f>
        <v/>
      </c>
      <c r="P16" s="29">
        <f>(SUMPRODUCT(FleetByAge!P$6:P$51,Curves!$B$6:$B$51,Curves!$A$6:$A$51)-SUMPRODUCT(FleetByAge!P$6:P$51,Curves!$B$6:$B$51,Curves!$C$6:$C$51,Curves!$A$6:$A$51))/(P6-P7)</f>
        <v/>
      </c>
      <c r="Q16" s="29">
        <f>(SUMPRODUCT(FleetByAge!Q$6:Q$51,Curves!$B$6:$B$51,Curves!$A$6:$A$51)-SUMPRODUCT(FleetByAge!Q$6:Q$51,Curves!$B$6:$B$51,Curves!$C$6:$C$51,Curves!$A$6:$A$51))/(Q6-Q7)</f>
        <v/>
      </c>
      <c r="R16" s="29">
        <f>(SUMPRODUCT(FleetByAge!R$6:R$51,Curves!$B$6:$B$51,Curves!$A$6:$A$51)-SUMPRODUCT(FleetByAge!R$6:R$51,Curves!$B$6:$B$51,Curves!$C$6:$C$51,Curves!$A$6:$A$51))/(R6-R7)</f>
        <v/>
      </c>
      <c r="S16" s="29">
        <f>(SUMPRODUCT(FleetByAge!S$6:S$51,Curves!$B$6:$B$51,Curves!$A$6:$A$51)-SUMPRODUCT(FleetByAge!S$6:S$51,Curves!$B$6:$B$51,Curves!$C$6:$C$51,Curves!$A$6:$A$51))/(S6-S7)</f>
        <v/>
      </c>
      <c r="T16" s="29">
        <f>(SUMPRODUCT(FleetByAge!T$6:T$51,Curves!$B$6:$B$51,Curves!$A$6:$A$51)-SUMPRODUCT(FleetByAge!T$6:T$51,Curves!$B$6:$B$51,Curves!$C$6:$C$51,Curves!$A$6:$A$51))/(T6-T7)</f>
        <v/>
      </c>
    </row>
    <row r="17">
      <c r="A17" s="5" t="inlineStr">
        <is>
          <t>Total-loss rate, vehicles ≤3</t>
        </is>
      </c>
      <c r="C17" s="31">
        <f>SUMPRODUCT(FleetByAge!C$6:C$51,Curves!$B$6:$B$51,Curves!$C$6:$C$51,Curves!$G$6:$G$51)/SUMPRODUCT(FleetByAge!C$6:C$51,Curves!$B$6:$B$51,Curves!$G$6:$G$51)</f>
        <v/>
      </c>
      <c r="D17" s="31">
        <f>SUMPRODUCT(FleetByAge!D$6:D$51,Curves!$B$6:$B$51,Curves!$C$6:$C$51,Curves!$G$6:$G$51)/SUMPRODUCT(FleetByAge!D$6:D$51,Curves!$B$6:$B$51,Curves!$G$6:$G$51)</f>
        <v/>
      </c>
      <c r="E17" s="31">
        <f>SUMPRODUCT(FleetByAge!E$6:E$51,Curves!$B$6:$B$51,Curves!$C$6:$C$51,Curves!$G$6:$G$51)/SUMPRODUCT(FleetByAge!E$6:E$51,Curves!$B$6:$B$51,Curves!$G$6:$G$51)</f>
        <v/>
      </c>
      <c r="F17" s="31">
        <f>SUMPRODUCT(FleetByAge!F$6:F$51,Curves!$B$6:$B$51,Curves!$C$6:$C$51,Curves!$G$6:$G$51)/SUMPRODUCT(FleetByAge!F$6:F$51,Curves!$B$6:$B$51,Curves!$G$6:$G$51)</f>
        <v/>
      </c>
      <c r="G17" s="31">
        <f>SUMPRODUCT(FleetByAge!G$6:G$51,Curves!$B$6:$B$51,Curves!$C$6:$C$51,Curves!$G$6:$G$51)/SUMPRODUCT(FleetByAge!G$6:G$51,Curves!$B$6:$B$51,Curves!$G$6:$G$51)</f>
        <v/>
      </c>
      <c r="H17" s="31">
        <f>SUMPRODUCT(FleetByAge!H$6:H$51,Curves!$B$6:$B$51,Curves!$C$6:$C$51,Curves!$G$6:$G$51)/SUMPRODUCT(FleetByAge!H$6:H$51,Curves!$B$6:$B$51,Curves!$G$6:$G$51)</f>
        <v/>
      </c>
      <c r="I17" s="31">
        <f>SUMPRODUCT(FleetByAge!I$6:I$51,Curves!$B$6:$B$51,Curves!$C$6:$C$51,Curves!$G$6:$G$51)/SUMPRODUCT(FleetByAge!I$6:I$51,Curves!$B$6:$B$51,Curves!$G$6:$G$51)</f>
        <v/>
      </c>
      <c r="J17" s="31">
        <f>SUMPRODUCT(FleetByAge!J$6:J$51,Curves!$B$6:$B$51,Curves!$C$6:$C$51,Curves!$G$6:$G$51)/SUMPRODUCT(FleetByAge!J$6:J$51,Curves!$B$6:$B$51,Curves!$G$6:$G$51)</f>
        <v/>
      </c>
      <c r="K17" s="31">
        <f>SUMPRODUCT(FleetByAge!K$6:K$51,Curves!$B$6:$B$51,Curves!$C$6:$C$51,Curves!$G$6:$G$51)/SUMPRODUCT(FleetByAge!K$6:K$51,Curves!$B$6:$B$51,Curves!$G$6:$G$51)</f>
        <v/>
      </c>
      <c r="L17" s="31">
        <f>SUMPRODUCT(FleetByAge!L$6:L$51,Curves!$B$6:$B$51,Curves!$C$6:$C$51,Curves!$G$6:$G$51)/SUMPRODUCT(FleetByAge!L$6:L$51,Curves!$B$6:$B$51,Curves!$G$6:$G$51)</f>
        <v/>
      </c>
      <c r="M17" s="31">
        <f>SUMPRODUCT(FleetByAge!M$6:M$51,Curves!$B$6:$B$51,Curves!$C$6:$C$51,Curves!$G$6:$G$51)/SUMPRODUCT(FleetByAge!M$6:M$51,Curves!$B$6:$B$51,Curves!$G$6:$G$51)</f>
        <v/>
      </c>
      <c r="N17" s="31">
        <f>SUMPRODUCT(FleetByAge!N$6:N$51,Curves!$B$6:$B$51,Curves!$C$6:$C$51,Curves!$G$6:$G$51)/SUMPRODUCT(FleetByAge!N$6:N$51,Curves!$B$6:$B$51,Curves!$G$6:$G$51)</f>
        <v/>
      </c>
      <c r="O17" s="31">
        <f>SUMPRODUCT(FleetByAge!O$6:O$51,Curves!$B$6:$B$51,Curves!$C$6:$C$51,Curves!$G$6:$G$51)/SUMPRODUCT(FleetByAge!O$6:O$51,Curves!$B$6:$B$51,Curves!$G$6:$G$51)</f>
        <v/>
      </c>
      <c r="P17" s="31">
        <f>SUMPRODUCT(FleetByAge!P$6:P$51,Curves!$B$6:$B$51,Curves!$C$6:$C$51,Curves!$G$6:$G$51)/SUMPRODUCT(FleetByAge!P$6:P$51,Curves!$B$6:$B$51,Curves!$G$6:$G$51)</f>
        <v/>
      </c>
      <c r="Q17" s="31">
        <f>SUMPRODUCT(FleetByAge!Q$6:Q$51,Curves!$B$6:$B$51,Curves!$C$6:$C$51,Curves!$G$6:$G$51)/SUMPRODUCT(FleetByAge!Q$6:Q$51,Curves!$B$6:$B$51,Curves!$G$6:$G$51)</f>
        <v/>
      </c>
      <c r="R17" s="31">
        <f>SUMPRODUCT(FleetByAge!R$6:R$51,Curves!$B$6:$B$51,Curves!$C$6:$C$51,Curves!$G$6:$G$51)/SUMPRODUCT(FleetByAge!R$6:R$51,Curves!$B$6:$B$51,Curves!$G$6:$G$51)</f>
        <v/>
      </c>
      <c r="S17" s="31">
        <f>SUMPRODUCT(FleetByAge!S$6:S$51,Curves!$B$6:$B$51,Curves!$C$6:$C$51,Curves!$G$6:$G$51)/SUMPRODUCT(FleetByAge!S$6:S$51,Curves!$B$6:$B$51,Curves!$G$6:$G$51)</f>
        <v/>
      </c>
      <c r="T17" s="31">
        <f>SUMPRODUCT(FleetByAge!T$6:T$51,Curves!$B$6:$B$51,Curves!$C$6:$C$51,Curves!$G$6:$G$51)/SUMPRODUCT(FleetByAge!T$6:T$51,Curves!$B$6:$B$51,Curves!$G$6:$G$51)</f>
        <v/>
      </c>
    </row>
    <row r="18">
      <c r="A18" s="5" t="inlineStr">
        <is>
          <t>VIO (M) — FleetByAge</t>
        </is>
      </c>
      <c r="C18" s="44">
        <f>FleetByAge!C53</f>
        <v/>
      </c>
      <c r="D18" s="44">
        <f>FleetByAge!D53</f>
        <v/>
      </c>
      <c r="E18" s="44">
        <f>FleetByAge!E53</f>
        <v/>
      </c>
      <c r="F18" s="44">
        <f>FleetByAge!F53</f>
        <v/>
      </c>
      <c r="G18" s="44">
        <f>FleetByAge!G53</f>
        <v/>
      </c>
      <c r="H18" s="44">
        <f>FleetByAge!H53</f>
        <v/>
      </c>
      <c r="I18" s="44">
        <f>FleetByAge!I53</f>
        <v/>
      </c>
      <c r="J18" s="44">
        <f>FleetByAge!J53</f>
        <v/>
      </c>
      <c r="K18" s="44">
        <f>FleetByAge!K53</f>
        <v/>
      </c>
      <c r="L18" s="44">
        <f>FleetByAge!L53</f>
        <v/>
      </c>
      <c r="M18" s="44">
        <f>FleetByAge!M53</f>
        <v/>
      </c>
      <c r="N18" s="44">
        <f>FleetByAge!N53</f>
        <v/>
      </c>
      <c r="O18" s="44">
        <f>FleetByAge!O53</f>
        <v/>
      </c>
      <c r="P18" s="44">
        <f>FleetByAge!P53</f>
        <v/>
      </c>
      <c r="Q18" s="44">
        <f>FleetByAge!Q53</f>
        <v/>
      </c>
      <c r="R18" s="44">
        <f>FleetByAge!R53</f>
        <v/>
      </c>
      <c r="S18" s="44">
        <f>FleetByAge!S53</f>
        <v/>
      </c>
      <c r="T18" s="44">
        <f>FleetByAge!T53</f>
        <v/>
      </c>
    </row>
    <row r="19">
      <c r="A19" s="5" t="inlineStr">
        <is>
          <t>Fleet share aged 7+ — FleetByAge</t>
        </is>
      </c>
      <c r="C19" s="37">
        <f>FleetByAge!C54</f>
        <v/>
      </c>
      <c r="D19" s="37">
        <f>FleetByAge!D54</f>
        <v/>
      </c>
      <c r="E19" s="37">
        <f>FleetByAge!E54</f>
        <v/>
      </c>
      <c r="F19" s="37">
        <f>FleetByAge!F54</f>
        <v/>
      </c>
      <c r="G19" s="37">
        <f>FleetByAge!G54</f>
        <v/>
      </c>
      <c r="H19" s="37">
        <f>FleetByAge!H54</f>
        <v/>
      </c>
      <c r="I19" s="37">
        <f>FleetByAge!I54</f>
        <v/>
      </c>
      <c r="J19" s="37">
        <f>FleetByAge!J54</f>
        <v/>
      </c>
      <c r="K19" s="37">
        <f>FleetByAge!K54</f>
        <v/>
      </c>
      <c r="L19" s="37">
        <f>FleetByAge!L54</f>
        <v/>
      </c>
      <c r="M19" s="37">
        <f>FleetByAge!M54</f>
        <v/>
      </c>
      <c r="N19" s="37">
        <f>FleetByAge!N54</f>
        <v/>
      </c>
      <c r="O19" s="37">
        <f>FleetByAge!O54</f>
        <v/>
      </c>
      <c r="P19" s="37">
        <f>FleetByAge!P54</f>
        <v/>
      </c>
      <c r="Q19" s="37">
        <f>FleetByAge!Q54</f>
        <v/>
      </c>
      <c r="R19" s="37">
        <f>FleetByAge!R54</f>
        <v/>
      </c>
      <c r="S19" s="37">
        <f>FleetByAge!S54</f>
        <v/>
      </c>
      <c r="T19" s="37">
        <f>FleetByAge!T54</f>
        <v/>
      </c>
    </row>
    <row r="20">
      <c r="A20" s="5" t="inlineStr">
        <is>
          <t>Average fleet age (t−MY+0.5)</t>
        </is>
      </c>
      <c r="C20" s="45">
        <f>FleetByAge!C57</f>
        <v/>
      </c>
      <c r="D20" s="45">
        <f>FleetByAge!D57</f>
        <v/>
      </c>
      <c r="E20" s="45">
        <f>FleetByAge!E57</f>
        <v/>
      </c>
      <c r="F20" s="45">
        <f>FleetByAge!F57</f>
        <v/>
      </c>
      <c r="G20" s="45">
        <f>FleetByAge!G57</f>
        <v/>
      </c>
      <c r="H20" s="45">
        <f>FleetByAge!H57</f>
        <v/>
      </c>
      <c r="I20" s="45">
        <f>FleetByAge!I57</f>
        <v/>
      </c>
      <c r="J20" s="45">
        <f>FleetByAge!J57</f>
        <v/>
      </c>
      <c r="K20" s="45">
        <f>FleetByAge!K57</f>
        <v/>
      </c>
      <c r="L20" s="45">
        <f>FleetByAge!L57</f>
        <v/>
      </c>
      <c r="M20" s="45">
        <f>FleetByAge!M57</f>
        <v/>
      </c>
      <c r="N20" s="45">
        <f>FleetByAge!N57</f>
        <v/>
      </c>
      <c r="O20" s="45">
        <f>FleetByAge!O57</f>
        <v/>
      </c>
      <c r="P20" s="45">
        <f>FleetByAge!P57</f>
        <v/>
      </c>
      <c r="Q20" s="45">
        <f>FleetByAge!Q57</f>
        <v/>
      </c>
      <c r="R20" s="45">
        <f>FleetByAge!R57</f>
        <v/>
      </c>
      <c r="S20" s="45">
        <f>FleetByAge!S57</f>
        <v/>
      </c>
      <c r="T20" s="45">
        <f>FleetByAge!T57</f>
        <v/>
      </c>
    </row>
    <row r="21">
      <c r="A21" s="5" t="inlineStr">
        <is>
          <t>Total-loss index YoY % (demographic TL pool growth)</t>
        </is>
      </c>
      <c r="C21" s="46" t="inlineStr"/>
      <c r="D21" s="46">
        <f>(D7/C7-1)*100</f>
        <v/>
      </c>
      <c r="E21" s="46">
        <f>(E7/D7-1)*100</f>
        <v/>
      </c>
      <c r="F21" s="46">
        <f>(F7/E7-1)*100</f>
        <v/>
      </c>
      <c r="G21" s="46">
        <f>(G7/F7-1)*100</f>
        <v/>
      </c>
      <c r="H21" s="46">
        <f>(H7/G7-1)*100</f>
        <v/>
      </c>
      <c r="I21" s="46">
        <f>(I7/H7-1)*100</f>
        <v/>
      </c>
      <c r="J21" s="46">
        <f>(J7/I7-1)*100</f>
        <v/>
      </c>
      <c r="K21" s="46">
        <f>(K7/J7-1)*100</f>
        <v/>
      </c>
      <c r="L21" s="46">
        <f>(L7/K7-1)*100</f>
        <v/>
      </c>
      <c r="M21" s="46">
        <f>(M7/L7-1)*100</f>
        <v/>
      </c>
      <c r="N21" s="46">
        <f>(N7/M7-1)*100</f>
        <v/>
      </c>
      <c r="O21" s="46">
        <f>(O7/N7-1)*100</f>
        <v/>
      </c>
      <c r="P21" s="46">
        <f>(P7/O7-1)*100</f>
        <v/>
      </c>
      <c r="Q21" s="46">
        <f>(Q7/P7-1)*100</f>
        <v/>
      </c>
      <c r="R21" s="46">
        <f>(R7/Q7-1)*100</f>
        <v/>
      </c>
      <c r="S21" s="46">
        <f>(S7/R7-1)*100</f>
        <v/>
      </c>
      <c r="T21" s="46">
        <f>(T7/S7-1)*100</f>
        <v/>
      </c>
    </row>
    <row r="24">
      <c r="A24" s="3" t="inlineStr">
        <is>
          <t>Checks against CCC (R,P frozen at the 2024 fit — rows marked OOS were never used in the fit)</t>
        </is>
      </c>
    </row>
    <row r="25">
      <c r="A25" s="7" t="inlineStr">
        <is>
          <t>use</t>
        </is>
      </c>
      <c r="B25" s="7" t="inlineStr">
        <is>
          <t>year</t>
        </is>
      </c>
      <c r="C25" s="7" t="inlineStr">
        <is>
          <t>statistic</t>
        </is>
      </c>
      <c r="D25" s="7" t="inlineStr">
        <is>
          <t>CCC actual</t>
        </is>
      </c>
      <c r="E25" s="7" t="inlineStr">
        <is>
          <t>model</t>
        </is>
      </c>
      <c r="F25" s="7" t="inlineStr">
        <is>
          <t>error</t>
        </is>
      </c>
      <c r="G25" s="7" t="inlineStr">
        <is>
          <t>quote</t>
        </is>
      </c>
    </row>
    <row r="26">
      <c r="A26" s="5" t="inlineStr">
        <is>
          <t>FIT</t>
        </is>
      </c>
      <c r="B26" s="9" t="n">
        <v>2024</v>
      </c>
      <c r="C26" s="5" t="inlineStr">
        <is>
          <t>Total-loss frequency, all loss categories</t>
        </is>
      </c>
      <c r="D26" s="14" t="n">
        <v>0.223</v>
      </c>
      <c r="E26" s="31">
        <f>INDEX($C$8:$T$8,1,MATCH(B26,$C$4:$T$4,0))</f>
        <v/>
      </c>
      <c r="F26" s="47">
        <f>(E26-D26)*100</f>
        <v/>
      </c>
      <c r="G26" s="2" t="inlineStr">
        <is>
          <t>printed data label, chart "Total Loss Frequency Remains High as Vehicle Values Trend Up" (2024 = 22.3%)</t>
        </is>
      </c>
    </row>
    <row r="27">
      <c r="A27" s="5" t="inlineStr">
        <is>
          <t>FIT</t>
        </is>
      </c>
      <c r="B27" s="9" t="n">
        <v>2024</v>
      </c>
      <c r="C27" s="5" t="inlineStr">
        <is>
          <t>Share of total-loss valuations on vehicles 7+ yrs</t>
        </is>
      </c>
      <c r="D27" s="14" t="n">
        <v>0.72</v>
      </c>
      <c r="E27" s="31">
        <f>INDEX($C$11:$T$11,1,MATCH(B27,$C$4:$T$4,0))</f>
        <v/>
      </c>
      <c r="F27" s="47">
        <f>(E27-D27)*100</f>
        <v/>
      </c>
      <c r="G27" s="2" t="inlineStr">
        <is>
          <t>almost 72% of valuations across all loss categories are for vehicles 7 years or older</t>
        </is>
      </c>
    </row>
    <row r="28">
      <c r="A28" s="5" t="inlineStr">
        <is>
          <t>FIT</t>
        </is>
      </c>
      <c r="B28" s="9" t="n">
        <v>2024</v>
      </c>
      <c r="C28" s="5" t="inlineStr">
        <is>
          <t>Share of repairable claims on vehicles 7+ yrs</t>
        </is>
      </c>
      <c r="D28" s="14" t="n">
        <v>0.45</v>
      </c>
      <c r="E28" s="31">
        <f>INDEX($C$12:$T$12,1,MATCH(B28,$C$4:$T$4,0))</f>
        <v/>
      </c>
      <c r="F28" s="47">
        <f>(E28-D28)*100</f>
        <v/>
      </c>
      <c r="G28" s="2" t="inlineStr">
        <is>
          <t>vehicles seven years or older now make up nearly 45% of all repairable claims, up from 35% in 2019</t>
        </is>
      </c>
    </row>
    <row r="29">
      <c r="A29" s="5" t="inlineStr">
        <is>
          <t>FIT</t>
        </is>
      </c>
      <c r="B29" s="9" t="n">
        <v>2024</v>
      </c>
      <c r="C29" s="5" t="inlineStr">
        <is>
          <t>Share of repairable claims on vehicles ≤3 yrs (all fuel)</t>
        </is>
      </c>
      <c r="D29" s="14" t="n">
        <v>0.3</v>
      </c>
      <c r="E29" s="31">
        <f>INDEX($C$13:$T$13,1,MATCH(B29,$C$4:$T$4,0))</f>
        <v/>
      </c>
      <c r="F29" s="47">
        <f>(E29-D29)*100</f>
        <v/>
      </c>
      <c r="G29" s="2" t="inlineStr">
        <is>
          <t>Only 26.3% of repairable ICE vehicles are three years or newer (EVs 79.4% / hybrids 60.3% ≤3 yrs → all-fuel ≈30%)</t>
        </is>
      </c>
    </row>
    <row r="30">
      <c r="A30" s="5" t="inlineStr">
        <is>
          <t>FIT</t>
        </is>
      </c>
      <c r="B30" s="9" t="n">
        <v>2024</v>
      </c>
      <c r="C30" s="5" t="inlineStr">
        <is>
          <t>Average age of vehicles in claims (yrs)</t>
        </is>
      </c>
      <c r="D30" s="22" t="n">
        <v>7.6</v>
      </c>
      <c r="E30" s="29">
        <f>INDEX($C$14:$T$14,1,MATCH(B30,$C$4:$T$4,0))</f>
        <v/>
      </c>
      <c r="F30" s="46">
        <f>E30-D30</f>
        <v/>
      </c>
      <c r="G30" s="2" t="inlineStr">
        <is>
          <t>For claims, the average age of vehicles has increased to 7.6 years – up from 6.9 years in 2020</t>
        </is>
      </c>
    </row>
    <row r="31">
      <c r="A31" s="5" t="inlineStr">
        <is>
          <t>FIT</t>
        </is>
      </c>
      <c r="B31" s="9" t="n">
        <v>2024</v>
      </c>
      <c r="C31" s="5" t="inlineStr">
        <is>
          <t>Average age of repairable vehicles (yrs)</t>
        </is>
      </c>
      <c r="D31" s="22" t="n">
        <v>6.8</v>
      </c>
      <c r="E31" s="29">
        <f>INDEX($C$16:$T$16,1,MATCH(B31,$C$4:$T$4,0))</f>
        <v/>
      </c>
      <c r="F31" s="46">
        <f>E31-D31</f>
        <v/>
      </c>
      <c r="G31" s="2" t="inlineStr">
        <is>
          <t>The average age of repairable vehicles was 6.8 years in 2024 (up from 6.1 years old in 2020)</t>
        </is>
      </c>
    </row>
    <row r="32">
      <c r="A32" s="5" t="inlineStr">
        <is>
          <t>FIT</t>
        </is>
      </c>
      <c r="B32" s="9" t="n">
        <v>2024</v>
      </c>
      <c r="C32" s="5" t="inlineStr">
        <is>
          <t>Average age of total-loss vehicles (yrs)</t>
        </is>
      </c>
      <c r="D32" s="22" t="n">
        <v>10.6</v>
      </c>
      <c r="E32" s="29">
        <f>INDEX($C$15:$T$15,1,MATCH(B32,$C$4:$T$4,0))</f>
        <v/>
      </c>
      <c r="F32" s="46">
        <f>E32-D32</f>
        <v/>
      </c>
      <c r="G32" s="2" t="inlineStr">
        <is>
          <t>... and 10.6 years for total loss vehicles (up from 10.0 years old in 2020)</t>
        </is>
      </c>
    </row>
    <row r="33">
      <c r="A33" s="5" t="inlineStr">
        <is>
          <t>FIT</t>
        </is>
      </c>
      <c r="B33" s="9" t="n">
        <v>2024</v>
      </c>
      <c r="C33" s="5" t="inlineStr">
        <is>
          <t>Total-loss rate for claims on vehicles ≤3 yrs</t>
        </is>
      </c>
      <c r="D33" s="14" t="n">
        <v>0.1</v>
      </c>
      <c r="E33" s="31">
        <f>INDEX($C$17:$T$17,1,MATCH(B33,$C$4:$T$4,0))</f>
        <v/>
      </c>
      <c r="F33" s="47">
        <f>(E33-D33)*100</f>
        <v/>
      </c>
      <c r="G33" s="2" t="inlineStr">
        <is>
          <t>For claims that are three years old or newer, 1 in 10 are flagged as a total loss by the insurer</t>
        </is>
      </c>
    </row>
    <row r="34">
      <c r="A34" s="5" t="inlineStr">
        <is>
          <t>OOS</t>
        </is>
      </c>
      <c r="B34" s="9" t="n">
        <v>2019</v>
      </c>
      <c r="C34" s="5" t="inlineStr">
        <is>
          <t>Share of repairable claims on vehicles 7+ yrs</t>
        </is>
      </c>
      <c r="D34" s="14" t="n">
        <v>0.35</v>
      </c>
      <c r="E34" s="31">
        <f>INDEX($C$12:$T$12,1,MATCH(B34,$C$4:$T$4,0))</f>
        <v/>
      </c>
      <c r="F34" s="47">
        <f>(E34-D34)*100</f>
        <v/>
      </c>
      <c r="G34" s="2" t="inlineStr">
        <is>
          <t>up from 35% in 2019</t>
        </is>
      </c>
    </row>
    <row r="35">
      <c r="A35" s="5" t="inlineStr">
        <is>
          <t>OOS</t>
        </is>
      </c>
      <c r="B35" s="9" t="n">
        <v>2019</v>
      </c>
      <c r="C35" s="5" t="inlineStr">
        <is>
          <t>Share of repairable claims on vehicles ≤3 yrs</t>
        </is>
      </c>
      <c r="D35" s="14" t="n">
        <v>0.385</v>
      </c>
      <c r="E35" s="31">
        <f>INDEX($C$13:$T$13,1,MATCH(B35,$C$4:$T$4,0))</f>
        <v/>
      </c>
      <c r="F35" s="47">
        <f>(E35-D35)*100</f>
        <v/>
      </c>
      <c r="G35" s="2" t="inlineStr">
        <is>
          <t>vehicles 3 years or newer represented 38.5% of the repairable mix in 2019</t>
        </is>
      </c>
    </row>
    <row r="36">
      <c r="A36" s="5" t="inlineStr">
        <is>
          <t>OOS</t>
        </is>
      </c>
      <c r="B36" s="9" t="n">
        <v>2020</v>
      </c>
      <c r="C36" s="5" t="inlineStr">
        <is>
          <t>Average age of vehicles in claims (yrs)</t>
        </is>
      </c>
      <c r="D36" s="22" t="n">
        <v>6.9</v>
      </c>
      <c r="E36" s="29">
        <f>INDEX($C$14:$T$14,1,MATCH(B36,$C$4:$T$4,0))</f>
        <v/>
      </c>
      <c r="F36" s="46">
        <f>E36-D36</f>
        <v/>
      </c>
      <c r="G36" s="2" t="inlineStr">
        <is>
          <t>up from 6.9 years in 2020</t>
        </is>
      </c>
    </row>
    <row r="37">
      <c r="A37" s="5" t="inlineStr">
        <is>
          <t>OOS</t>
        </is>
      </c>
      <c r="B37" s="9" t="n">
        <v>2020</v>
      </c>
      <c r="C37" s="5" t="inlineStr">
        <is>
          <t>Average age of repairable vehicles (yrs)</t>
        </is>
      </c>
      <c r="D37" s="22" t="n">
        <v>6.1</v>
      </c>
      <c r="E37" s="29">
        <f>INDEX($C$16:$T$16,1,MATCH(B37,$C$4:$T$4,0))</f>
        <v/>
      </c>
      <c r="F37" s="46">
        <f>E37-D37</f>
        <v/>
      </c>
      <c r="G37" s="2" t="inlineStr">
        <is>
          <t>up from 6.1 years old in 2020</t>
        </is>
      </c>
    </row>
    <row r="38">
      <c r="A38" s="5" t="inlineStr">
        <is>
          <t>OOS</t>
        </is>
      </c>
      <c r="B38" s="9" t="n">
        <v>2020</v>
      </c>
      <c r="C38" s="5" t="inlineStr">
        <is>
          <t>Average age of total-loss vehicles (yrs)</t>
        </is>
      </c>
      <c r="D38" s="22" t="n">
        <v>10</v>
      </c>
      <c r="E38" s="29">
        <f>INDEX($C$15:$T$15,1,MATCH(B38,$C$4:$T$4,0))</f>
        <v/>
      </c>
      <c r="F38" s="46">
        <f>E38-D38</f>
        <v/>
      </c>
      <c r="G38" s="2" t="inlineStr">
        <is>
          <t>up from 10.0 years old in 2020</t>
        </is>
      </c>
    </row>
    <row r="39">
      <c r="A39" s="5" t="inlineStr">
        <is>
          <t>OOS</t>
        </is>
      </c>
      <c r="B39" s="9" t="n">
        <v>2025</v>
      </c>
      <c r="C39" s="5" t="inlineStr">
        <is>
          <t>Share of total-loss valuations on vehicles 7+ yrs</t>
        </is>
      </c>
      <c r="D39" s="14" t="n">
        <v>0.72</v>
      </c>
      <c r="E39" s="31">
        <f>INDEX($C$11:$T$11,1,MATCH(B39,$C$4:$T$4,0))</f>
        <v/>
      </c>
      <c r="F39" s="47">
        <f>(E39-D39)*100</f>
        <v/>
      </c>
      <c r="G39" s="2" t="inlineStr">
        <is>
          <t>over 72% of total loss valuations are on vehicles 7 years or older</t>
        </is>
      </c>
    </row>
    <row r="40">
      <c r="A40" s="5" t="inlineStr">
        <is>
          <t>OOS</t>
        </is>
      </c>
      <c r="B40" s="9" t="n">
        <v>2025</v>
      </c>
      <c r="C40" s="5" t="inlineStr">
        <is>
          <t>Share of repairable claims on vehicles 7+ yrs</t>
        </is>
      </c>
      <c r="D40" s="14" t="n">
        <v>0.46</v>
      </c>
      <c r="E40" s="31">
        <f>INDEX($C$12:$T$12,1,MATCH(B40,$C$4:$T$4,0))</f>
        <v/>
      </c>
      <c r="F40" s="47">
        <f>(E40-D40)*100</f>
        <v/>
      </c>
      <c r="G40" s="2" t="inlineStr">
        <is>
          <t>almost 46% of repairable vehicles are 7 years or older</t>
        </is>
      </c>
    </row>
    <row r="41">
      <c r="A41" s="5" t="inlineStr">
        <is>
          <t>OOS</t>
        </is>
      </c>
      <c r="B41" s="9" t="n">
        <v>2019</v>
      </c>
      <c r="C41" s="5" t="inlineStr">
        <is>
          <t>TLF all loss categories (demographics-only model vs actual)</t>
        </is>
      </c>
      <c r="D41" s="14" t="n">
        <v>0.192</v>
      </c>
      <c r="E41" s="31">
        <f>INDEX($C$8:$T$8,1,MATCH(B41,$C$4:$T$4,0))</f>
        <v/>
      </c>
      <c r="F41" s="47">
        <f>(E41-D41)*100</f>
        <v/>
      </c>
      <c r="G41" s="2" t="inlineStr">
        <is>
          <t>CCC annual 2019 = 19.2%; the gap is the non-demographic LEVEL (spread cycle, technology, filing)</t>
        </is>
      </c>
    </row>
    <row r="42">
      <c r="A42" s="5" t="inlineStr">
        <is>
          <t>OOS</t>
        </is>
      </c>
      <c r="B42" s="9" t="n">
        <v>2020</v>
      </c>
      <c r="C42" s="5" t="inlineStr">
        <is>
          <t>TLF all loss categories</t>
        </is>
      </c>
      <c r="D42" s="14" t="n">
        <v>0.206</v>
      </c>
      <c r="E42" s="31">
        <f>INDEX($C$8:$T$8,1,MATCH(B42,$C$4:$T$4,0))</f>
        <v/>
      </c>
      <c r="F42" s="47">
        <f>(E42-D42)*100</f>
        <v/>
      </c>
      <c r="G42" s="2" t="inlineStr">
        <is>
          <t>CCC annual 2020 = 20.6%</t>
        </is>
      </c>
    </row>
    <row r="43">
      <c r="A43" s="5" t="inlineStr">
        <is>
          <t>OOS</t>
        </is>
      </c>
      <c r="B43" s="9" t="n">
        <v>2025</v>
      </c>
      <c r="C43" s="5" t="inlineStr">
        <is>
          <t>TLF all loss categories</t>
        </is>
      </c>
      <c r="D43" s="14" t="n">
        <v>0.231</v>
      </c>
      <c r="E43" s="31">
        <f>INDEX($C$8:$T$8,1,MATCH(B43,$C$4:$T$4,0))</f>
        <v/>
      </c>
      <c r="F43" s="47">
        <f>(E43-D43)*100</f>
        <v/>
      </c>
      <c r="G43" s="2" t="inlineStr">
        <is>
          <t>CCC annual 2025 = 23.1%</t>
        </is>
      </c>
    </row>
    <row r="44">
      <c r="A44" s="5" t="inlineStr">
        <is>
          <t>S</t>
        </is>
      </c>
      <c r="B44" s="9" t="n">
        <v>2024</v>
      </c>
      <c r="C44" s="5" t="inlineStr">
        <is>
          <t>Light vehicles in operation (M)</t>
        </is>
      </c>
      <c r="D44" s="13" t="n">
        <v>289</v>
      </c>
      <c r="E44" s="32">
        <f>INDEX($C$18:$T$18,1,MATCH(B44,$C$4:$T$4,0))</f>
        <v/>
      </c>
      <c r="F44" s="46">
        <f>E44-D44</f>
        <v/>
      </c>
      <c r="G44" s="2" t="inlineStr">
        <is>
          <t>S&amp;P 2025 release — NOT on disk (from memory); Experian 292.1M at Q3-2024 is on disk (Crash Course 2025/Q1)</t>
        </is>
      </c>
    </row>
    <row r="45">
      <c r="A45" s="5" t="inlineStr">
        <is>
          <t>S</t>
        </is>
      </c>
      <c r="B45" s="9" t="n">
        <v>2024</v>
      </c>
      <c r="C45" s="5" t="inlineStr">
        <is>
          <t>Share of fleet aged 7+</t>
        </is>
      </c>
      <c r="D45" s="14" t="n">
        <v>0.66</v>
      </c>
      <c r="E45" s="31">
        <f>INDEX($C$19:$T$19,1,MATCH(B45,$C$4:$T$4,0))</f>
        <v/>
      </c>
      <c r="F45" s="47">
        <f>(E45-D45)*100</f>
        <v/>
      </c>
      <c r="G45" s="2" t="inlineStr">
        <is>
          <t>66% of vehicles in operation are seven years or older (S&amp;P Mobility)</t>
        </is>
      </c>
    </row>
    <row r="47">
      <c r="A47" s="3" t="inlineStr">
        <is>
          <t>Demographic drift 2019→2025 (pp/yr) vs actual CCC rise</t>
        </is>
      </c>
      <c r="E47" s="48">
        <f>(O8-I8)*100/6</f>
        <v/>
      </c>
      <c r="F47" s="49">
        <f>(0.231-0.192)*100/6</f>
        <v/>
      </c>
      <c r="G47" s="2" t="inlineStr">
        <is>
          <t>model drift per year vs actual +0.65pp/yr (19.2% → 23.1%); the ratio is the share of the rise that is demographics (~24%)</t>
        </is>
      </c>
    </row>
  </sheetData>
  <mergeCells count="1">
    <mergeCell ref="A2:N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47"/>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7" customWidth="1" min="3" max="3"/>
    <col width="34" customWidth="1" min="4" max="4"/>
    <col width="2" customWidth="1" min="5" max="5"/>
    <col width="9" customWidth="1" min="6" max="6"/>
    <col width="13" customWidth="1" min="7" max="7"/>
    <col width="13" customWidth="1" min="8" max="8"/>
    <col width="2" customWidth="1" min="9" max="9"/>
    <col width="10" customWidth="1" min="10" max="10"/>
    <col width="6" customWidth="1" min="11" max="11"/>
    <col width="4" customWidth="1" min="12" max="12"/>
    <col width="16" customWidth="1" min="13" max="13"/>
    <col width="14" customWidth="1" min="14" max="14"/>
    <col width="16" customWidth="1" min="15" max="15"/>
    <col width="16" customWidth="1" min="16" max="16"/>
    <col width="11" customWidth="1" min="17" max="17"/>
    <col width="2" customWidth="1" min="18" max="18"/>
    <col width="46" customWidth="1" min="19" max="19"/>
    <col width="11" customWidth="1" min="20" max="20"/>
    <col width="11" customWidth="1" min="21" max="21"/>
  </cols>
  <sheetData>
    <row r="1">
      <c r="A1" s="1" t="inlineStr">
        <is>
          <t>Totaling-spread regression — ΔTLF(pp, YoY) = a + b × spread(t−1), CCC quarterly</t>
        </is>
      </c>
    </row>
    <row r="2" ht="42" customHeight="1">
      <c r="A2" s="6" t="inlineStr">
        <is>
          <t>spread = repair CPI YoY − used-car CPI YoY (BLS NSA, quarterly mean of monthly values; Data_Spread). ΔTLF = CCC quarterly TLF minus the same quarter a year earlier (Data_CCC_TLF_Quarterly). One-quarter lag. Reproduces scripts/analysis_20260911.py: all-loss a=0.599 b=0.0815 R²=0.81 n=27; non-comp a=0.609 b=0.0834 R²=0.79.</t>
        </is>
      </c>
    </row>
    <row r="4">
      <c r="A4" s="7" t="inlineStr">
        <is>
          <t>quarter</t>
        </is>
      </c>
      <c r="B4" s="7" t="inlineStr">
        <is>
          <t>spread (pp)</t>
        </is>
      </c>
      <c r="C4" s="7" t="inlineStr">
        <is>
          <t>months</t>
        </is>
      </c>
      <c r="D4" s="7" t="inlineStr">
        <is>
          <t>note</t>
        </is>
      </c>
      <c r="F4" s="7" t="inlineStr">
        <is>
          <t>quarter</t>
        </is>
      </c>
      <c r="G4" s="7" t="inlineStr">
        <is>
          <t>TLF non-comp %</t>
        </is>
      </c>
      <c r="H4" s="7" t="inlineStr">
        <is>
          <t>TLF all-loss %</t>
        </is>
      </c>
      <c r="J4" s="7" t="inlineStr">
        <is>
          <t>quarter t</t>
        </is>
      </c>
      <c r="K4" s="7" t="inlineStr">
        <is>
          <t>year</t>
        </is>
      </c>
      <c r="L4" s="7" t="inlineStr">
        <is>
          <t>q</t>
        </is>
      </c>
      <c r="M4" s="7" t="inlineStr">
        <is>
          <t>prior-year quarter</t>
        </is>
      </c>
      <c r="N4" s="7" t="inlineStr">
        <is>
          <t>lag quarter t−1</t>
        </is>
      </c>
      <c r="O4" s="7" t="inlineStr">
        <is>
          <t>ΔTLF all-loss (pp)</t>
        </is>
      </c>
      <c r="P4" s="7" t="inlineStr">
        <is>
          <t>ΔTLF non-comp (pp)</t>
        </is>
      </c>
      <c r="Q4" s="7" t="inlineStr">
        <is>
          <t>spread(t−1)</t>
        </is>
      </c>
      <c r="S4" s="7" t="inlineStr">
        <is>
          <t>regression</t>
        </is>
      </c>
      <c r="T4" s="7" t="inlineStr">
        <is>
          <t>all-loss</t>
        </is>
      </c>
      <c r="U4" s="7" t="inlineStr">
        <is>
          <t>non-comp</t>
        </is>
      </c>
    </row>
    <row r="5">
      <c r="A5" s="50" t="inlineStr">
        <is>
          <t>2016Q1</t>
        </is>
      </c>
      <c r="B5" s="10" t="n">
        <v>1.401</v>
      </c>
      <c r="C5" s="9" t="n">
        <v>3</v>
      </c>
      <c r="D5" s="2" t="inlineStr"/>
      <c r="F5" s="50" t="inlineStr">
        <is>
          <t>2018Q1</t>
        </is>
      </c>
      <c r="G5" s="22" t="n">
        <v>19.4</v>
      </c>
      <c r="H5" s="22" t="n">
        <v>18.7</v>
      </c>
      <c r="J5" s="50" t="inlineStr">
        <is>
          <t>2019Q1</t>
        </is>
      </c>
      <c r="K5" s="34">
        <f>VALUE(LEFT(J5,4))</f>
        <v/>
      </c>
      <c r="L5" s="34">
        <f>VALUE(RIGHT(J5,1))</f>
        <v/>
      </c>
      <c r="M5" s="5">
        <f>(K5-1)&amp;"Q"&amp;L5</f>
        <v/>
      </c>
      <c r="N5" s="5">
        <f>IF(L5=1,(K5-1)&amp;"Q4",K5&amp;"Q"&amp;(L5-1))</f>
        <v/>
      </c>
      <c r="O5" s="46">
        <f>INDEX($H$5:$H$35,MATCH(J5,$F$5:$F$35,0))-INDEX($H$5:$H$35,MATCH(M5,$F$5:$F$35,0))</f>
        <v/>
      </c>
      <c r="P5" s="46">
        <f>INDEX($G$5:$G$35,MATCH(J5,$F$5:$F$35,0))-INDEX($G$5:$G$35,MATCH(M5,$F$5:$F$35,0))</f>
        <v/>
      </c>
      <c r="Q5" s="40">
        <f>INDEX($B$5:$B$47,MATCH(N5,$A$5:$A$47,0))</f>
        <v/>
      </c>
      <c r="S5" s="5" t="inlineStr">
        <is>
          <t>slope b (pp TLF per pp spread)</t>
        </is>
      </c>
      <c r="T5" s="51">
        <f>SLOPE($O$5:$O$31,$Q$5:$Q$31)</f>
        <v/>
      </c>
      <c r="U5" s="51">
        <f>SLOPE($P$5:$P$31,$Q$5:$Q$31)</f>
        <v/>
      </c>
    </row>
    <row r="6">
      <c r="A6" s="50" t="inlineStr">
        <is>
          <t>2016Q2</t>
        </is>
      </c>
      <c r="B6" s="10" t="n">
        <v>4.047</v>
      </c>
      <c r="C6" s="9" t="n">
        <v>3</v>
      </c>
      <c r="D6" s="2" t="inlineStr"/>
      <c r="F6" s="50" t="inlineStr">
        <is>
          <t>2018Q2</t>
        </is>
      </c>
      <c r="G6" s="22" t="n">
        <v>18.2</v>
      </c>
      <c r="H6" s="22" t="n">
        <v>17.6</v>
      </c>
      <c r="J6" s="50" t="inlineStr">
        <is>
          <t>2019Q2</t>
        </is>
      </c>
      <c r="K6" s="34">
        <f>VALUE(LEFT(J6,4))</f>
        <v/>
      </c>
      <c r="L6" s="34">
        <f>VALUE(RIGHT(J6,1))</f>
        <v/>
      </c>
      <c r="M6" s="5">
        <f>(K6-1)&amp;"Q"&amp;L6</f>
        <v/>
      </c>
      <c r="N6" s="5">
        <f>IF(L6=1,(K6-1)&amp;"Q4",K6&amp;"Q"&amp;(L6-1))</f>
        <v/>
      </c>
      <c r="O6" s="46">
        <f>INDEX($H$5:$H$35,MATCH(J6,$F$5:$F$35,0))-INDEX($H$5:$H$35,MATCH(M6,$F$5:$F$35,0))</f>
        <v/>
      </c>
      <c r="P6" s="46">
        <f>INDEX($G$5:$G$35,MATCH(J6,$F$5:$F$35,0))-INDEX($G$5:$G$35,MATCH(M6,$F$5:$F$35,0))</f>
        <v/>
      </c>
      <c r="Q6" s="40">
        <f>INDEX($B$5:$B$47,MATCH(N6,$A$5:$A$47,0))</f>
        <v/>
      </c>
      <c r="S6" s="5" t="inlineStr">
        <is>
          <t>intercept a (pp/yr, unexplained drift)</t>
        </is>
      </c>
      <c r="T6" s="52">
        <f>INTERCEPT($O$5:$O$31,$Q$5:$Q$31)</f>
        <v/>
      </c>
      <c r="U6" s="52">
        <f>INTERCEPT($P$5:$P$31,$Q$5:$Q$31)</f>
        <v/>
      </c>
    </row>
    <row r="7">
      <c r="A7" s="50" t="inlineStr">
        <is>
          <t>2016Q3</t>
        </is>
      </c>
      <c r="B7" s="10" t="n">
        <v>5.685</v>
      </c>
      <c r="C7" s="9" t="n">
        <v>3</v>
      </c>
      <c r="D7" s="2" t="inlineStr"/>
      <c r="F7" s="50" t="inlineStr">
        <is>
          <t>2018Q3</t>
        </is>
      </c>
      <c r="G7" s="22" t="n">
        <v>18.3</v>
      </c>
      <c r="H7" s="22" t="n">
        <v>18.1</v>
      </c>
      <c r="J7" s="50" t="inlineStr">
        <is>
          <t>2019Q3</t>
        </is>
      </c>
      <c r="K7" s="34">
        <f>VALUE(LEFT(J7,4))</f>
        <v/>
      </c>
      <c r="L7" s="34">
        <f>VALUE(RIGHT(J7,1))</f>
        <v/>
      </c>
      <c r="M7" s="5">
        <f>(K7-1)&amp;"Q"&amp;L7</f>
        <v/>
      </c>
      <c r="N7" s="5">
        <f>IF(L7=1,(K7-1)&amp;"Q4",K7&amp;"Q"&amp;(L7-1))</f>
        <v/>
      </c>
      <c r="O7" s="46">
        <f>INDEX($H$5:$H$35,MATCH(J7,$F$5:$F$35,0))-INDEX($H$5:$H$35,MATCH(M7,$F$5:$F$35,0))</f>
        <v/>
      </c>
      <c r="P7" s="46">
        <f>INDEX($G$5:$G$35,MATCH(J7,$F$5:$F$35,0))-INDEX($G$5:$G$35,MATCH(M7,$F$5:$F$35,0))</f>
        <v/>
      </c>
      <c r="Q7" s="40">
        <f>INDEX($B$5:$B$47,MATCH(N7,$A$5:$A$47,0))</f>
        <v/>
      </c>
      <c r="S7" s="5" t="inlineStr">
        <is>
          <t>R²</t>
        </is>
      </c>
      <c r="T7" s="26">
        <f>RSQ($O$5:$O$31,$Q$5:$Q$31)</f>
        <v/>
      </c>
      <c r="U7" s="26">
        <f>RSQ($P$5:$P$31,$Q$5:$Q$31)</f>
        <v/>
      </c>
    </row>
    <row r="8">
      <c r="A8" s="50" t="inlineStr">
        <is>
          <t>2016Q4</t>
        </is>
      </c>
      <c r="B8" s="10" t="n">
        <v>5.52</v>
      </c>
      <c r="C8" s="9" t="n">
        <v>3</v>
      </c>
      <c r="D8" s="2" t="inlineStr"/>
      <c r="F8" s="50" t="inlineStr">
        <is>
          <t>2018Q4</t>
        </is>
      </c>
      <c r="G8" s="22" t="n">
        <v>20.2</v>
      </c>
      <c r="H8" s="22" t="n">
        <v>19.5</v>
      </c>
      <c r="J8" s="50" t="inlineStr">
        <is>
          <t>2019Q4</t>
        </is>
      </c>
      <c r="K8" s="34">
        <f>VALUE(LEFT(J8,4))</f>
        <v/>
      </c>
      <c r="L8" s="34">
        <f>VALUE(RIGHT(J8,1))</f>
        <v/>
      </c>
      <c r="M8" s="5">
        <f>(K8-1)&amp;"Q"&amp;L8</f>
        <v/>
      </c>
      <c r="N8" s="5">
        <f>IF(L8=1,(K8-1)&amp;"Q4",K8&amp;"Q"&amp;(L8-1))</f>
        <v/>
      </c>
      <c r="O8" s="46">
        <f>INDEX($H$5:$H$35,MATCH(J8,$F$5:$F$35,0))-INDEX($H$5:$H$35,MATCH(M8,$F$5:$F$35,0))</f>
        <v/>
      </c>
      <c r="P8" s="46">
        <f>INDEX($G$5:$G$35,MATCH(J8,$F$5:$F$35,0))-INDEX($G$5:$G$35,MATCH(M8,$F$5:$F$35,0))</f>
        <v/>
      </c>
      <c r="Q8" s="40">
        <f>INDEX($B$5:$B$47,MATCH(N8,$A$5:$A$47,0))</f>
        <v/>
      </c>
      <c r="S8" s="5" t="inlineStr">
        <is>
          <t>n</t>
        </is>
      </c>
      <c r="T8" s="34">
        <f>COUNT($O$5:$O$31)</f>
        <v/>
      </c>
      <c r="U8" s="34">
        <f>COUNT($P$5:$P$31)</f>
        <v/>
      </c>
    </row>
    <row r="9">
      <c r="A9" s="50" t="inlineStr">
        <is>
          <t>2017Q1</t>
        </is>
      </c>
      <c r="B9" s="10" t="n">
        <v>6.488</v>
      </c>
      <c r="C9" s="9" t="n">
        <v>3</v>
      </c>
      <c r="D9" s="2" t="inlineStr"/>
      <c r="F9" s="50" t="inlineStr">
        <is>
          <t>2019Q1</t>
        </is>
      </c>
      <c r="G9" s="22" t="n">
        <v>20</v>
      </c>
      <c r="H9" s="22" t="n">
        <v>19.2</v>
      </c>
      <c r="J9" s="50" t="inlineStr">
        <is>
          <t>2020Q1</t>
        </is>
      </c>
      <c r="K9" s="34">
        <f>VALUE(LEFT(J9,4))</f>
        <v/>
      </c>
      <c r="L9" s="34">
        <f>VALUE(RIGHT(J9,1))</f>
        <v/>
      </c>
      <c r="M9" s="5">
        <f>(K9-1)&amp;"Q"&amp;L9</f>
        <v/>
      </c>
      <c r="N9" s="5">
        <f>IF(L9=1,(K9-1)&amp;"Q4",K9&amp;"Q"&amp;(L9-1))</f>
        <v/>
      </c>
      <c r="O9" s="46">
        <f>INDEX($H$5:$H$35,MATCH(J9,$F$5:$F$35,0))-INDEX($H$5:$H$35,MATCH(M9,$F$5:$F$35,0))</f>
        <v/>
      </c>
      <c r="P9" s="46">
        <f>INDEX($G$5:$G$35,MATCH(J9,$F$5:$F$35,0))-INDEX($G$5:$G$35,MATCH(M9,$F$5:$F$35,0))</f>
        <v/>
      </c>
      <c r="Q9" s="40">
        <f>INDEX($B$5:$B$47,MATCH(N9,$A$5:$A$47,0))</f>
        <v/>
      </c>
    </row>
    <row r="10">
      <c r="A10" s="50" t="inlineStr">
        <is>
          <t>2017Q2</t>
        </is>
      </c>
      <c r="B10" s="10" t="n">
        <v>6.122</v>
      </c>
      <c r="C10" s="9" t="n">
        <v>3</v>
      </c>
      <c r="D10" s="2" t="inlineStr"/>
      <c r="F10" s="50" t="inlineStr">
        <is>
          <t>2019Q2</t>
        </is>
      </c>
      <c r="G10" s="22" t="n">
        <v>19.2</v>
      </c>
      <c r="H10" s="22" t="n">
        <v>18.5</v>
      </c>
      <c r="J10" s="50" t="inlineStr">
        <is>
          <t>2020Q2</t>
        </is>
      </c>
      <c r="K10" s="34">
        <f>VALUE(LEFT(J10,4))</f>
        <v/>
      </c>
      <c r="L10" s="34">
        <f>VALUE(RIGHT(J10,1))</f>
        <v/>
      </c>
      <c r="M10" s="5">
        <f>(K10-1)&amp;"Q"&amp;L10</f>
        <v/>
      </c>
      <c r="N10" s="5">
        <f>IF(L10=1,(K10-1)&amp;"Q4",K10&amp;"Q"&amp;(L10-1))</f>
        <v/>
      </c>
      <c r="O10" s="46">
        <f>INDEX($H$5:$H$35,MATCH(J10,$F$5:$F$35,0))-INDEX($H$5:$H$35,MATCH(M10,$F$5:$F$35,0))</f>
        <v/>
      </c>
      <c r="P10" s="46">
        <f>INDEX($G$5:$G$35,MATCH(J10,$F$5:$F$35,0))-INDEX($G$5:$G$35,MATCH(M10,$F$5:$F$35,0))</f>
        <v/>
      </c>
      <c r="Q10" s="40">
        <f>INDEX($B$5:$B$47,MATCH(N10,$A$5:$A$47,0))</f>
        <v/>
      </c>
      <c r="S10" s="3" t="inlineStr">
        <is>
          <t>Prediction</t>
        </is>
      </c>
    </row>
    <row r="11">
      <c r="A11" s="50" t="inlineStr">
        <is>
          <t>2017Q3</t>
        </is>
      </c>
      <c r="B11" s="10" t="n">
        <v>5.689</v>
      </c>
      <c r="C11" s="9" t="n">
        <v>3</v>
      </c>
      <c r="D11" s="2" t="inlineStr"/>
      <c r="F11" s="50" t="inlineStr">
        <is>
          <t>2019Q3</t>
        </is>
      </c>
      <c r="G11" s="22" t="n">
        <v>19.2</v>
      </c>
      <c r="H11" s="22" t="n">
        <v>18.7</v>
      </c>
      <c r="J11" s="50" t="inlineStr">
        <is>
          <t>2020Q3</t>
        </is>
      </c>
      <c r="K11" s="34">
        <f>VALUE(LEFT(J11,4))</f>
        <v/>
      </c>
      <c r="L11" s="34">
        <f>VALUE(RIGHT(J11,1))</f>
        <v/>
      </c>
      <c r="M11" s="5">
        <f>(K11-1)&amp;"Q"&amp;L11</f>
        <v/>
      </c>
      <c r="N11" s="5">
        <f>IF(L11=1,(K11-1)&amp;"Q4",K11&amp;"Q"&amp;(L11-1))</f>
        <v/>
      </c>
      <c r="O11" s="46">
        <f>INDEX($H$5:$H$35,MATCH(J11,$F$5:$F$35,0))-INDEX($H$5:$H$35,MATCH(M11,$F$5:$F$35,0))</f>
        <v/>
      </c>
      <c r="P11" s="46">
        <f>INDEX($G$5:$G$35,MATCH(J11,$F$5:$F$35,0))-INDEX($G$5:$G$35,MATCH(M11,$F$5:$F$35,0))</f>
        <v/>
      </c>
      <c r="Q11" s="40">
        <f>INDEX($B$5:$B$47,MATCH(N11,$A$5:$A$47,0))</f>
        <v/>
      </c>
      <c r="S11" s="5" t="inlineStr">
        <is>
          <t>Spread quarter to use (t−1)</t>
        </is>
      </c>
      <c r="T11" s="50" t="inlineStr">
        <is>
          <t>2026Q1</t>
        </is>
      </c>
    </row>
    <row r="12">
      <c r="A12" s="50" t="inlineStr">
        <is>
          <t>2017Q4</t>
        </is>
      </c>
      <c r="B12" s="10" t="n">
        <v>4.144</v>
      </c>
      <c r="C12" s="9" t="n">
        <v>3</v>
      </c>
      <c r="D12" s="2" t="inlineStr"/>
      <c r="F12" s="50" t="inlineStr">
        <is>
          <t>2019Q4</t>
        </is>
      </c>
      <c r="G12" s="22" t="n">
        <v>21.2</v>
      </c>
      <c r="H12" s="22" t="n">
        <v>20.4</v>
      </c>
      <c r="J12" s="50" t="inlineStr">
        <is>
          <t>2020Q4</t>
        </is>
      </c>
      <c r="K12" s="34">
        <f>VALUE(LEFT(J12,4))</f>
        <v/>
      </c>
      <c r="L12" s="34">
        <f>VALUE(RIGHT(J12,1))</f>
        <v/>
      </c>
      <c r="M12" s="5">
        <f>(K12-1)&amp;"Q"&amp;L12</f>
        <v/>
      </c>
      <c r="N12" s="5">
        <f>IF(L12=1,(K12-1)&amp;"Q4",K12&amp;"Q"&amp;(L12-1))</f>
        <v/>
      </c>
      <c r="O12" s="46">
        <f>INDEX($H$5:$H$35,MATCH(J12,$F$5:$F$35,0))-INDEX($H$5:$H$35,MATCH(M12,$F$5:$F$35,0))</f>
        <v/>
      </c>
      <c r="P12" s="46">
        <f>INDEX($G$5:$G$35,MATCH(J12,$F$5:$F$35,0))-INDEX($G$5:$G$35,MATCH(M12,$F$5:$F$35,0))</f>
        <v/>
      </c>
      <c r="Q12" s="40">
        <f>INDEX($B$5:$B$47,MATCH(N12,$A$5:$A$47,0))</f>
        <v/>
      </c>
      <c r="S12" s="5" t="inlineStr">
        <is>
          <t>spread(t−1)</t>
        </is>
      </c>
      <c r="T12" s="40">
        <f>INDEX($B$5:$B$47,MATCH(T11,$A$5:$A$47,0))</f>
        <v/>
      </c>
    </row>
    <row r="13">
      <c r="A13" s="50" t="inlineStr">
        <is>
          <t>2018Q1</t>
        </is>
      </c>
      <c r="B13" s="10" t="n">
        <v>1.553</v>
      </c>
      <c r="C13" s="9" t="n">
        <v>3</v>
      </c>
      <c r="D13" s="2" t="inlineStr"/>
      <c r="F13" s="50" t="inlineStr">
        <is>
          <t>2020Q1</t>
        </is>
      </c>
      <c r="G13" s="22" t="n">
        <v>20.9</v>
      </c>
      <c r="H13" s="22" t="n">
        <v>20</v>
      </c>
      <c r="J13" s="50" t="inlineStr">
        <is>
          <t>2021Q1</t>
        </is>
      </c>
      <c r="K13" s="34">
        <f>VALUE(LEFT(J13,4))</f>
        <v/>
      </c>
      <c r="L13" s="34">
        <f>VALUE(RIGHT(J13,1))</f>
        <v/>
      </c>
      <c r="M13" s="5">
        <f>(K13-1)&amp;"Q"&amp;L13</f>
        <v/>
      </c>
      <c r="N13" s="5">
        <f>IF(L13=1,(K13-1)&amp;"Q4",K13&amp;"Q"&amp;(L13-1))</f>
        <v/>
      </c>
      <c r="O13" s="46">
        <f>INDEX($H$5:$H$35,MATCH(J13,$F$5:$F$35,0))-INDEX($H$5:$H$35,MATCH(M13,$F$5:$F$35,0))</f>
        <v/>
      </c>
      <c r="P13" s="46">
        <f>INDEX($G$5:$G$35,MATCH(J13,$F$5:$F$35,0))-INDEX($G$5:$G$35,MATCH(M13,$F$5:$F$35,0))</f>
        <v/>
      </c>
      <c r="Q13" s="40">
        <f>INDEX($B$5:$B$47,MATCH(N13,$A$5:$A$47,0))</f>
        <v/>
      </c>
      <c r="S13" s="5" t="inlineStr">
        <is>
          <t>Predicted ΔTLF all-loss, quarter t (pp YoY)</t>
        </is>
      </c>
      <c r="T13" s="48">
        <f>T6+T5*T12</f>
        <v/>
      </c>
    </row>
    <row r="14">
      <c r="A14" s="50" t="inlineStr">
        <is>
          <t>2018Q2</t>
        </is>
      </c>
      <c r="B14" s="10" t="n">
        <v>2.887</v>
      </c>
      <c r="C14" s="9" t="n">
        <v>3</v>
      </c>
      <c r="D14" s="2" t="inlineStr"/>
      <c r="F14" s="50" t="inlineStr">
        <is>
          <t>2020Q2</t>
        </is>
      </c>
      <c r="G14" s="22" t="n">
        <v>20.9</v>
      </c>
      <c r="H14" s="22" t="n">
        <v>19.6</v>
      </c>
      <c r="J14" s="50" t="inlineStr">
        <is>
          <t>2021Q2</t>
        </is>
      </c>
      <c r="K14" s="34">
        <f>VALUE(LEFT(J14,4))</f>
        <v/>
      </c>
      <c r="L14" s="34">
        <f>VALUE(RIGHT(J14,1))</f>
        <v/>
      </c>
      <c r="M14" s="5">
        <f>(K14-1)&amp;"Q"&amp;L14</f>
        <v/>
      </c>
      <c r="N14" s="5">
        <f>IF(L14=1,(K14-1)&amp;"Q4",K14&amp;"Q"&amp;(L14-1))</f>
        <v/>
      </c>
      <c r="O14" s="46">
        <f>INDEX($H$5:$H$35,MATCH(J14,$F$5:$F$35,0))-INDEX($H$5:$H$35,MATCH(M14,$F$5:$F$35,0))</f>
        <v/>
      </c>
      <c r="P14" s="46">
        <f>INDEX($G$5:$G$35,MATCH(J14,$F$5:$F$35,0))-INDEX($G$5:$G$35,MATCH(M14,$F$5:$F$35,0))</f>
        <v/>
      </c>
      <c r="Q14" s="40">
        <f>INDEX($B$5:$B$47,MATCH(N14,$A$5:$A$47,0))</f>
        <v/>
      </c>
      <c r="S14" s="2" t="inlineStr">
        <is>
          <t>Live OOS: mgmt-cited CCC 2Q26 23.3 vs 22.4 (2026-09-10 call)</t>
        </is>
      </c>
      <c r="T14" s="53" t="n">
        <v>0.9</v>
      </c>
    </row>
    <row r="15">
      <c r="A15" s="50" t="inlineStr">
        <is>
          <t>2018Q3</t>
        </is>
      </c>
      <c r="B15" s="10" t="n">
        <v>2.067</v>
      </c>
      <c r="C15" s="9" t="n">
        <v>3</v>
      </c>
      <c r="D15" s="2" t="inlineStr"/>
      <c r="F15" s="50" t="inlineStr">
        <is>
          <t>2020Q3</t>
        </is>
      </c>
      <c r="G15" s="22" t="n">
        <v>21.8</v>
      </c>
      <c r="H15" s="22" t="n">
        <v>20.9</v>
      </c>
      <c r="J15" s="50" t="inlineStr">
        <is>
          <t>2021Q3</t>
        </is>
      </c>
      <c r="K15" s="34">
        <f>VALUE(LEFT(J15,4))</f>
        <v/>
      </c>
      <c r="L15" s="34">
        <f>VALUE(RIGHT(J15,1))</f>
        <v/>
      </c>
      <c r="M15" s="5">
        <f>(K15-1)&amp;"Q"&amp;L15</f>
        <v/>
      </c>
      <c r="N15" s="5">
        <f>IF(L15=1,(K15-1)&amp;"Q4",K15&amp;"Q"&amp;(L15-1))</f>
        <v/>
      </c>
      <c r="O15" s="46">
        <f>INDEX($H$5:$H$35,MATCH(J15,$F$5:$F$35,0))-INDEX($H$5:$H$35,MATCH(M15,$F$5:$F$35,0))</f>
        <v/>
      </c>
      <c r="P15" s="46">
        <f>INDEX($G$5:$G$35,MATCH(J15,$F$5:$F$35,0))-INDEX($G$5:$G$35,MATCH(M15,$F$5:$F$35,0))</f>
        <v/>
      </c>
      <c r="Q15" s="40">
        <f>INDEX($B$5:$B$47,MATCH(N15,$A$5:$A$47,0))</f>
        <v/>
      </c>
      <c r="S15" s="5" t="inlineStr">
        <is>
          <t>error (pp)</t>
        </is>
      </c>
      <c r="T15" s="49">
        <f>T13-T14</f>
        <v/>
      </c>
    </row>
    <row r="16">
      <c r="A16" s="50" t="inlineStr">
        <is>
          <t>2018Q4</t>
        </is>
      </c>
      <c r="B16" s="10" t="n">
        <v>0.969</v>
      </c>
      <c r="C16" s="9" t="n">
        <v>3</v>
      </c>
      <c r="D16" s="2" t="inlineStr"/>
      <c r="F16" s="50" t="inlineStr">
        <is>
          <t>2020Q4</t>
        </is>
      </c>
      <c r="G16" s="22" t="n">
        <v>23.1</v>
      </c>
      <c r="H16" s="22" t="n">
        <v>21.7</v>
      </c>
      <c r="J16" s="50" t="inlineStr">
        <is>
          <t>2021Q4</t>
        </is>
      </c>
      <c r="K16" s="34">
        <f>VALUE(LEFT(J16,4))</f>
        <v/>
      </c>
      <c r="L16" s="34">
        <f>VALUE(RIGHT(J16,1))</f>
        <v/>
      </c>
      <c r="M16" s="5">
        <f>(K16-1)&amp;"Q"&amp;L16</f>
        <v/>
      </c>
      <c r="N16" s="5">
        <f>IF(L16=1,(K16-1)&amp;"Q4",K16&amp;"Q"&amp;(L16-1))</f>
        <v/>
      </c>
      <c r="O16" s="46">
        <f>INDEX($H$5:$H$35,MATCH(J16,$F$5:$F$35,0))-INDEX($H$5:$H$35,MATCH(M16,$F$5:$F$35,0))</f>
        <v/>
      </c>
      <c r="P16" s="46">
        <f>INDEX($G$5:$G$35,MATCH(J16,$F$5:$F$35,0))-INDEX($G$5:$G$35,MATCH(M16,$F$5:$F$35,0))</f>
        <v/>
      </c>
      <c r="Q16" s="40">
        <f>INDEX($B$5:$B$47,MATCH(N16,$A$5:$A$47,0))</f>
        <v/>
      </c>
    </row>
    <row r="17">
      <c r="A17" s="50" t="inlineStr">
        <is>
          <t>2019Q1</t>
        </is>
      </c>
      <c r="B17" s="10" t="n">
        <v>1.986</v>
      </c>
      <c r="C17" s="9" t="n">
        <v>3</v>
      </c>
      <c r="D17" s="2" t="inlineStr"/>
      <c r="F17" s="50" t="inlineStr">
        <is>
          <t>2021Q1</t>
        </is>
      </c>
      <c r="G17" s="22" t="n">
        <v>22.1</v>
      </c>
      <c r="H17" s="22" t="n">
        <v>20.7</v>
      </c>
      <c r="J17" s="50" t="inlineStr">
        <is>
          <t>2022Q1</t>
        </is>
      </c>
      <c r="K17" s="34">
        <f>VALUE(LEFT(J17,4))</f>
        <v/>
      </c>
      <c r="L17" s="34">
        <f>VALUE(RIGHT(J17,1))</f>
        <v/>
      </c>
      <c r="M17" s="5">
        <f>(K17-1)&amp;"Q"&amp;L17</f>
        <v/>
      </c>
      <c r="N17" s="5">
        <f>IF(L17=1,(K17-1)&amp;"Q4",K17&amp;"Q"&amp;(L17-1))</f>
        <v/>
      </c>
      <c r="O17" s="46">
        <f>INDEX($H$5:$H$35,MATCH(J17,$F$5:$F$35,0))-INDEX($H$5:$H$35,MATCH(M17,$F$5:$F$35,0))</f>
        <v/>
      </c>
      <c r="P17" s="46">
        <f>INDEX($G$5:$G$35,MATCH(J17,$F$5:$F$35,0))-INDEX($G$5:$G$35,MATCH(M17,$F$5:$F$35,0))</f>
        <v/>
      </c>
      <c r="Q17" s="40">
        <f>INDEX($B$5:$B$47,MATCH(N17,$A$5:$A$47,0))</f>
        <v/>
      </c>
      <c r="S17" s="6" t="inlineStr">
        <is>
          <t>Why the intercept matters: with spread = 0 the model still adds ~0.6pp/yr of TLF; the cohort roll (TLF_Roll) explains ~0.15pp of that. Use the spread term for 12 months, not for the decade. MODEL_BLUEPRINT §3.</t>
        </is>
      </c>
    </row>
    <row r="18">
      <c r="A18" s="50" t="inlineStr">
        <is>
          <t>2019Q2</t>
        </is>
      </c>
      <c r="B18" s="10" t="n">
        <v>2.806</v>
      </c>
      <c r="C18" s="9" t="n">
        <v>3</v>
      </c>
      <c r="D18" s="2" t="inlineStr"/>
      <c r="F18" s="50" t="inlineStr">
        <is>
          <t>2021Q2</t>
        </is>
      </c>
      <c r="G18" s="22" t="n">
        <v>20.9</v>
      </c>
      <c r="H18" s="22" t="n">
        <v>19.7</v>
      </c>
      <c r="J18" s="50" t="inlineStr">
        <is>
          <t>2022Q2</t>
        </is>
      </c>
      <c r="K18" s="34">
        <f>VALUE(LEFT(J18,4))</f>
        <v/>
      </c>
      <c r="L18" s="34">
        <f>VALUE(RIGHT(J18,1))</f>
        <v/>
      </c>
      <c r="M18" s="5">
        <f>(K18-1)&amp;"Q"&amp;L18</f>
        <v/>
      </c>
      <c r="N18" s="5">
        <f>IF(L18=1,(K18-1)&amp;"Q4",K18&amp;"Q"&amp;(L18-1))</f>
        <v/>
      </c>
      <c r="O18" s="46">
        <f>INDEX($H$5:$H$35,MATCH(J18,$F$5:$F$35,0))-INDEX($H$5:$H$35,MATCH(M18,$F$5:$F$35,0))</f>
        <v/>
      </c>
      <c r="P18" s="46">
        <f>INDEX($G$5:$G$35,MATCH(J18,$F$5:$F$35,0))-INDEX($G$5:$G$35,MATCH(M18,$F$5:$F$35,0))</f>
        <v/>
      </c>
      <c r="Q18" s="40">
        <f>INDEX($B$5:$B$47,MATCH(N18,$A$5:$A$47,0))</f>
        <v/>
      </c>
    </row>
    <row r="19">
      <c r="A19" s="50" t="inlineStr">
        <is>
          <t>2019Q3</t>
        </is>
      </c>
      <c r="B19" s="10" t="n">
        <v>1.459</v>
      </c>
      <c r="C19" s="9" t="n">
        <v>3</v>
      </c>
      <c r="D19" s="2" t="inlineStr"/>
      <c r="F19" s="50" t="inlineStr">
        <is>
          <t>2021Q3</t>
        </is>
      </c>
      <c r="G19" s="22" t="n">
        <v>19.5</v>
      </c>
      <c r="H19" s="22" t="n">
        <v>19.3</v>
      </c>
      <c r="J19" s="50" t="inlineStr">
        <is>
          <t>2022Q3</t>
        </is>
      </c>
      <c r="K19" s="34">
        <f>VALUE(LEFT(J19,4))</f>
        <v/>
      </c>
      <c r="L19" s="34">
        <f>VALUE(RIGHT(J19,1))</f>
        <v/>
      </c>
      <c r="M19" s="5">
        <f>(K19-1)&amp;"Q"&amp;L19</f>
        <v/>
      </c>
      <c r="N19" s="5">
        <f>IF(L19=1,(K19-1)&amp;"Q4",K19&amp;"Q"&amp;(L19-1))</f>
        <v/>
      </c>
      <c r="O19" s="46">
        <f>INDEX($H$5:$H$35,MATCH(J19,$F$5:$F$35,0))-INDEX($H$5:$H$35,MATCH(M19,$F$5:$F$35,0))</f>
        <v/>
      </c>
      <c r="P19" s="46">
        <f>INDEX($G$5:$G$35,MATCH(J19,$F$5:$F$35,0))-INDEX($G$5:$G$35,MATCH(M19,$F$5:$F$35,0))</f>
        <v/>
      </c>
      <c r="Q19" s="40">
        <f>INDEX($B$5:$B$47,MATCH(N19,$A$5:$A$47,0))</f>
        <v/>
      </c>
    </row>
    <row r="20">
      <c r="A20" s="50" t="inlineStr">
        <is>
          <t>2019Q4</t>
        </is>
      </c>
      <c r="B20" s="10" t="n">
        <v>3.225</v>
      </c>
      <c r="C20" s="9" t="n">
        <v>3</v>
      </c>
      <c r="D20" s="2" t="inlineStr"/>
      <c r="F20" s="50" t="inlineStr">
        <is>
          <t>2021Q4</t>
        </is>
      </c>
      <c r="G20" s="22" t="n">
        <v>20.3</v>
      </c>
      <c r="H20" s="22" t="n">
        <v>19.2</v>
      </c>
      <c r="J20" s="50" t="inlineStr">
        <is>
          <t>2022Q4</t>
        </is>
      </c>
      <c r="K20" s="34">
        <f>VALUE(LEFT(J20,4))</f>
        <v/>
      </c>
      <c r="L20" s="34">
        <f>VALUE(RIGHT(J20,1))</f>
        <v/>
      </c>
      <c r="M20" s="5">
        <f>(K20-1)&amp;"Q"&amp;L20</f>
        <v/>
      </c>
      <c r="N20" s="5">
        <f>IF(L20=1,(K20-1)&amp;"Q4",K20&amp;"Q"&amp;(L20-1))</f>
        <v/>
      </c>
      <c r="O20" s="46">
        <f>INDEX($H$5:$H$35,MATCH(J20,$F$5:$F$35,0))-INDEX($H$5:$H$35,MATCH(M20,$F$5:$F$35,0))</f>
        <v/>
      </c>
      <c r="P20" s="46">
        <f>INDEX($G$5:$G$35,MATCH(J20,$F$5:$F$35,0))-INDEX($G$5:$G$35,MATCH(M20,$F$5:$F$35,0))</f>
        <v/>
      </c>
      <c r="Q20" s="40">
        <f>INDEX($B$5:$B$47,MATCH(N20,$A$5:$A$47,0))</f>
        <v/>
      </c>
    </row>
    <row r="21">
      <c r="A21" s="50" t="inlineStr">
        <is>
          <t>2020Q1</t>
        </is>
      </c>
      <c r="B21" s="10" t="n">
        <v>4.419</v>
      </c>
      <c r="C21" s="9" t="n">
        <v>3</v>
      </c>
      <c r="D21" s="2" t="inlineStr"/>
      <c r="F21" s="50" t="inlineStr">
        <is>
          <t>2022Q1</t>
        </is>
      </c>
      <c r="G21" s="22" t="n">
        <v>19.9</v>
      </c>
      <c r="H21" s="22" t="n">
        <v>18.8</v>
      </c>
      <c r="J21" s="50" t="inlineStr">
        <is>
          <t>2023Q1</t>
        </is>
      </c>
      <c r="K21" s="34">
        <f>VALUE(LEFT(J21,4))</f>
        <v/>
      </c>
      <c r="L21" s="34">
        <f>VALUE(RIGHT(J21,1))</f>
        <v/>
      </c>
      <c r="M21" s="5">
        <f>(K21-1)&amp;"Q"&amp;L21</f>
        <v/>
      </c>
      <c r="N21" s="5">
        <f>IF(L21=1,(K21-1)&amp;"Q4",K21&amp;"Q"&amp;(L21-1))</f>
        <v/>
      </c>
      <c r="O21" s="46">
        <f>INDEX($H$5:$H$35,MATCH(J21,$F$5:$F$35,0))-INDEX($H$5:$H$35,MATCH(M21,$F$5:$F$35,0))</f>
        <v/>
      </c>
      <c r="P21" s="46">
        <f>INDEX($G$5:$G$35,MATCH(J21,$F$5:$F$35,0))-INDEX($G$5:$G$35,MATCH(M21,$F$5:$F$35,0))</f>
        <v/>
      </c>
      <c r="Q21" s="40">
        <f>INDEX($B$5:$B$47,MATCH(N21,$A$5:$A$47,0))</f>
        <v/>
      </c>
    </row>
    <row r="22">
      <c r="A22" s="50" t="inlineStr">
        <is>
          <t>2020Q2</t>
        </is>
      </c>
      <c r="B22" s="10" t="n">
        <v>4.701</v>
      </c>
      <c r="C22" s="9" t="n">
        <v>3</v>
      </c>
      <c r="D22" s="2" t="inlineStr"/>
      <c r="F22" s="50" t="inlineStr">
        <is>
          <t>2022Q2</t>
        </is>
      </c>
      <c r="G22" s="22" t="n">
        <v>18.9</v>
      </c>
      <c r="H22" s="22" t="n">
        <v>17.6</v>
      </c>
      <c r="J22" s="50" t="inlineStr">
        <is>
          <t>2023Q2</t>
        </is>
      </c>
      <c r="K22" s="34">
        <f>VALUE(LEFT(J22,4))</f>
        <v/>
      </c>
      <c r="L22" s="34">
        <f>VALUE(RIGHT(J22,1))</f>
        <v/>
      </c>
      <c r="M22" s="5">
        <f>(K22-1)&amp;"Q"&amp;L22</f>
        <v/>
      </c>
      <c r="N22" s="5">
        <f>IF(L22=1,(K22-1)&amp;"Q4",K22&amp;"Q"&amp;(L22-1))</f>
        <v/>
      </c>
      <c r="O22" s="46">
        <f>INDEX($H$5:$H$35,MATCH(J22,$F$5:$F$35,0))-INDEX($H$5:$H$35,MATCH(M22,$F$5:$F$35,0))</f>
        <v/>
      </c>
      <c r="P22" s="46">
        <f>INDEX($G$5:$G$35,MATCH(J22,$F$5:$F$35,0))-INDEX($G$5:$G$35,MATCH(M22,$F$5:$F$35,0))</f>
        <v/>
      </c>
      <c r="Q22" s="40">
        <f>INDEX($B$5:$B$47,MATCH(N22,$A$5:$A$47,0))</f>
        <v/>
      </c>
    </row>
    <row r="23">
      <c r="A23" s="50" t="inlineStr">
        <is>
          <t>2020Q3</t>
        </is>
      </c>
      <c r="B23" s="10" t="n">
        <v>-1.133</v>
      </c>
      <c r="C23" s="9" t="n">
        <v>3</v>
      </c>
      <c r="D23" s="2" t="inlineStr"/>
      <c r="F23" s="50" t="inlineStr">
        <is>
          <t>2022Q3</t>
        </is>
      </c>
      <c r="G23" s="22" t="n">
        <v>18.9</v>
      </c>
      <c r="H23" s="22" t="n">
        <v>18</v>
      </c>
      <c r="J23" s="50" t="inlineStr">
        <is>
          <t>2023Q3</t>
        </is>
      </c>
      <c r="K23" s="34">
        <f>VALUE(LEFT(J23,4))</f>
        <v/>
      </c>
      <c r="L23" s="34">
        <f>VALUE(RIGHT(J23,1))</f>
        <v/>
      </c>
      <c r="M23" s="5">
        <f>(K23-1)&amp;"Q"&amp;L23</f>
        <v/>
      </c>
      <c r="N23" s="5">
        <f>IF(L23=1,(K23-1)&amp;"Q4",K23&amp;"Q"&amp;(L23-1))</f>
        <v/>
      </c>
      <c r="O23" s="46">
        <f>INDEX($H$5:$H$35,MATCH(J23,$F$5:$F$35,0))-INDEX($H$5:$H$35,MATCH(M23,$F$5:$F$35,0))</f>
        <v/>
      </c>
      <c r="P23" s="46">
        <f>INDEX($G$5:$G$35,MATCH(J23,$F$5:$F$35,0))-INDEX($G$5:$G$35,MATCH(M23,$F$5:$F$35,0))</f>
        <v/>
      </c>
      <c r="Q23" s="40">
        <f>INDEX($B$5:$B$47,MATCH(N23,$A$5:$A$47,0))</f>
        <v/>
      </c>
    </row>
    <row r="24">
      <c r="A24" s="50" t="inlineStr">
        <is>
          <t>2020Q4</t>
        </is>
      </c>
      <c r="B24" s="10" t="n">
        <v>-7.403</v>
      </c>
      <c r="C24" s="9" t="n">
        <v>3</v>
      </c>
      <c r="D24" s="2" t="inlineStr"/>
      <c r="F24" s="50" t="inlineStr">
        <is>
          <t>2022Q4</t>
        </is>
      </c>
      <c r="G24" s="22" t="n">
        <v>21</v>
      </c>
      <c r="H24" s="22" t="n">
        <v>20.6</v>
      </c>
      <c r="J24" s="50" t="inlineStr">
        <is>
          <t>2023Q4</t>
        </is>
      </c>
      <c r="K24" s="34">
        <f>VALUE(LEFT(J24,4))</f>
        <v/>
      </c>
      <c r="L24" s="34">
        <f>VALUE(RIGHT(J24,1))</f>
        <v/>
      </c>
      <c r="M24" s="5">
        <f>(K24-1)&amp;"Q"&amp;L24</f>
        <v/>
      </c>
      <c r="N24" s="5">
        <f>IF(L24=1,(K24-1)&amp;"Q4",K24&amp;"Q"&amp;(L24-1))</f>
        <v/>
      </c>
      <c r="O24" s="46">
        <f>INDEX($H$5:$H$35,MATCH(J24,$F$5:$F$35,0))-INDEX($H$5:$H$35,MATCH(M24,$F$5:$F$35,0))</f>
        <v/>
      </c>
      <c r="P24" s="46">
        <f>INDEX($G$5:$G$35,MATCH(J24,$F$5:$F$35,0))-INDEX($G$5:$G$35,MATCH(M24,$F$5:$F$35,0))</f>
        <v/>
      </c>
      <c r="Q24" s="40">
        <f>INDEX($B$5:$B$47,MATCH(N24,$A$5:$A$47,0))</f>
        <v/>
      </c>
    </row>
    <row r="25">
      <c r="A25" s="50" t="inlineStr">
        <is>
          <t>2021Q1</t>
        </is>
      </c>
      <c r="B25" s="10" t="n">
        <v>-6.188</v>
      </c>
      <c r="C25" s="9" t="n">
        <v>3</v>
      </c>
      <c r="D25" s="2" t="inlineStr"/>
      <c r="F25" s="50" t="inlineStr">
        <is>
          <t>2023Q1</t>
        </is>
      </c>
      <c r="G25" s="22" t="n">
        <v>21.1</v>
      </c>
      <c r="H25" s="22" t="n">
        <v>20.1</v>
      </c>
      <c r="J25" s="50" t="inlineStr">
        <is>
          <t>2024Q1</t>
        </is>
      </c>
      <c r="K25" s="34">
        <f>VALUE(LEFT(J25,4))</f>
        <v/>
      </c>
      <c r="L25" s="34">
        <f>VALUE(RIGHT(J25,1))</f>
        <v/>
      </c>
      <c r="M25" s="5">
        <f>(K25-1)&amp;"Q"&amp;L25</f>
        <v/>
      </c>
      <c r="N25" s="5">
        <f>IF(L25=1,(K25-1)&amp;"Q4",K25&amp;"Q"&amp;(L25-1))</f>
        <v/>
      </c>
      <c r="O25" s="46">
        <f>INDEX($H$5:$H$35,MATCH(J25,$F$5:$F$35,0))-INDEX($H$5:$H$35,MATCH(M25,$F$5:$F$35,0))</f>
        <v/>
      </c>
      <c r="P25" s="46">
        <f>INDEX($G$5:$G$35,MATCH(J25,$F$5:$F$35,0))-INDEX($G$5:$G$35,MATCH(M25,$F$5:$F$35,0))</f>
        <v/>
      </c>
      <c r="Q25" s="40">
        <f>INDEX($B$5:$B$47,MATCH(N25,$A$5:$A$47,0))</f>
        <v/>
      </c>
    </row>
    <row r="26">
      <c r="A26" s="50" t="inlineStr">
        <is>
          <t>2021Q2</t>
        </is>
      </c>
      <c r="B26" s="10" t="n">
        <v>-28.83</v>
      </c>
      <c r="C26" s="9" t="n">
        <v>3</v>
      </c>
      <c r="D26" s="2" t="inlineStr"/>
      <c r="F26" s="50" t="inlineStr">
        <is>
          <t>2023Q2</t>
        </is>
      </c>
      <c r="G26" s="22" t="n">
        <v>20.5</v>
      </c>
      <c r="H26" s="22" t="n">
        <v>19.4</v>
      </c>
      <c r="J26" s="50" t="inlineStr">
        <is>
          <t>2024Q2</t>
        </is>
      </c>
      <c r="K26" s="34">
        <f>VALUE(LEFT(J26,4))</f>
        <v/>
      </c>
      <c r="L26" s="34">
        <f>VALUE(RIGHT(J26,1))</f>
        <v/>
      </c>
      <c r="M26" s="5">
        <f>(K26-1)&amp;"Q"&amp;L26</f>
        <v/>
      </c>
      <c r="N26" s="5">
        <f>IF(L26=1,(K26-1)&amp;"Q4",K26&amp;"Q"&amp;(L26-1))</f>
        <v/>
      </c>
      <c r="O26" s="46">
        <f>INDEX($H$5:$H$35,MATCH(J26,$F$5:$F$35,0))-INDEX($H$5:$H$35,MATCH(M26,$F$5:$F$35,0))</f>
        <v/>
      </c>
      <c r="P26" s="46">
        <f>INDEX($G$5:$G$35,MATCH(J26,$F$5:$F$35,0))-INDEX($G$5:$G$35,MATCH(M26,$F$5:$F$35,0))</f>
        <v/>
      </c>
      <c r="Q26" s="40">
        <f>INDEX($B$5:$B$47,MATCH(N26,$A$5:$A$47,0))</f>
        <v/>
      </c>
    </row>
    <row r="27">
      <c r="A27" s="50" t="inlineStr">
        <is>
          <t>2021Q3</t>
        </is>
      </c>
      <c r="B27" s="10" t="n">
        <v>-28.565</v>
      </c>
      <c r="C27" s="9" t="n">
        <v>3</v>
      </c>
      <c r="D27" s="2" t="inlineStr"/>
      <c r="F27" s="50" t="inlineStr">
        <is>
          <t>2023Q3</t>
        </is>
      </c>
      <c r="G27" s="22" t="n">
        <v>20.7</v>
      </c>
      <c r="H27" s="22" t="n">
        <v>19.9</v>
      </c>
      <c r="J27" s="50" t="inlineStr">
        <is>
          <t>2024Q3</t>
        </is>
      </c>
      <c r="K27" s="34">
        <f>VALUE(LEFT(J27,4))</f>
        <v/>
      </c>
      <c r="L27" s="34">
        <f>VALUE(RIGHT(J27,1))</f>
        <v/>
      </c>
      <c r="M27" s="5">
        <f>(K27-1)&amp;"Q"&amp;L27</f>
        <v/>
      </c>
      <c r="N27" s="5">
        <f>IF(L27=1,(K27-1)&amp;"Q4",K27&amp;"Q"&amp;(L27-1))</f>
        <v/>
      </c>
      <c r="O27" s="46">
        <f>INDEX($H$5:$H$35,MATCH(J27,$F$5:$F$35,0))-INDEX($H$5:$H$35,MATCH(M27,$F$5:$F$35,0))</f>
        <v/>
      </c>
      <c r="P27" s="46">
        <f>INDEX($G$5:$G$35,MATCH(J27,$F$5:$F$35,0))-INDEX($G$5:$G$35,MATCH(M27,$F$5:$F$35,0))</f>
        <v/>
      </c>
      <c r="Q27" s="40">
        <f>INDEX($B$5:$B$47,MATCH(N27,$A$5:$A$47,0))</f>
        <v/>
      </c>
    </row>
    <row r="28">
      <c r="A28" s="50" t="inlineStr">
        <is>
          <t>2021Q4</t>
        </is>
      </c>
      <c r="B28" s="10" t="n">
        <v>-26.722</v>
      </c>
      <c r="C28" s="9" t="n">
        <v>3</v>
      </c>
      <c r="D28" s="2" t="inlineStr"/>
      <c r="F28" s="50" t="inlineStr">
        <is>
          <t>2023Q4</t>
        </is>
      </c>
      <c r="G28" s="22" t="n">
        <v>22.4</v>
      </c>
      <c r="H28" s="22" t="n">
        <v>21.5</v>
      </c>
      <c r="J28" s="50" t="inlineStr">
        <is>
          <t>2024Q4</t>
        </is>
      </c>
      <c r="K28" s="34">
        <f>VALUE(LEFT(J28,4))</f>
        <v/>
      </c>
      <c r="L28" s="34">
        <f>VALUE(RIGHT(J28,1))</f>
        <v/>
      </c>
      <c r="M28" s="5">
        <f>(K28-1)&amp;"Q"&amp;L28</f>
        <v/>
      </c>
      <c r="N28" s="5">
        <f>IF(L28=1,(K28-1)&amp;"Q4",K28&amp;"Q"&amp;(L28-1))</f>
        <v/>
      </c>
      <c r="O28" s="46">
        <f>INDEX($H$5:$H$35,MATCH(J28,$F$5:$F$35,0))-INDEX($H$5:$H$35,MATCH(M28,$F$5:$F$35,0))</f>
        <v/>
      </c>
      <c r="P28" s="46">
        <f>INDEX($G$5:$G$35,MATCH(J28,$F$5:$F$35,0))-INDEX($G$5:$G$35,MATCH(M28,$F$5:$F$35,0))</f>
        <v/>
      </c>
      <c r="Q28" s="40">
        <f>INDEX($B$5:$B$47,MATCH(N28,$A$5:$A$47,0))</f>
        <v/>
      </c>
    </row>
    <row r="29">
      <c r="A29" s="50" t="inlineStr">
        <is>
          <t>2022Q1</t>
        </is>
      </c>
      <c r="B29" s="10" t="n">
        <v>-33.698</v>
      </c>
      <c r="C29" s="9" t="n">
        <v>3</v>
      </c>
      <c r="D29" s="2" t="inlineStr"/>
      <c r="F29" s="50" t="inlineStr">
        <is>
          <t>2024Q1</t>
        </is>
      </c>
      <c r="G29" s="22" t="n">
        <v>22.7</v>
      </c>
      <c r="H29" s="22" t="n">
        <v>21.8</v>
      </c>
      <c r="J29" s="50" t="inlineStr">
        <is>
          <t>2025Q1</t>
        </is>
      </c>
      <c r="K29" s="34">
        <f>VALUE(LEFT(J29,4))</f>
        <v/>
      </c>
      <c r="L29" s="34">
        <f>VALUE(RIGHT(J29,1))</f>
        <v/>
      </c>
      <c r="M29" s="5">
        <f>(K29-1)&amp;"Q"&amp;L29</f>
        <v/>
      </c>
      <c r="N29" s="5">
        <f>IF(L29=1,(K29-1)&amp;"Q4",K29&amp;"Q"&amp;(L29-1))</f>
        <v/>
      </c>
      <c r="O29" s="46">
        <f>INDEX($H$5:$H$35,MATCH(J29,$F$5:$F$35,0))-INDEX($H$5:$H$35,MATCH(M29,$F$5:$F$35,0))</f>
        <v/>
      </c>
      <c r="P29" s="46">
        <f>INDEX($G$5:$G$35,MATCH(J29,$F$5:$F$35,0))-INDEX($G$5:$G$35,MATCH(M29,$F$5:$F$35,0))</f>
        <v/>
      </c>
      <c r="Q29" s="40">
        <f>INDEX($B$5:$B$47,MATCH(N29,$A$5:$A$47,0))</f>
        <v/>
      </c>
    </row>
    <row r="30">
      <c r="A30" s="50" t="inlineStr">
        <is>
          <t>2022Q2</t>
        </is>
      </c>
      <c r="B30" s="10" t="n">
        <v>-8.894</v>
      </c>
      <c r="C30" s="9" t="n">
        <v>3</v>
      </c>
      <c r="D30" s="2" t="inlineStr"/>
      <c r="F30" s="50" t="inlineStr">
        <is>
          <t>2024Q2</t>
        </is>
      </c>
      <c r="G30" s="22" t="n">
        <v>22.3</v>
      </c>
      <c r="H30" s="22" t="n">
        <v>21.5</v>
      </c>
      <c r="J30" s="50" t="inlineStr">
        <is>
          <t>2025Q2</t>
        </is>
      </c>
      <c r="K30" s="34">
        <f>VALUE(LEFT(J30,4))</f>
        <v/>
      </c>
      <c r="L30" s="34">
        <f>VALUE(RIGHT(J30,1))</f>
        <v/>
      </c>
      <c r="M30" s="5">
        <f>(K30-1)&amp;"Q"&amp;L30</f>
        <v/>
      </c>
      <c r="N30" s="5">
        <f>IF(L30=1,(K30-1)&amp;"Q4",K30&amp;"Q"&amp;(L30-1))</f>
        <v/>
      </c>
      <c r="O30" s="46">
        <f>INDEX($H$5:$H$35,MATCH(J30,$F$5:$F$35,0))-INDEX($H$5:$H$35,MATCH(M30,$F$5:$F$35,0))</f>
        <v/>
      </c>
      <c r="P30" s="46">
        <f>INDEX($G$5:$G$35,MATCH(J30,$F$5:$F$35,0))-INDEX($G$5:$G$35,MATCH(M30,$F$5:$F$35,0))</f>
        <v/>
      </c>
      <c r="Q30" s="40">
        <f>INDEX($B$5:$B$47,MATCH(N30,$A$5:$A$47,0))</f>
        <v/>
      </c>
    </row>
    <row r="31">
      <c r="A31" s="50" t="inlineStr">
        <is>
          <t>2022Q3</t>
        </is>
      </c>
      <c r="B31" s="10" t="n">
        <v>2.223</v>
      </c>
      <c r="C31" s="9" t="n">
        <v>3</v>
      </c>
      <c r="D31" s="2" t="inlineStr"/>
      <c r="F31" s="50" t="inlineStr">
        <is>
          <t>2024Q3</t>
        </is>
      </c>
      <c r="G31" s="22" t="n">
        <v>22.5</v>
      </c>
      <c r="H31" s="22" t="n">
        <v>21.9</v>
      </c>
      <c r="J31" s="50" t="inlineStr">
        <is>
          <t>2025Q3</t>
        </is>
      </c>
      <c r="K31" s="34">
        <f>VALUE(LEFT(J31,4))</f>
        <v/>
      </c>
      <c r="L31" s="34">
        <f>VALUE(RIGHT(J31,1))</f>
        <v/>
      </c>
      <c r="M31" s="5">
        <f>(K31-1)&amp;"Q"&amp;L31</f>
        <v/>
      </c>
      <c r="N31" s="5">
        <f>IF(L31=1,(K31-1)&amp;"Q4",K31&amp;"Q"&amp;(L31-1))</f>
        <v/>
      </c>
      <c r="O31" s="46">
        <f>INDEX($H$5:$H$35,MATCH(J31,$F$5:$F$35,0))-INDEX($H$5:$H$35,MATCH(M31,$F$5:$F$35,0))</f>
        <v/>
      </c>
      <c r="P31" s="46">
        <f>INDEX($G$5:$G$35,MATCH(J31,$F$5:$F$35,0))-INDEX($G$5:$G$35,MATCH(M31,$F$5:$F$35,0))</f>
        <v/>
      </c>
      <c r="Q31" s="40">
        <f>INDEX($B$5:$B$47,MATCH(N31,$A$5:$A$47,0))</f>
        <v/>
      </c>
    </row>
    <row r="32">
      <c r="A32" s="50" t="inlineStr">
        <is>
          <t>2022Q4</t>
        </is>
      </c>
      <c r="B32" s="10" t="n">
        <v>15.063</v>
      </c>
      <c r="C32" s="9" t="n">
        <v>3</v>
      </c>
      <c r="D32" s="2" t="inlineStr"/>
      <c r="F32" s="50" t="inlineStr">
        <is>
          <t>2024Q4</t>
        </is>
      </c>
      <c r="G32" s="22" t="n">
        <v>24.3</v>
      </c>
      <c r="H32" s="22" t="n">
        <v>24.1</v>
      </c>
    </row>
    <row r="33">
      <c r="A33" s="50" t="inlineStr">
        <is>
          <t>2023Q1</t>
        </is>
      </c>
      <c r="B33" s="10" t="n">
        <v>25.466</v>
      </c>
      <c r="C33" s="9" t="n">
        <v>3</v>
      </c>
      <c r="D33" s="2" t="inlineStr"/>
      <c r="F33" s="50" t="inlineStr">
        <is>
          <t>2025Q1</t>
        </is>
      </c>
      <c r="G33" s="22" t="n">
        <v>23.8</v>
      </c>
      <c r="H33" s="22" t="n">
        <v>22.9</v>
      </c>
    </row>
    <row r="34">
      <c r="A34" s="50" t="inlineStr">
        <is>
          <t>2023Q2</t>
        </is>
      </c>
      <c r="B34" s="10" t="n">
        <v>18.471</v>
      </c>
      <c r="C34" s="9" t="n">
        <v>3</v>
      </c>
      <c r="D34" s="2" t="inlineStr"/>
      <c r="F34" s="50" t="inlineStr">
        <is>
          <t>2025Q2</t>
        </is>
      </c>
      <c r="G34" s="22" t="n">
        <v>23.2</v>
      </c>
      <c r="H34" s="22" t="n">
        <v>22.4</v>
      </c>
    </row>
    <row r="35">
      <c r="A35" s="50" t="inlineStr">
        <is>
          <t>2023Q3</t>
        </is>
      </c>
      <c r="B35" s="10" t="n">
        <v>18.348</v>
      </c>
      <c r="C35" s="9" t="n">
        <v>3</v>
      </c>
      <c r="D35" s="2" t="inlineStr"/>
      <c r="F35" s="50" t="inlineStr">
        <is>
          <t>2025Q3</t>
        </is>
      </c>
      <c r="G35" s="22" t="n">
        <v>23.4</v>
      </c>
      <c r="H35" s="22" t="n">
        <v>22.8</v>
      </c>
    </row>
    <row r="36">
      <c r="A36" s="50" t="inlineStr">
        <is>
          <t>2023Q4</t>
        </is>
      </c>
      <c r="B36" s="10" t="n">
        <v>12.429</v>
      </c>
      <c r="C36" s="9" t="n">
        <v>3</v>
      </c>
      <c r="D36" s="2" t="inlineStr"/>
    </row>
    <row r="37">
      <c r="A37" s="50" t="inlineStr">
        <is>
          <t>2024Q1</t>
        </is>
      </c>
      <c r="B37" s="10" t="n">
        <v>9.619</v>
      </c>
      <c r="C37" s="9" t="n">
        <v>3</v>
      </c>
      <c r="D37" s="2" t="inlineStr"/>
    </row>
    <row r="38">
      <c r="A38" s="50" t="inlineStr">
        <is>
          <t>2024Q2</t>
        </is>
      </c>
      <c r="B38" s="10" t="n">
        <v>15.705</v>
      </c>
      <c r="C38" s="9" t="n">
        <v>3</v>
      </c>
      <c r="D38" s="2" t="inlineStr"/>
    </row>
    <row r="39">
      <c r="A39" s="50" t="inlineStr">
        <is>
          <t>2024Q3</t>
        </is>
      </c>
      <c r="B39" s="10" t="n">
        <v>13.312</v>
      </c>
      <c r="C39" s="9" t="n">
        <v>3</v>
      </c>
      <c r="D39" s="2" t="inlineStr"/>
    </row>
    <row r="40">
      <c r="A40" s="50" t="inlineStr">
        <is>
          <t>2024Q4</t>
        </is>
      </c>
      <c r="B40" s="10" t="n">
        <v>9.239000000000001</v>
      </c>
      <c r="C40" s="9" t="n">
        <v>3</v>
      </c>
      <c r="D40" s="2" t="inlineStr"/>
    </row>
    <row r="41">
      <c r="A41" s="50" t="inlineStr">
        <is>
          <t>2025Q1</t>
        </is>
      </c>
      <c r="B41" s="10" t="n">
        <v>4.717</v>
      </c>
      <c r="C41" s="9" t="n">
        <v>3</v>
      </c>
      <c r="D41" s="2" t="inlineStr"/>
    </row>
    <row r="42">
      <c r="A42" s="50" t="inlineStr">
        <is>
          <t>2025Q2</t>
        </is>
      </c>
      <c r="B42" s="10" t="n">
        <v>3.243</v>
      </c>
      <c r="C42" s="9" t="n">
        <v>3</v>
      </c>
      <c r="D42" s="2" t="inlineStr"/>
    </row>
    <row r="43">
      <c r="A43" s="50" t="inlineStr">
        <is>
          <t>2025Q3</t>
        </is>
      </c>
      <c r="B43" s="10" t="n">
        <v>2.265</v>
      </c>
      <c r="C43" s="9" t="n">
        <v>3</v>
      </c>
      <c r="D43" s="2" t="inlineStr"/>
    </row>
    <row r="44">
      <c r="A44" s="50" t="inlineStr">
        <is>
          <t>2025Q4</t>
        </is>
      </c>
      <c r="B44" s="10" t="n">
        <v>3.562</v>
      </c>
      <c r="C44" s="9" t="n">
        <v>2</v>
      </c>
      <c r="D44" s="2" t="inlineStr">
        <is>
          <t>partial quarter (BLS gap or not yet published)</t>
        </is>
      </c>
    </row>
    <row r="45">
      <c r="A45" s="50" t="inlineStr">
        <is>
          <t>2026Q1</t>
        </is>
      </c>
      <c r="B45" s="10" t="n">
        <v>8.318</v>
      </c>
      <c r="C45" s="9" t="n">
        <v>3</v>
      </c>
      <c r="D45" s="2" t="inlineStr"/>
    </row>
    <row r="46">
      <c r="A46" s="50" t="inlineStr">
        <is>
          <t>2026Q2</t>
        </is>
      </c>
      <c r="B46" s="10" t="n">
        <v>8.256</v>
      </c>
      <c r="C46" s="9" t="n">
        <v>3</v>
      </c>
      <c r="D46" s="2" t="inlineStr"/>
    </row>
    <row r="47">
      <c r="A47" s="50" t="inlineStr">
        <is>
          <t>2026Q3</t>
        </is>
      </c>
      <c r="B47" s="10" t="n">
        <v>8.494</v>
      </c>
      <c r="C47" s="9" t="n">
        <v>1</v>
      </c>
      <c r="D47" s="2" t="inlineStr">
        <is>
          <t>partial quarter (BLS gap or not yet published)</t>
        </is>
      </c>
    </row>
  </sheetData>
  <mergeCells count="2">
    <mergeCell ref="A2:V2"/>
    <mergeCell ref="S17:V1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5"/>
  <sheetViews>
    <sheetView workbookViewId="0">
      <pane ySplit="4" topLeftCell="A5" activePane="bottomLeft" state="frozen"/>
      <selection pane="bottomLeft" activeCell="A1" sqref="A1"/>
    </sheetView>
  </sheetViews>
  <sheetFormatPr baseColWidth="8" defaultRowHeight="15"/>
  <cols>
    <col width="12" customWidth="1" min="1" max="1"/>
    <col width="9" customWidth="1" min="2" max="2"/>
    <col width="9" customWidth="1" min="3" max="3"/>
    <col width="9" customWidth="1" min="4" max="4"/>
    <col width="12" customWidth="1" min="5" max="5"/>
    <col width="12" customWidth="1" min="6" max="6"/>
    <col width="10" customWidth="1" min="7" max="7"/>
    <col width="14" customWidth="1" min="8" max="8"/>
    <col width="2" customWidth="1" min="9" max="9"/>
    <col width="44" customWidth="1" min="10" max="10"/>
    <col width="12" customWidth="1" min="11" max="11"/>
    <col width="16" customWidth="1" min="12" max="12"/>
  </cols>
  <sheetData>
    <row r="1">
      <c r="A1" s="1" t="inlineStr">
        <is>
          <t>RPU chain — ASP ~ used-car CPI (nowcast) and service RPU ~ ASP (elasticity)</t>
        </is>
      </c>
    </row>
    <row r="2" ht="55" customHeight="1">
      <c r="A2" s="6" t="inlineStr">
        <is>
          <t>Step 1: Copart US insurance ASP YoY (transcripts, Data_ReportedUnits) on used-car CPI YoY (BLS CUSR0000SETA02, SA, fiscal-quarter average of the three months vs the same months a year earlier; Data_CPI col B). Step 2: implied service RPU YoY on global ASP YoY, n=17 (Data_Elasticity). Reference values: step 1 a=3.23 b=0.599 r=0.77 (n=15); step 2 b=0.514 a=4.13 R²=0.61; total-RPU b=0.752 a=2.84.</t>
        </is>
      </c>
    </row>
    <row r="4" ht="30" customHeight="1">
      <c r="A4" s="18" t="inlineStr">
        <is>
          <t>fiscal quarter</t>
        </is>
      </c>
      <c r="B4" s="18" t="inlineStr">
        <is>
          <t>month 1</t>
        </is>
      </c>
      <c r="C4" s="18" t="inlineStr">
        <is>
          <t>month 2</t>
        </is>
      </c>
      <c r="D4" s="18" t="inlineStr">
        <is>
          <t>month 3</t>
        </is>
      </c>
      <c r="E4" s="18" t="inlineStr">
        <is>
          <t>CPI used cars, qtr avg</t>
        </is>
      </c>
      <c r="F4" s="18" t="inlineStr">
        <is>
          <t>same qtr prior year</t>
        </is>
      </c>
      <c r="G4" s="18" t="inlineStr">
        <is>
          <t>CPI YoY %</t>
        </is>
      </c>
      <c r="H4" s="18" t="inlineStr">
        <is>
          <t>US ins ASP YoY % (reported)</t>
        </is>
      </c>
      <c r="J4" s="7" t="inlineStr">
        <is>
          <t>Step 1: ASP = a + b × CPI</t>
        </is>
      </c>
      <c r="K4" s="7" t="inlineStr">
        <is>
          <t>value</t>
        </is>
      </c>
    </row>
    <row r="5">
      <c r="A5" s="50" t="inlineStr">
        <is>
          <t>FY2023 Q1</t>
        </is>
      </c>
      <c r="B5" s="50" t="inlineStr">
        <is>
          <t>2022-08</t>
        </is>
      </c>
      <c r="C5" s="50" t="inlineStr">
        <is>
          <t>2022-09</t>
        </is>
      </c>
      <c r="D5" s="50" t="inlineStr">
        <is>
          <t>2022-10</t>
        </is>
      </c>
      <c r="E5" s="45">
        <f>IFERROR(AVERAGE(INDEX(Data_CPI!$B$5:$B$912,MATCH(B5,Data_CPI!$A$5:$A$912,0)),INDEX(Data_CPI!$B$5:$B$912,MATCH(C5,Data_CPI!$A$5:$A$912,0)),INDEX(Data_CPI!$B$5:$B$912,MATCH(D5,Data_CPI!$A$5:$A$912,0))),"")</f>
        <v/>
      </c>
      <c r="F5" s="45">
        <f>IFERROR(AVERAGE(INDEX(Data_CPI!$B$5:$B$912,MATCH((VALUE(LEFT(B5,4))-1)&amp;RIGHT(B5,3),Data_CPI!$A$5:$A$912,0)),INDEX(Data_CPI!$B$5:$B$912,MATCH((VALUE(LEFT(C5,4))-1)&amp;RIGHT(C5,3),Data_CPI!$A$5:$A$912,0)),INDEX(Data_CPI!$B$5:$B$912,MATCH((VALUE(LEFT(D5,4))-1)&amp;RIGHT(D5,3),Data_CPI!$A$5:$A$912,0))),"")</f>
        <v/>
      </c>
      <c r="G5" s="46">
        <f>IF(OR(E5="",F5=""),"",(E5/F5-1)*100)</f>
        <v/>
      </c>
      <c r="H5" s="54">
        <f>IFERROR(INDEX(Data_ReportedUnits!$F$5:$F$20,MATCH(A5,Data_ReportedUnits!$A$5:$A$20,0)),"")</f>
        <v/>
      </c>
      <c r="J5" s="5" t="inlineStr">
        <is>
          <t>slope b</t>
        </is>
      </c>
      <c r="K5" s="52">
        <f>SLOPE(H5:H19,G5:G19)</f>
        <v/>
      </c>
    </row>
    <row r="6">
      <c r="A6" s="50" t="inlineStr">
        <is>
          <t>FY2023 Q2</t>
        </is>
      </c>
      <c r="B6" s="50" t="inlineStr">
        <is>
          <t>2022-11</t>
        </is>
      </c>
      <c r="C6" s="50" t="inlineStr">
        <is>
          <t>2022-12</t>
        </is>
      </c>
      <c r="D6" s="50" t="inlineStr">
        <is>
          <t>2023-01</t>
        </is>
      </c>
      <c r="E6" s="45">
        <f>IFERROR(AVERAGE(INDEX(Data_CPI!$B$5:$B$912,MATCH(B6,Data_CPI!$A$5:$A$912,0)),INDEX(Data_CPI!$B$5:$B$912,MATCH(C6,Data_CPI!$A$5:$A$912,0)),INDEX(Data_CPI!$B$5:$B$912,MATCH(D6,Data_CPI!$A$5:$A$912,0))),"")</f>
        <v/>
      </c>
      <c r="F6" s="45">
        <f>IFERROR(AVERAGE(INDEX(Data_CPI!$B$5:$B$912,MATCH((VALUE(LEFT(B6,4))-1)&amp;RIGHT(B6,3),Data_CPI!$A$5:$A$912,0)),INDEX(Data_CPI!$B$5:$B$912,MATCH((VALUE(LEFT(C6,4))-1)&amp;RIGHT(C6,3),Data_CPI!$A$5:$A$912,0)),INDEX(Data_CPI!$B$5:$B$912,MATCH((VALUE(LEFT(D6,4))-1)&amp;RIGHT(D6,3),Data_CPI!$A$5:$A$912,0))),"")</f>
        <v/>
      </c>
      <c r="G6" s="46">
        <f>IF(OR(E6="",F6=""),"",(E6/F6-1)*100)</f>
        <v/>
      </c>
      <c r="H6" s="54">
        <f>IFERROR(INDEX(Data_ReportedUnits!$F$5:$F$20,MATCH(A6,Data_ReportedUnits!$A$5:$A$20,0)),"")</f>
        <v/>
      </c>
      <c r="J6" s="5" t="inlineStr">
        <is>
          <t>intercept a (pp)</t>
        </is>
      </c>
      <c r="K6" s="55">
        <f>INTERCEPT(H5:H19,G5:G19)</f>
        <v/>
      </c>
    </row>
    <row r="7">
      <c r="A7" s="50" t="inlineStr">
        <is>
          <t>FY2023 Q3</t>
        </is>
      </c>
      <c r="B7" s="50" t="inlineStr">
        <is>
          <t>2023-02</t>
        </is>
      </c>
      <c r="C7" s="50" t="inlineStr">
        <is>
          <t>2023-03</t>
        </is>
      </c>
      <c r="D7" s="50" t="inlineStr">
        <is>
          <t>2023-04</t>
        </is>
      </c>
      <c r="E7" s="45">
        <f>IFERROR(AVERAGE(INDEX(Data_CPI!$B$5:$B$912,MATCH(B7,Data_CPI!$A$5:$A$912,0)),INDEX(Data_CPI!$B$5:$B$912,MATCH(C7,Data_CPI!$A$5:$A$912,0)),INDEX(Data_CPI!$B$5:$B$912,MATCH(D7,Data_CPI!$A$5:$A$912,0))),"")</f>
        <v/>
      </c>
      <c r="F7" s="45">
        <f>IFERROR(AVERAGE(INDEX(Data_CPI!$B$5:$B$912,MATCH((VALUE(LEFT(B7,4))-1)&amp;RIGHT(B7,3),Data_CPI!$A$5:$A$912,0)),INDEX(Data_CPI!$B$5:$B$912,MATCH((VALUE(LEFT(C7,4))-1)&amp;RIGHT(C7,3),Data_CPI!$A$5:$A$912,0)),INDEX(Data_CPI!$B$5:$B$912,MATCH((VALUE(LEFT(D7,4))-1)&amp;RIGHT(D7,3),Data_CPI!$A$5:$A$912,0))),"")</f>
        <v/>
      </c>
      <c r="G7" s="46">
        <f>IF(OR(E7="",F7=""),"",(E7/F7-1)*100)</f>
        <v/>
      </c>
      <c r="H7" s="54">
        <f>IFERROR(INDEX(Data_ReportedUnits!$F$5:$F$20,MATCH(A7,Data_ReportedUnits!$A$5:$A$20,0)),"")</f>
        <v/>
      </c>
      <c r="J7" s="5" t="inlineStr">
        <is>
          <t>correlation r</t>
        </is>
      </c>
      <c r="K7" s="26">
        <f>CORREL(H5:H19,G5:G19)</f>
        <v/>
      </c>
    </row>
    <row r="8">
      <c r="A8" s="50" t="inlineStr">
        <is>
          <t>FY2023 Q4</t>
        </is>
      </c>
      <c r="B8" s="50" t="inlineStr">
        <is>
          <t>2023-05</t>
        </is>
      </c>
      <c r="C8" s="50" t="inlineStr">
        <is>
          <t>2023-06</t>
        </is>
      </c>
      <c r="D8" s="50" t="inlineStr">
        <is>
          <t>2023-07</t>
        </is>
      </c>
      <c r="E8" s="45">
        <f>IFERROR(AVERAGE(INDEX(Data_CPI!$B$5:$B$912,MATCH(B8,Data_CPI!$A$5:$A$912,0)),INDEX(Data_CPI!$B$5:$B$912,MATCH(C8,Data_CPI!$A$5:$A$912,0)),INDEX(Data_CPI!$B$5:$B$912,MATCH(D8,Data_CPI!$A$5:$A$912,0))),"")</f>
        <v/>
      </c>
      <c r="F8" s="45">
        <f>IFERROR(AVERAGE(INDEX(Data_CPI!$B$5:$B$912,MATCH((VALUE(LEFT(B8,4))-1)&amp;RIGHT(B8,3),Data_CPI!$A$5:$A$912,0)),INDEX(Data_CPI!$B$5:$B$912,MATCH((VALUE(LEFT(C8,4))-1)&amp;RIGHT(C8,3),Data_CPI!$A$5:$A$912,0)),INDEX(Data_CPI!$B$5:$B$912,MATCH((VALUE(LEFT(D8,4))-1)&amp;RIGHT(D8,3),Data_CPI!$A$5:$A$912,0))),"")</f>
        <v/>
      </c>
      <c r="G8" s="46">
        <f>IF(OR(E8="",F8=""),"",(E8/F8-1)*100)</f>
        <v/>
      </c>
      <c r="H8" s="54">
        <f>IFERROR(INDEX(Data_ReportedUnits!$F$5:$F$20,MATCH(A8,Data_ReportedUnits!$A$5:$A$20,0)),"")</f>
        <v/>
      </c>
      <c r="J8" s="5" t="inlineStr">
        <is>
          <t>n</t>
        </is>
      </c>
      <c r="K8" s="34">
        <f>COUNT(H5:H19)</f>
        <v/>
      </c>
    </row>
    <row r="9">
      <c r="A9" s="50" t="inlineStr">
        <is>
          <t>FY2024 Q1</t>
        </is>
      </c>
      <c r="B9" s="50" t="inlineStr">
        <is>
          <t>2023-08</t>
        </is>
      </c>
      <c r="C9" s="50" t="inlineStr">
        <is>
          <t>2023-09</t>
        </is>
      </c>
      <c r="D9" s="50" t="inlineStr">
        <is>
          <t>2023-10</t>
        </is>
      </c>
      <c r="E9" s="45">
        <f>IFERROR(AVERAGE(INDEX(Data_CPI!$B$5:$B$912,MATCH(B9,Data_CPI!$A$5:$A$912,0)),INDEX(Data_CPI!$B$5:$B$912,MATCH(C9,Data_CPI!$A$5:$A$912,0)),INDEX(Data_CPI!$B$5:$B$912,MATCH(D9,Data_CPI!$A$5:$A$912,0))),"")</f>
        <v/>
      </c>
      <c r="F9" s="45">
        <f>IFERROR(AVERAGE(INDEX(Data_CPI!$B$5:$B$912,MATCH((VALUE(LEFT(B9,4))-1)&amp;RIGHT(B9,3),Data_CPI!$A$5:$A$912,0)),INDEX(Data_CPI!$B$5:$B$912,MATCH((VALUE(LEFT(C9,4))-1)&amp;RIGHT(C9,3),Data_CPI!$A$5:$A$912,0)),INDEX(Data_CPI!$B$5:$B$912,MATCH((VALUE(LEFT(D9,4))-1)&amp;RIGHT(D9,3),Data_CPI!$A$5:$A$912,0))),"")</f>
        <v/>
      </c>
      <c r="G9" s="46">
        <f>IF(OR(E9="",F9=""),"",(E9/F9-1)*100)</f>
        <v/>
      </c>
      <c r="H9" s="54">
        <f>IFERROR(INDEX(Data_ReportedUnits!$F$5:$F$20,MATCH(A9,Data_ReportedUnits!$A$5:$A$20,0)),"")</f>
        <v/>
      </c>
      <c r="J9" s="2" t="inlineStr">
        <is>
          <t>Nowcast row: FY2026 Q4 (A20) has CPI but ASP is not in the CSV yet (call: US ins ASP +3.7%). Extend Q0:Q1 when the CSV is updated.</t>
        </is>
      </c>
    </row>
    <row r="10">
      <c r="A10" s="50" t="inlineStr">
        <is>
          <t>FY2024 Q2</t>
        </is>
      </c>
      <c r="B10" s="50" t="inlineStr">
        <is>
          <t>2023-11</t>
        </is>
      </c>
      <c r="C10" s="50" t="inlineStr">
        <is>
          <t>2023-12</t>
        </is>
      </c>
      <c r="D10" s="50" t="inlineStr">
        <is>
          <t>2024-01</t>
        </is>
      </c>
      <c r="E10" s="45">
        <f>IFERROR(AVERAGE(INDEX(Data_CPI!$B$5:$B$912,MATCH(B10,Data_CPI!$A$5:$A$912,0)),INDEX(Data_CPI!$B$5:$B$912,MATCH(C10,Data_CPI!$A$5:$A$912,0)),INDEX(Data_CPI!$B$5:$B$912,MATCH(D10,Data_CPI!$A$5:$A$912,0))),"")</f>
        <v/>
      </c>
      <c r="F10" s="45">
        <f>IFERROR(AVERAGE(INDEX(Data_CPI!$B$5:$B$912,MATCH((VALUE(LEFT(B10,4))-1)&amp;RIGHT(B10,3),Data_CPI!$A$5:$A$912,0)),INDEX(Data_CPI!$B$5:$B$912,MATCH((VALUE(LEFT(C10,4))-1)&amp;RIGHT(C10,3),Data_CPI!$A$5:$A$912,0)),INDEX(Data_CPI!$B$5:$B$912,MATCH((VALUE(LEFT(D10,4))-1)&amp;RIGHT(D10,3),Data_CPI!$A$5:$A$912,0))),"")</f>
        <v/>
      </c>
      <c r="G10" s="46">
        <f>IF(OR(E10="",F10=""),"",(E10/F10-1)*100)</f>
        <v/>
      </c>
      <c r="H10" s="54">
        <f>IFERROR(INDEX(Data_ReportedUnits!$F$5:$F$20,MATCH(A10,Data_ReportedUnits!$A$5:$A$20,0)),"")</f>
        <v/>
      </c>
    </row>
    <row r="11">
      <c r="A11" s="50" t="inlineStr">
        <is>
          <t>FY2024 Q3</t>
        </is>
      </c>
      <c r="B11" s="50" t="inlineStr">
        <is>
          <t>2024-02</t>
        </is>
      </c>
      <c r="C11" s="50" t="inlineStr">
        <is>
          <t>2024-03</t>
        </is>
      </c>
      <c r="D11" s="50" t="inlineStr">
        <is>
          <t>2024-04</t>
        </is>
      </c>
      <c r="E11" s="45">
        <f>IFERROR(AVERAGE(INDEX(Data_CPI!$B$5:$B$912,MATCH(B11,Data_CPI!$A$5:$A$912,0)),INDEX(Data_CPI!$B$5:$B$912,MATCH(C11,Data_CPI!$A$5:$A$912,0)),INDEX(Data_CPI!$B$5:$B$912,MATCH(D11,Data_CPI!$A$5:$A$912,0))),"")</f>
        <v/>
      </c>
      <c r="F11" s="45">
        <f>IFERROR(AVERAGE(INDEX(Data_CPI!$B$5:$B$912,MATCH((VALUE(LEFT(B11,4))-1)&amp;RIGHT(B11,3),Data_CPI!$A$5:$A$912,0)),INDEX(Data_CPI!$B$5:$B$912,MATCH((VALUE(LEFT(C11,4))-1)&amp;RIGHT(C11,3),Data_CPI!$A$5:$A$912,0)),INDEX(Data_CPI!$B$5:$B$912,MATCH((VALUE(LEFT(D11,4))-1)&amp;RIGHT(D11,3),Data_CPI!$A$5:$A$912,0))),"")</f>
        <v/>
      </c>
      <c r="G11" s="46">
        <f>IF(OR(E11="",F11=""),"",(E11/F11-1)*100)</f>
        <v/>
      </c>
      <c r="H11" s="54">
        <f>IFERROR(INDEX(Data_ReportedUnits!$F$5:$F$20,MATCH(A11,Data_ReportedUnits!$A$5:$A$20,0)),"")</f>
        <v/>
      </c>
      <c r="J11" s="7" t="inlineStr">
        <is>
          <t>Step 2: RPU = a + b × ASP (global, n=17)</t>
        </is>
      </c>
      <c r="K11" s="7" t="inlineStr">
        <is>
          <t>service RPU</t>
        </is>
      </c>
      <c r="L11" s="7" t="inlineStr">
        <is>
          <t>total RPU (mgmt def.)</t>
        </is>
      </c>
    </row>
    <row r="12">
      <c r="A12" s="50" t="inlineStr">
        <is>
          <t>FY2024 Q4</t>
        </is>
      </c>
      <c r="B12" s="50" t="inlineStr">
        <is>
          <t>2024-05</t>
        </is>
      </c>
      <c r="C12" s="50" t="inlineStr">
        <is>
          <t>2024-06</t>
        </is>
      </c>
      <c r="D12" s="50" t="inlineStr">
        <is>
          <t>2024-07</t>
        </is>
      </c>
      <c r="E12" s="45">
        <f>IFERROR(AVERAGE(INDEX(Data_CPI!$B$5:$B$912,MATCH(B12,Data_CPI!$A$5:$A$912,0)),INDEX(Data_CPI!$B$5:$B$912,MATCH(C12,Data_CPI!$A$5:$A$912,0)),INDEX(Data_CPI!$B$5:$B$912,MATCH(D12,Data_CPI!$A$5:$A$912,0))),"")</f>
        <v/>
      </c>
      <c r="F12" s="45">
        <f>IFERROR(AVERAGE(INDEX(Data_CPI!$B$5:$B$912,MATCH((VALUE(LEFT(B12,4))-1)&amp;RIGHT(B12,3),Data_CPI!$A$5:$A$912,0)),INDEX(Data_CPI!$B$5:$B$912,MATCH((VALUE(LEFT(C12,4))-1)&amp;RIGHT(C12,3),Data_CPI!$A$5:$A$912,0)),INDEX(Data_CPI!$B$5:$B$912,MATCH((VALUE(LEFT(D12,4))-1)&amp;RIGHT(D12,3),Data_CPI!$A$5:$A$912,0))),"")</f>
        <v/>
      </c>
      <c r="G12" s="46">
        <f>IF(OR(E12="",F12=""),"",(E12/F12-1)*100)</f>
        <v/>
      </c>
      <c r="H12" s="54">
        <f>IFERROR(INDEX(Data_ReportedUnits!$F$5:$F$20,MATCH(A12,Data_ReportedUnits!$A$5:$A$20,0)),"")</f>
        <v/>
      </c>
      <c r="J12" s="5" t="inlineStr">
        <is>
          <t>slope b (elasticity)</t>
        </is>
      </c>
      <c r="K12" s="56">
        <f>SLOPE(Data_Elasticity!$F$5:$F$21,Data_Elasticity!$E$5:$E$21)</f>
        <v/>
      </c>
      <c r="L12" s="56">
        <f>SLOPE(Data_Elasticity!$G$5:$G$21,Data_Elasticity!$E$5:$E$21)</f>
        <v/>
      </c>
    </row>
    <row r="13">
      <c r="A13" s="50" t="inlineStr">
        <is>
          <t>FY2025 Q1</t>
        </is>
      </c>
      <c r="B13" s="50" t="inlineStr">
        <is>
          <t>2024-08</t>
        </is>
      </c>
      <c r="C13" s="50" t="inlineStr">
        <is>
          <t>2024-09</t>
        </is>
      </c>
      <c r="D13" s="50" t="inlineStr">
        <is>
          <t>2024-10</t>
        </is>
      </c>
      <c r="E13" s="45">
        <f>IFERROR(AVERAGE(INDEX(Data_CPI!$B$5:$B$912,MATCH(B13,Data_CPI!$A$5:$A$912,0)),INDEX(Data_CPI!$B$5:$B$912,MATCH(C13,Data_CPI!$A$5:$A$912,0)),INDEX(Data_CPI!$B$5:$B$912,MATCH(D13,Data_CPI!$A$5:$A$912,0))),"")</f>
        <v/>
      </c>
      <c r="F13" s="45">
        <f>IFERROR(AVERAGE(INDEX(Data_CPI!$B$5:$B$912,MATCH((VALUE(LEFT(B13,4))-1)&amp;RIGHT(B13,3),Data_CPI!$A$5:$A$912,0)),INDEX(Data_CPI!$B$5:$B$912,MATCH((VALUE(LEFT(C13,4))-1)&amp;RIGHT(C13,3),Data_CPI!$A$5:$A$912,0)),INDEX(Data_CPI!$B$5:$B$912,MATCH((VALUE(LEFT(D13,4))-1)&amp;RIGHT(D13,3),Data_CPI!$A$5:$A$912,0))),"")</f>
        <v/>
      </c>
      <c r="G13" s="46">
        <f>IF(OR(E13="",F13=""),"",(E13/F13-1)*100)</f>
        <v/>
      </c>
      <c r="H13" s="54">
        <f>IFERROR(INDEX(Data_ReportedUnits!$F$5:$F$20,MATCH(A13,Data_ReportedUnits!$A$5:$A$20,0)),"")</f>
        <v/>
      </c>
      <c r="J13" s="5" t="inlineStr">
        <is>
          <t>intercept a (pp = fee/mix growth at flat ASP)</t>
        </is>
      </c>
      <c r="K13" s="57">
        <f>INTERCEPT(Data_Elasticity!$F$5:$F$21,Data_Elasticity!$E$5:$E$21)</f>
        <v/>
      </c>
      <c r="L13" s="57">
        <f>INTERCEPT(Data_Elasticity!$G$5:$G$21,Data_Elasticity!$E$5:$E$21)</f>
        <v/>
      </c>
    </row>
    <row r="14">
      <c r="A14" s="50" t="inlineStr">
        <is>
          <t>FY2025 Q2</t>
        </is>
      </c>
      <c r="B14" s="50" t="inlineStr">
        <is>
          <t>2024-11</t>
        </is>
      </c>
      <c r="C14" s="50" t="inlineStr">
        <is>
          <t>2024-12</t>
        </is>
      </c>
      <c r="D14" s="50" t="inlineStr">
        <is>
          <t>2025-01</t>
        </is>
      </c>
      <c r="E14" s="45">
        <f>IFERROR(AVERAGE(INDEX(Data_CPI!$B$5:$B$912,MATCH(B14,Data_CPI!$A$5:$A$912,0)),INDEX(Data_CPI!$B$5:$B$912,MATCH(C14,Data_CPI!$A$5:$A$912,0)),INDEX(Data_CPI!$B$5:$B$912,MATCH(D14,Data_CPI!$A$5:$A$912,0))),"")</f>
        <v/>
      </c>
      <c r="F14" s="45">
        <f>IFERROR(AVERAGE(INDEX(Data_CPI!$B$5:$B$912,MATCH((VALUE(LEFT(B14,4))-1)&amp;RIGHT(B14,3),Data_CPI!$A$5:$A$912,0)),INDEX(Data_CPI!$B$5:$B$912,MATCH((VALUE(LEFT(C14,4))-1)&amp;RIGHT(C14,3),Data_CPI!$A$5:$A$912,0)),INDEX(Data_CPI!$B$5:$B$912,MATCH((VALUE(LEFT(D14,4))-1)&amp;RIGHT(D14,3),Data_CPI!$A$5:$A$912,0))),"")</f>
        <v/>
      </c>
      <c r="G14" s="46">
        <f>IF(OR(E14="",F14=""),"",(E14/F14-1)*100)</f>
        <v/>
      </c>
      <c r="H14" s="54">
        <f>IFERROR(INDEX(Data_ReportedUnits!$F$5:$F$20,MATCH(A14,Data_ReportedUnits!$A$5:$A$20,0)),"")</f>
        <v/>
      </c>
      <c r="J14" s="5" t="inlineStr">
        <is>
          <t>R²</t>
        </is>
      </c>
      <c r="K14" s="33">
        <f>RSQ(Data_Elasticity!$F$5:$F$21,Data_Elasticity!$E$5:$E$21)</f>
        <v/>
      </c>
      <c r="L14" s="33">
        <f>RSQ(Data_Elasticity!$G$5:$G$21,Data_Elasticity!$E$5:$E$21)</f>
        <v/>
      </c>
    </row>
    <row r="15">
      <c r="A15" s="50" t="inlineStr">
        <is>
          <t>FY2025 Q3</t>
        </is>
      </c>
      <c r="B15" s="50" t="inlineStr">
        <is>
          <t>2025-02</t>
        </is>
      </c>
      <c r="C15" s="50" t="inlineStr">
        <is>
          <t>2025-03</t>
        </is>
      </c>
      <c r="D15" s="50" t="inlineStr">
        <is>
          <t>2025-04</t>
        </is>
      </c>
      <c r="E15" s="45">
        <f>IFERROR(AVERAGE(INDEX(Data_CPI!$B$5:$B$912,MATCH(B15,Data_CPI!$A$5:$A$912,0)),INDEX(Data_CPI!$B$5:$B$912,MATCH(C15,Data_CPI!$A$5:$A$912,0)),INDEX(Data_CPI!$B$5:$B$912,MATCH(D15,Data_CPI!$A$5:$A$912,0))),"")</f>
        <v/>
      </c>
      <c r="F15" s="45">
        <f>IFERROR(AVERAGE(INDEX(Data_CPI!$B$5:$B$912,MATCH((VALUE(LEFT(B15,4))-1)&amp;RIGHT(B15,3),Data_CPI!$A$5:$A$912,0)),INDEX(Data_CPI!$B$5:$B$912,MATCH((VALUE(LEFT(C15,4))-1)&amp;RIGHT(C15,3),Data_CPI!$A$5:$A$912,0)),INDEX(Data_CPI!$B$5:$B$912,MATCH((VALUE(LEFT(D15,4))-1)&amp;RIGHT(D15,3),Data_CPI!$A$5:$A$912,0))),"")</f>
        <v/>
      </c>
      <c r="G15" s="46">
        <f>IF(OR(E15="",F15=""),"",(E15/F15-1)*100)</f>
        <v/>
      </c>
      <c r="H15" s="54">
        <f>IFERROR(INDEX(Data_ReportedUnits!$F$5:$F$20,MATCH(A15,Data_ReportedUnits!$A$5:$A$20,0)),"")</f>
        <v/>
      </c>
      <c r="J15" s="5" t="inlineStr">
        <is>
          <t>n</t>
        </is>
      </c>
      <c r="K15" s="36">
        <f>COUNT(Data_Elasticity!$F$5:$F$21)</f>
        <v/>
      </c>
      <c r="L15" s="36">
        <f>COUNT(Data_Elasticity!$G$5:$G$21)</f>
        <v/>
      </c>
    </row>
    <row r="16" ht="30" customHeight="1">
      <c r="A16" s="50" t="inlineStr">
        <is>
          <t>FY2025 Q4</t>
        </is>
      </c>
      <c r="B16" s="50" t="inlineStr">
        <is>
          <t>2025-05</t>
        </is>
      </c>
      <c r="C16" s="50" t="inlineStr">
        <is>
          <t>2025-06</t>
        </is>
      </c>
      <c r="D16" s="50" t="inlineStr">
        <is>
          <t>2025-07</t>
        </is>
      </c>
      <c r="E16" s="45">
        <f>IFERROR(AVERAGE(INDEX(Data_CPI!$B$5:$B$912,MATCH(B16,Data_CPI!$A$5:$A$912,0)),INDEX(Data_CPI!$B$5:$B$912,MATCH(C16,Data_CPI!$A$5:$A$912,0)),INDEX(Data_CPI!$B$5:$B$912,MATCH(D16,Data_CPI!$A$5:$A$912,0))),"")</f>
        <v/>
      </c>
      <c r="F16" s="45">
        <f>IFERROR(AVERAGE(INDEX(Data_CPI!$B$5:$B$912,MATCH((VALUE(LEFT(B16,4))-1)&amp;RIGHT(B16,3),Data_CPI!$A$5:$A$912,0)),INDEX(Data_CPI!$B$5:$B$912,MATCH((VALUE(LEFT(C16,4))-1)&amp;RIGHT(C16,3),Data_CPI!$A$5:$A$912,0)),INDEX(Data_CPI!$B$5:$B$912,MATCH((VALUE(LEFT(D16,4))-1)&amp;RIGHT(D16,3),Data_CPI!$A$5:$A$912,0))),"")</f>
        <v/>
      </c>
      <c r="G16" s="46">
        <f>IF(OR(E16="",F16=""),"",(E16/F16-1)*100)</f>
        <v/>
      </c>
      <c r="H16" s="54">
        <f>IFERROR(INDEX(Data_ReportedUnits!$F$5:$F$20,MATCH(A16,Data_ReportedUnits!$A$5:$A$20,0)),"")</f>
        <v/>
      </c>
      <c r="J16" s="6" t="inlineStr">
        <is>
          <t>Caveat: residual autocorrelation → effective n ≈ 6; 95% CI on service-RPU slope [0.29, 0.73]. The INTERCEPT is the robust finding (fee/mix adds ~4pp/yr at flat ASP), and it decelerated in FY26 (+1.3 to +3.5pp).</t>
        </is>
      </c>
    </row>
    <row r="17">
      <c r="A17" s="50" t="inlineStr">
        <is>
          <t>FY2026 Q1</t>
        </is>
      </c>
      <c r="B17" s="50" t="inlineStr">
        <is>
          <t>2025-08</t>
        </is>
      </c>
      <c r="C17" s="50" t="inlineStr">
        <is>
          <t>2025-09</t>
        </is>
      </c>
      <c r="D17" s="50" t="inlineStr">
        <is>
          <t>2025-10</t>
        </is>
      </c>
      <c r="E17" s="45">
        <f>IFERROR(AVERAGE(INDEX(Data_CPI!$B$5:$B$912,MATCH(B17,Data_CPI!$A$5:$A$912,0)),INDEX(Data_CPI!$B$5:$B$912,MATCH(C17,Data_CPI!$A$5:$A$912,0)),INDEX(Data_CPI!$B$5:$B$912,MATCH(D17,Data_CPI!$A$5:$A$912,0))),"")</f>
        <v/>
      </c>
      <c r="F17" s="45">
        <f>IFERROR(AVERAGE(INDEX(Data_CPI!$B$5:$B$912,MATCH((VALUE(LEFT(B17,4))-1)&amp;RIGHT(B17,3),Data_CPI!$A$5:$A$912,0)),INDEX(Data_CPI!$B$5:$B$912,MATCH((VALUE(LEFT(C17,4))-1)&amp;RIGHT(C17,3),Data_CPI!$A$5:$A$912,0)),INDEX(Data_CPI!$B$5:$B$912,MATCH((VALUE(LEFT(D17,4))-1)&amp;RIGHT(D17,3),Data_CPI!$A$5:$A$912,0))),"")</f>
        <v/>
      </c>
      <c r="G17" s="46">
        <f>IF(OR(E17="",F17=""),"",(E17/F17-1)*100)</f>
        <v/>
      </c>
      <c r="H17" s="54">
        <f>IFERROR(INDEX(Data_ReportedUnits!$F$5:$F$20,MATCH(A17,Data_ReportedUnits!$A$5:$A$20,0)),"")</f>
        <v/>
      </c>
    </row>
    <row r="18">
      <c r="A18" s="50" t="inlineStr">
        <is>
          <t>FY2026 Q2</t>
        </is>
      </c>
      <c r="B18" s="50" t="inlineStr">
        <is>
          <t>2025-11</t>
        </is>
      </c>
      <c r="C18" s="50" t="inlineStr">
        <is>
          <t>2025-12</t>
        </is>
      </c>
      <c r="D18" s="50" t="inlineStr">
        <is>
          <t>2026-01</t>
        </is>
      </c>
      <c r="E18" s="45">
        <f>IFERROR(AVERAGE(INDEX(Data_CPI!$B$5:$B$912,MATCH(B18,Data_CPI!$A$5:$A$912,0)),INDEX(Data_CPI!$B$5:$B$912,MATCH(C18,Data_CPI!$A$5:$A$912,0)),INDEX(Data_CPI!$B$5:$B$912,MATCH(D18,Data_CPI!$A$5:$A$912,0))),"")</f>
        <v/>
      </c>
      <c r="F18" s="45">
        <f>IFERROR(AVERAGE(INDEX(Data_CPI!$B$5:$B$912,MATCH((VALUE(LEFT(B18,4))-1)&amp;RIGHT(B18,3),Data_CPI!$A$5:$A$912,0)),INDEX(Data_CPI!$B$5:$B$912,MATCH((VALUE(LEFT(C18,4))-1)&amp;RIGHT(C18,3),Data_CPI!$A$5:$A$912,0)),INDEX(Data_CPI!$B$5:$B$912,MATCH((VALUE(LEFT(D18,4))-1)&amp;RIGHT(D18,3),Data_CPI!$A$5:$A$912,0))),"")</f>
        <v/>
      </c>
      <c r="G18" s="46">
        <f>IF(OR(E18="",F18=""),"",(E18/F18-1)*100)</f>
        <v/>
      </c>
      <c r="H18" s="54">
        <f>IFERROR(INDEX(Data_ReportedUnits!$F$5:$F$20,MATCH(A18,Data_ReportedUnits!$A$5:$A$20,0)),"")</f>
        <v/>
      </c>
    </row>
    <row r="19">
      <c r="A19" s="50" t="inlineStr">
        <is>
          <t>FY2026 Q3</t>
        </is>
      </c>
      <c r="B19" s="50" t="inlineStr">
        <is>
          <t>2026-02</t>
        </is>
      </c>
      <c r="C19" s="50" t="inlineStr">
        <is>
          <t>2026-03</t>
        </is>
      </c>
      <c r="D19" s="50" t="inlineStr">
        <is>
          <t>2026-04</t>
        </is>
      </c>
      <c r="E19" s="45">
        <f>IFERROR(AVERAGE(INDEX(Data_CPI!$B$5:$B$912,MATCH(B19,Data_CPI!$A$5:$A$912,0)),INDEX(Data_CPI!$B$5:$B$912,MATCH(C19,Data_CPI!$A$5:$A$912,0)),INDEX(Data_CPI!$B$5:$B$912,MATCH(D19,Data_CPI!$A$5:$A$912,0))),"")</f>
        <v/>
      </c>
      <c r="F19" s="45">
        <f>IFERROR(AVERAGE(INDEX(Data_CPI!$B$5:$B$912,MATCH((VALUE(LEFT(B19,4))-1)&amp;RIGHT(B19,3),Data_CPI!$A$5:$A$912,0)),INDEX(Data_CPI!$B$5:$B$912,MATCH((VALUE(LEFT(C19,4))-1)&amp;RIGHT(C19,3),Data_CPI!$A$5:$A$912,0)),INDEX(Data_CPI!$B$5:$B$912,MATCH((VALUE(LEFT(D19,4))-1)&amp;RIGHT(D19,3),Data_CPI!$A$5:$A$912,0))),"")</f>
        <v/>
      </c>
      <c r="G19" s="46">
        <f>IF(OR(E19="",F19=""),"",(E19/F19-1)*100)</f>
        <v/>
      </c>
      <c r="H19" s="54">
        <f>IFERROR(INDEX(Data_ReportedUnits!$F$5:$F$20,MATCH(A19,Data_ReportedUnits!$A$5:$A$20,0)),"")</f>
        <v/>
      </c>
      <c r="J19" s="7" t="inlineStr">
        <is>
          <t>Chain (type a used-car CPI YoY assumption)</t>
        </is>
      </c>
    </row>
    <row r="20">
      <c r="A20" s="50" t="inlineStr">
        <is>
          <t>FY2026 Q4</t>
        </is>
      </c>
      <c r="B20" s="50" t="inlineStr">
        <is>
          <t>2026-05</t>
        </is>
      </c>
      <c r="C20" s="50" t="inlineStr">
        <is>
          <t>2026-06</t>
        </is>
      </c>
      <c r="D20" s="50" t="inlineStr">
        <is>
          <t>2026-07</t>
        </is>
      </c>
      <c r="E20" s="45">
        <f>IFERROR(AVERAGE(INDEX(Data_CPI!$B$5:$B$912,MATCH(B20,Data_CPI!$A$5:$A$912,0)),INDEX(Data_CPI!$B$5:$B$912,MATCH(C20,Data_CPI!$A$5:$A$912,0)),INDEX(Data_CPI!$B$5:$B$912,MATCH(D20,Data_CPI!$A$5:$A$912,0))),"")</f>
        <v/>
      </c>
      <c r="F20" s="45">
        <f>IFERROR(AVERAGE(INDEX(Data_CPI!$B$5:$B$912,MATCH((VALUE(LEFT(B20,4))-1)&amp;RIGHT(B20,3),Data_CPI!$A$5:$A$912,0)),INDEX(Data_CPI!$B$5:$B$912,MATCH((VALUE(LEFT(C20,4))-1)&amp;RIGHT(C20,3),Data_CPI!$A$5:$A$912,0)),INDEX(Data_CPI!$B$5:$B$912,MATCH((VALUE(LEFT(D20,4))-1)&amp;RIGHT(D20,3),Data_CPI!$A$5:$A$912,0))),"")</f>
        <v/>
      </c>
      <c r="G20" s="46">
        <f>IF(OR(E20="",F20=""),"",(E20/F20-1)*100)</f>
        <v/>
      </c>
      <c r="H20" s="54">
        <f>IFERROR(INDEX(Data_ReportedUnits!$F$5:$F$20,MATCH(A20,Data_ReportedUnits!$A$5:$A$20,0)),"")</f>
        <v/>
      </c>
      <c r="J20" s="5" t="inlineStr">
        <is>
          <t>Used-car CPI YoY % (assumption)</t>
        </is>
      </c>
      <c r="K20" s="58" t="n">
        <v>-2</v>
      </c>
    </row>
    <row r="21">
      <c r="J21" s="5" t="inlineStr">
        <is>
          <t>→ US insurance ASP YoY %</t>
        </is>
      </c>
      <c r="K21" s="46">
        <f>K6+K5*K20</f>
        <v/>
      </c>
    </row>
    <row r="22">
      <c r="J22" s="5" t="inlineStr">
        <is>
          <t>→ Service RPU YoY %</t>
        </is>
      </c>
      <c r="K22" s="59">
        <f>K13+K12*K21</f>
        <v/>
      </c>
    </row>
    <row r="23">
      <c r="J23" s="5" t="inlineStr">
        <is>
          <t>→ Total RPU YoY % (mgmt definition)</t>
        </is>
      </c>
      <c r="K23" s="46">
        <f>L13+L12*K21</f>
        <v/>
      </c>
    </row>
    <row r="24">
      <c r="J24" s="6" t="inlineStr">
        <is>
          <t>Back-test FY26Q4: used-car CPI ≈ −1.9% → service RPU ≈ +4.4%; reported +4.4%. RPU is low-variance: +3.3% to +8.9% across used-car CPI −8% to +10%.</t>
        </is>
      </c>
    </row>
    <row r="25"/>
  </sheetData>
  <mergeCells count="3">
    <mergeCell ref="J24:P25"/>
    <mergeCell ref="J16:P17"/>
    <mergeCell ref="A2:P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8" customWidth="1" min="5" max="5"/>
  </cols>
  <sheetData>
    <row r="1">
      <c r="A1" s="1" t="inlineStr">
        <is>
          <t>Checks — every one should read OK</t>
        </is>
      </c>
    </row>
    <row r="3">
      <c r="A3" s="7" t="inlineStr">
        <is>
          <t>check</t>
        </is>
      </c>
      <c r="B3" s="7" t="inlineStr">
        <is>
          <t>value</t>
        </is>
      </c>
      <c r="C3" s="7" t="inlineStr">
        <is>
          <t>target</t>
        </is>
      </c>
      <c r="D3" s="7" t="inlineStr">
        <is>
          <t>tolerance</t>
        </is>
      </c>
      <c r="E3" s="7" t="inlineStr">
        <is>
          <t>status</t>
        </is>
      </c>
    </row>
    <row r="4">
      <c r="A4" s="5" t="inlineStr">
        <is>
          <t>Calibration loss (Solver objective) small</t>
        </is>
      </c>
      <c r="B4" s="24">
        <f>Calibration!N22</f>
        <v/>
      </c>
      <c r="C4" s="60" t="n">
        <v>0</v>
      </c>
      <c r="D4" s="60" t="n">
        <v>3</v>
      </c>
      <c r="E4" s="3">
        <f>IF(ABS(B4-C4)&lt;=D4,"OK","FAIL")</f>
        <v/>
      </c>
    </row>
    <row r="5">
      <c r="A5" s="5" t="inlineStr">
        <is>
          <t>Baseline TLF 2024 ≈ CCC 22.3%</t>
        </is>
      </c>
      <c r="B5" s="24">
        <f>TLF_Roll!N8</f>
        <v/>
      </c>
      <c r="C5" s="60" t="n">
        <v>0.223</v>
      </c>
      <c r="D5" s="60" t="n">
        <v>0.005</v>
      </c>
      <c r="E5" s="3">
        <f>IF(ABS(B5-C5)&lt;=D5,"OK","FAIL")</f>
        <v/>
      </c>
    </row>
    <row r="6">
      <c r="A6" s="5" t="inlineStr">
        <is>
          <t>VIO 2024 ≈ 292M (Experian) / 289M (S&amp;P)</t>
        </is>
      </c>
      <c r="B6" s="24">
        <f>TLF_Roll!N18</f>
        <v/>
      </c>
      <c r="C6" s="60" t="n">
        <v>292</v>
      </c>
      <c r="D6" s="60" t="n">
        <v>9</v>
      </c>
      <c r="E6" s="3">
        <f>IF(ABS(B6-C6)&lt;=D6,"OK","FAIL")</f>
        <v/>
      </c>
    </row>
    <row r="7">
      <c r="A7" s="5" t="inlineStr">
        <is>
          <t>Fleet share 7+ 2024 ≈ 66%</t>
        </is>
      </c>
      <c r="B7" s="24">
        <f>TLF_Roll!N19</f>
        <v/>
      </c>
      <c r="C7" s="60" t="n">
        <v>0.66</v>
      </c>
      <c r="D7" s="60" t="n">
        <v>0.025</v>
      </c>
      <c r="E7" s="3">
        <f>IF(ABS(B7-C7)&lt;=D7,"OK","FAIL")</f>
        <v/>
      </c>
    </row>
    <row r="8">
      <c r="A8" s="5" t="inlineStr">
        <is>
          <t>Survival at age 0 = 1 in every year</t>
        </is>
      </c>
      <c r="B8" s="24">
        <f>MIN(Survival!C6:T6,Survival!C55:T55)</f>
        <v/>
      </c>
      <c r="C8" s="60" t="n">
        <v>1</v>
      </c>
      <c r="D8" s="60" t="n">
        <v>0.0001</v>
      </c>
      <c r="E8" s="3">
        <f>IF(ABS(B8-C8)&lt;=D8,"OK","FAIL")</f>
        <v/>
      </c>
    </row>
    <row r="9">
      <c r="A9" s="5" t="inlineStr">
        <is>
          <t>Fleet matrix: 2013 total ≈ 2013 census light vehicles (~243M)</t>
        </is>
      </c>
      <c r="B9" s="24">
        <f>Fleet!C68/1000</f>
        <v/>
      </c>
      <c r="C9" s="60" t="n">
        <v>243</v>
      </c>
      <c r="D9" s="60" t="n">
        <v>12</v>
      </c>
      <c r="E9" s="3">
        <f>IF(ABS(B9-C9)&lt;=D9,"OK","FAIL")</f>
        <v/>
      </c>
    </row>
    <row r="10">
      <c r="A10" s="5" t="inlineStr">
        <is>
          <t>Spread regression slope ≈ 0.0815 (all-loss)</t>
        </is>
      </c>
      <c r="B10" s="24">
        <f>Spread_Reg!T5</f>
        <v/>
      </c>
      <c r="C10" s="60" t="n">
        <v>0.0815</v>
      </c>
      <c r="D10" s="60" t="n">
        <v>0.003</v>
      </c>
      <c r="E10" s="3">
        <f>IF(ABS(B10-C10)&lt;=D10,"OK","FAIL")</f>
        <v/>
      </c>
    </row>
    <row r="11">
      <c r="A11" s="5" t="inlineStr">
        <is>
          <t>Spread regression intercept ≈ 0.599 (all-loss)</t>
        </is>
      </c>
      <c r="B11" s="24">
        <f>Spread_Reg!T6</f>
        <v/>
      </c>
      <c r="C11" s="60" t="n">
        <v>0.599</v>
      </c>
      <c r="D11" s="60" t="n">
        <v>0.03</v>
      </c>
      <c r="E11" s="3">
        <f>IF(ABS(B11-C11)&lt;=D11,"OK","FAIL")</f>
        <v/>
      </c>
    </row>
    <row r="12">
      <c r="A12" s="5" t="inlineStr">
        <is>
          <t>Service-RPU elasticity ≈ 0.514</t>
        </is>
      </c>
      <c r="B12" s="24">
        <f>RPU_Reg!K12</f>
        <v/>
      </c>
      <c r="C12" s="60" t="n">
        <v>0.514</v>
      </c>
      <c r="D12" s="60" t="n">
        <v>0.01</v>
      </c>
      <c r="E12" s="3">
        <f>IF(ABS(B12-C12)&lt;=D12,"OK","FAIL")</f>
        <v/>
      </c>
    </row>
    <row r="13">
      <c r="A13" s="5" t="inlineStr">
        <is>
          <t>Service-RPU intercept ≈ 4.13</t>
        </is>
      </c>
      <c r="B13" s="24">
        <f>RPU_Reg!K13</f>
        <v/>
      </c>
      <c r="C13" s="60" t="n">
        <v>4.13</v>
      </c>
      <c r="D13" s="60" t="n">
        <v>0.1</v>
      </c>
      <c r="E13" s="3">
        <f>IF(ABS(B13-C13)&lt;=D13,"OK","FAIL")</f>
        <v/>
      </c>
    </row>
    <row r="14">
      <c r="A14" s="5" t="inlineStr">
        <is>
          <t>ASP ~ CPI slope ≈ 0.60 (n=15)</t>
        </is>
      </c>
      <c r="B14" s="24">
        <f>RPU_Reg!K5</f>
        <v/>
      </c>
      <c r="C14" s="60" t="n">
        <v>0.599</v>
      </c>
      <c r="D14" s="60" t="n">
        <v>0.05</v>
      </c>
      <c r="E14" s="3">
        <f>IF(ABS(B14-C14)&lt;=D14,"OK","FAIL")</f>
        <v/>
      </c>
    </row>
    <row r="15">
      <c r="A15" s="5" t="inlineStr">
        <is>
          <t>P(≤3) 2024 ≈ 10%</t>
        </is>
      </c>
      <c r="B15" s="24">
        <f>TLF_Roll!N17</f>
        <v/>
      </c>
      <c r="C15" s="60" t="n">
        <v>0.1</v>
      </c>
      <c r="D15" s="60" t="n">
        <v>0.01</v>
      </c>
      <c r="E15" s="3">
        <f>IF(ABS(B15-C15)&lt;=D15,"OK","FAIL")</f>
        <v/>
      </c>
    </row>
    <row r="17">
      <c r="A17" s="3" t="inlineStr">
        <is>
          <t>ALL CHECKS</t>
        </is>
      </c>
      <c r="E17" s="61">
        <f>IF(COUNTIF(E4:E15,"OK")=12,"OK","FAIL")</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18" customWidth="1" min="3" max="3"/>
    <col width="18" customWidth="1" min="4" max="4"/>
    <col width="24" customWidth="1" min="5" max="5"/>
    <col width="16" customWidth="1" min="6" max="6"/>
    <col width="16" customWidth="1" min="7" max="7"/>
    <col width="22" customWidth="1" min="8" max="8"/>
  </cols>
  <sheetData>
    <row r="1">
      <c r="A1" s="1" t="inlineStr">
        <is>
          <t>reported_units.csv</t>
        </is>
      </c>
    </row>
    <row r="2" ht="42" customHeight="1">
      <c r="A2" s="6" t="inlineStr">
        <is>
          <t>Copart quarterly YoY series, HAND-TRANSCRIBED from earnings-call transcripts (no filing discloses them). Tier 2. scripts/reported_series.py</t>
        </is>
      </c>
    </row>
    <row r="3">
      <c r="A3" s="2" t="inlineStr">
        <is>
          <t>data/csv/reported_units.csv · 16 rows · BLUE = raw data as committed; do not type over it — edit the CSV and rebuild.</t>
        </is>
      </c>
    </row>
    <row r="4">
      <c r="A4" s="7" t="inlineStr">
        <is>
          <t>fiscal_q</t>
        </is>
      </c>
      <c r="B4" s="7" t="inlineStr">
        <is>
          <t>call_date</t>
        </is>
      </c>
      <c r="C4" s="7" t="inlineStr">
        <is>
          <t>us_inventory_yoy</t>
        </is>
      </c>
      <c r="D4" s="7" t="inlineStr">
        <is>
          <t>us_ins_units_yoy</t>
        </is>
      </c>
      <c r="E4" s="7" t="inlineStr">
        <is>
          <t>us_ins_units_exCAT_yoy</t>
        </is>
      </c>
      <c r="F4" s="7" t="inlineStr">
        <is>
          <t>us_ins_asp_yoy</t>
        </is>
      </c>
      <c r="G4" s="7" t="inlineStr">
        <is>
          <t>global_asp_yoy</t>
        </is>
      </c>
      <c r="H4" s="7" t="inlineStr">
        <is>
          <t>global_ins_units_yoy</t>
        </is>
      </c>
    </row>
    <row r="5">
      <c r="A5" s="50" t="inlineStr">
        <is>
          <t>FY2022 Q4</t>
        </is>
      </c>
      <c r="B5" s="50" t="inlineStr">
        <is>
          <t>2022-09-08</t>
        </is>
      </c>
      <c r="C5" s="50" t="n">
        <v>-9.6</v>
      </c>
      <c r="D5" s="50" t="n"/>
      <c r="E5" s="50" t="n"/>
      <c r="F5" s="50" t="n">
        <v>9.199999999999999</v>
      </c>
      <c r="G5" s="50" t="n">
        <v>8.300000000000001</v>
      </c>
      <c r="H5" s="50" t="n"/>
    </row>
    <row r="6">
      <c r="A6" s="50" t="inlineStr">
        <is>
          <t>FY2023 Q1</t>
        </is>
      </c>
      <c r="B6" s="50" t="inlineStr">
        <is>
          <t>2022-11-17</t>
        </is>
      </c>
      <c r="C6" s="50" t="n">
        <v>-6.3</v>
      </c>
      <c r="D6" s="50" t="n"/>
      <c r="E6" s="50" t="n"/>
      <c r="F6" s="50" t="n">
        <v>6.4</v>
      </c>
      <c r="G6" s="50" t="n">
        <v>5</v>
      </c>
      <c r="H6" s="50" t="n"/>
    </row>
    <row r="7">
      <c r="A7" s="50" t="inlineStr">
        <is>
          <t>FY2023 Q2</t>
        </is>
      </c>
      <c r="B7" s="50" t="inlineStr">
        <is>
          <t>2023-02-21</t>
        </is>
      </c>
      <c r="C7" s="50" t="n">
        <v>-3</v>
      </c>
      <c r="D7" s="50" t="n">
        <v>9</v>
      </c>
      <c r="E7" s="50" t="n"/>
      <c r="F7" s="50" t="n">
        <v>1</v>
      </c>
      <c r="G7" s="50" t="n">
        <v>0</v>
      </c>
      <c r="H7" s="50" t="n"/>
    </row>
    <row r="8">
      <c r="A8" s="50" t="inlineStr">
        <is>
          <t>FY2023 Q3</t>
        </is>
      </c>
      <c r="B8" s="50" t="inlineStr">
        <is>
          <t>2023-05-17</t>
        </is>
      </c>
      <c r="C8" s="50" t="n">
        <v>2</v>
      </c>
      <c r="D8" s="50" t="n">
        <v>6</v>
      </c>
      <c r="E8" s="50" t="n"/>
      <c r="F8" s="50" t="n">
        <v>-1</v>
      </c>
      <c r="G8" s="50" t="n">
        <v>-1</v>
      </c>
      <c r="H8" s="50" t="n"/>
    </row>
    <row r="9">
      <c r="A9" s="50" t="inlineStr">
        <is>
          <t>FY2023 Q4</t>
        </is>
      </c>
      <c r="B9" s="50" t="inlineStr">
        <is>
          <t>2023-09-14</t>
        </is>
      </c>
      <c r="C9" s="50" t="n">
        <v>8</v>
      </c>
      <c r="D9" s="50" t="n">
        <v>9</v>
      </c>
      <c r="E9" s="50" t="n"/>
      <c r="F9" s="50" t="n">
        <v>2</v>
      </c>
      <c r="G9" s="50" t="n">
        <v>2</v>
      </c>
      <c r="H9" s="50" t="n"/>
    </row>
    <row r="10">
      <c r="A10" s="50" t="inlineStr">
        <is>
          <t>FY2024 Q1</t>
        </is>
      </c>
      <c r="B10" s="50" t="inlineStr">
        <is>
          <t>2023-11-16</t>
        </is>
      </c>
      <c r="C10" s="50" t="n">
        <v>1</v>
      </c>
      <c r="D10" s="50" t="n">
        <v>9.699999999999999</v>
      </c>
      <c r="E10" s="50" t="n"/>
      <c r="F10" s="50" t="n">
        <v>-1.7</v>
      </c>
      <c r="G10" s="50" t="n">
        <v>-1</v>
      </c>
      <c r="H10" s="50" t="n"/>
    </row>
    <row r="11">
      <c r="A11" s="50" t="inlineStr">
        <is>
          <t>FY2024 Q2</t>
        </is>
      </c>
      <c r="B11" s="50" t="inlineStr">
        <is>
          <t>2024-02-22</t>
        </is>
      </c>
      <c r="C11" s="50" t="n">
        <v>4</v>
      </c>
      <c r="D11" s="50" t="n">
        <v>0.3</v>
      </c>
      <c r="E11" s="50" t="n">
        <v>9.199999999999999</v>
      </c>
      <c r="F11" s="50" t="n">
        <v>-5</v>
      </c>
      <c r="G11" s="50" t="n">
        <v>-5</v>
      </c>
      <c r="H11" s="50" t="n"/>
    </row>
    <row r="12">
      <c r="A12" s="50" t="inlineStr">
        <is>
          <t>FY2024 Q3</t>
        </is>
      </c>
      <c r="B12" s="50" t="inlineStr">
        <is>
          <t>2024-05-16</t>
        </is>
      </c>
      <c r="C12" s="50" t="n">
        <v>3</v>
      </c>
      <c r="D12" s="50" t="n">
        <v>6.8</v>
      </c>
      <c r="E12" s="50" t="n"/>
      <c r="F12" s="50" t="n">
        <v>-2</v>
      </c>
      <c r="G12" s="50" t="n">
        <v>-3</v>
      </c>
      <c r="H12" s="50" t="n"/>
    </row>
    <row r="13">
      <c r="A13" s="50" t="inlineStr">
        <is>
          <t>FY2024 Q4</t>
        </is>
      </c>
      <c r="B13" s="50" t="inlineStr">
        <is>
          <t>2024-09-04</t>
        </is>
      </c>
      <c r="C13" s="50" t="n">
        <v>6</v>
      </c>
      <c r="D13" s="50" t="n">
        <v>6</v>
      </c>
      <c r="E13" s="50" t="n"/>
      <c r="F13" s="50" t="n">
        <v>-4</v>
      </c>
      <c r="G13" s="50" t="n">
        <v>-5</v>
      </c>
      <c r="H13" s="50" t="n"/>
    </row>
    <row r="14">
      <c r="A14" s="50" t="inlineStr">
        <is>
          <t>FY2025 Q1</t>
        </is>
      </c>
      <c r="B14" s="50" t="inlineStr">
        <is>
          <t>2024-11-21</t>
        </is>
      </c>
      <c r="C14" s="50" t="n">
        <v>5</v>
      </c>
      <c r="D14" s="50" t="n">
        <v>12</v>
      </c>
      <c r="E14" s="50" t="n">
        <v>9</v>
      </c>
      <c r="F14" s="50" t="n">
        <v>-1</v>
      </c>
      <c r="G14" s="50" t="n">
        <v>-1</v>
      </c>
      <c r="H14" s="50" t="n"/>
    </row>
    <row r="15">
      <c r="A15" s="50" t="inlineStr">
        <is>
          <t>FY2025 Q2</t>
        </is>
      </c>
      <c r="B15" s="50" t="inlineStr">
        <is>
          <t>2025-02-20</t>
        </is>
      </c>
      <c r="C15" s="50" t="n">
        <v>-4</v>
      </c>
      <c r="D15" s="50" t="n">
        <v>9</v>
      </c>
      <c r="E15" s="50" t="n">
        <v>2</v>
      </c>
      <c r="F15" s="50" t="n">
        <v>2</v>
      </c>
      <c r="G15" s="50" t="n">
        <v>2</v>
      </c>
      <c r="H15" s="50" t="n"/>
    </row>
    <row r="16">
      <c r="A16" s="50" t="inlineStr">
        <is>
          <t>FY2025 Q3</t>
        </is>
      </c>
      <c r="B16" s="50" t="inlineStr">
        <is>
          <t>2025-05-22</t>
        </is>
      </c>
      <c r="C16" s="50" t="n">
        <v>-11</v>
      </c>
      <c r="D16" s="50" t="n">
        <v>-1</v>
      </c>
      <c r="E16" s="50" t="n">
        <v>-2</v>
      </c>
      <c r="F16" s="50" t="n">
        <v>2</v>
      </c>
      <c r="G16" s="50" t="n">
        <v>3</v>
      </c>
      <c r="H16" s="50" t="n"/>
    </row>
    <row r="17">
      <c r="A17" s="50" t="inlineStr">
        <is>
          <t>FY2025 Q4</t>
        </is>
      </c>
      <c r="B17" s="50" t="inlineStr">
        <is>
          <t>2025-09-04</t>
        </is>
      </c>
      <c r="C17" s="50" t="n">
        <v>-14.8</v>
      </c>
      <c r="D17" s="50" t="n">
        <v>-2.1</v>
      </c>
      <c r="E17" s="50" t="n"/>
      <c r="F17" s="50" t="n">
        <v>5.7</v>
      </c>
      <c r="G17" s="50" t="n">
        <v>5.6</v>
      </c>
      <c r="H17" s="50" t="n">
        <v>-1.9</v>
      </c>
    </row>
    <row r="18">
      <c r="A18" s="50" t="inlineStr">
        <is>
          <t>FY2026 Q1</t>
        </is>
      </c>
      <c r="B18" s="50" t="inlineStr">
        <is>
          <t>2025-11-20</t>
        </is>
      </c>
      <c r="C18" s="50" t="n">
        <v>-17</v>
      </c>
      <c r="D18" s="50" t="n">
        <v>-9.5</v>
      </c>
      <c r="E18" s="50" t="n">
        <v>-7.3</v>
      </c>
      <c r="F18" s="50" t="n">
        <v>8.4</v>
      </c>
      <c r="G18" s="50" t="n">
        <v>8.5</v>
      </c>
      <c r="H18" s="50" t="n"/>
    </row>
    <row r="19">
      <c r="A19" s="50" t="inlineStr">
        <is>
          <t>FY2026 Q2</t>
        </is>
      </c>
      <c r="B19" s="50" t="inlineStr">
        <is>
          <t>2026-02-19</t>
        </is>
      </c>
      <c r="C19" s="50" t="n">
        <v>-8.1</v>
      </c>
      <c r="D19" s="50" t="n">
        <v>-10.7</v>
      </c>
      <c r="E19" s="50" t="n">
        <v>-4.8</v>
      </c>
      <c r="F19" s="50" t="n">
        <v>6</v>
      </c>
      <c r="G19" s="50" t="n">
        <v>6</v>
      </c>
      <c r="H19" s="50" t="n">
        <v>-8</v>
      </c>
    </row>
    <row r="20">
      <c r="A20" s="50" t="inlineStr">
        <is>
          <t>FY2026 Q3</t>
        </is>
      </c>
      <c r="B20" s="50" t="inlineStr">
        <is>
          <t>2026-05-21</t>
        </is>
      </c>
      <c r="C20" s="50" t="n">
        <v>-4.7</v>
      </c>
      <c r="D20" s="50" t="n">
        <v>-4.2</v>
      </c>
      <c r="E20" s="50" t="n">
        <v>-3.1</v>
      </c>
      <c r="F20" s="50" t="n">
        <v>4.1</v>
      </c>
      <c r="G20" s="50" t="n">
        <v>4.6</v>
      </c>
      <c r="H20" s="50" t="n">
        <v>-2.7</v>
      </c>
    </row>
  </sheetData>
  <mergeCells count="1">
    <mergeCell ref="A2:H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15" customWidth="1" min="3" max="3"/>
    <col width="21" customWidth="1" min="4" max="4"/>
    <col width="17" customWidth="1" min="5" max="5"/>
    <col width="17" customWidth="1" min="6" max="6"/>
    <col width="17" customWidth="1" min="7" max="7"/>
    <col width="13" customWidth="1" min="8" max="8"/>
    <col width="15" customWidth="1" min="9" max="9"/>
  </cols>
  <sheetData>
    <row r="1">
      <c r="A1" s="1" t="inlineStr">
        <is>
          <t>quarterly_pl.csv</t>
        </is>
      </c>
    </row>
    <row r="2" ht="42" customHeight="1">
      <c r="A2" s="6" t="inlineStr">
        <is>
          <t>Copart quarterly P&amp;L lines from 8-K Ex-99.1 press releases (SEC EDGAR). Tier 1.</t>
        </is>
      </c>
    </row>
    <row r="3">
      <c r="A3" s="2" t="inlineStr">
        <is>
          <t>data/csv/quarterly_pl.csv · 19 rows · BLUE = raw data as committed; do not type over it — edit the CSV and rebuild.</t>
        </is>
      </c>
    </row>
    <row r="4">
      <c r="A4" s="7" t="inlineStr">
        <is>
          <t>filed</t>
        </is>
      </c>
      <c r="B4" s="7" t="inlineStr">
        <is>
          <t>quarter_end</t>
        </is>
      </c>
      <c r="C4" s="7" t="inlineStr">
        <is>
          <t>service_rev_m</t>
        </is>
      </c>
      <c r="D4" s="7" t="inlineStr">
        <is>
          <t>prior_service_rev_m</t>
        </is>
      </c>
      <c r="E4" s="7" t="inlineStr">
        <is>
          <t>service_yoy_pct</t>
        </is>
      </c>
      <c r="F4" s="7" t="inlineStr">
        <is>
          <t>vehicle_sales_m</t>
        </is>
      </c>
      <c r="G4" s="7" t="inlineStr">
        <is>
          <t>vehicle_yoy_pct</t>
        </is>
      </c>
      <c r="H4" s="7" t="inlineStr">
        <is>
          <t>total_rev_m</t>
        </is>
      </c>
      <c r="I4" s="7" t="inlineStr">
        <is>
          <t>total_yoy_pct</t>
        </is>
      </c>
    </row>
    <row r="5">
      <c r="A5" s="50" t="inlineStr">
        <is>
          <t>2021-09-08</t>
        </is>
      </c>
      <c r="B5" s="50" t="inlineStr">
        <is>
          <t>July 31, 2021</t>
        </is>
      </c>
      <c r="C5" s="50" t="n">
        <v>620.048</v>
      </c>
      <c r="D5" s="50" t="n">
        <v>457.668</v>
      </c>
      <c r="E5" s="50" t="n">
        <v>35.5</v>
      </c>
      <c r="F5" s="50" t="n">
        <v>128.582</v>
      </c>
      <c r="G5" s="50" t="n">
        <v>89.09999999999999</v>
      </c>
      <c r="H5" s="50" t="n">
        <v>748.63</v>
      </c>
      <c r="I5" s="50" t="n">
        <v>42.4</v>
      </c>
    </row>
    <row r="6">
      <c r="A6" s="50" t="inlineStr">
        <is>
          <t>2021-11-17</t>
        </is>
      </c>
      <c r="B6" s="50" t="n"/>
      <c r="C6" s="50" t="n">
        <v>667.818</v>
      </c>
      <c r="D6" s="50" t="n">
        <v>515.372</v>
      </c>
      <c r="E6" s="50" t="n">
        <v>29.6</v>
      </c>
      <c r="F6" s="50" t="n">
        <v>142.314</v>
      </c>
      <c r="G6" s="50" t="n">
        <v>83.5</v>
      </c>
      <c r="H6" s="50" t="n">
        <v>810.1319999999999</v>
      </c>
      <c r="I6" s="50" t="n">
        <v>36.6</v>
      </c>
    </row>
    <row r="7">
      <c r="A7" s="50" t="inlineStr">
        <is>
          <t>2022-02-16</t>
        </is>
      </c>
      <c r="B7" s="50" t="inlineStr">
        <is>
          <t>January 31, 2022</t>
        </is>
      </c>
      <c r="C7" s="50" t="n">
        <v>711.09</v>
      </c>
      <c r="D7" s="50" t="n">
        <v>532.601</v>
      </c>
      <c r="E7" s="50" t="n">
        <v>33.5</v>
      </c>
      <c r="F7" s="50" t="n">
        <v>156.37</v>
      </c>
      <c r="G7" s="50" t="n">
        <v>85.2</v>
      </c>
      <c r="H7" s="50" t="n">
        <v>867.46</v>
      </c>
      <c r="I7" s="50" t="n">
        <v>40.6</v>
      </c>
    </row>
    <row r="8">
      <c r="A8" s="50" t="inlineStr">
        <is>
          <t>2022-05-19</t>
        </is>
      </c>
      <c r="B8" s="50" t="inlineStr">
        <is>
          <t>April 30, 2022</t>
        </is>
      </c>
      <c r="C8" s="50" t="n">
        <v>766.316</v>
      </c>
      <c r="D8" s="50" t="n">
        <v>623.846</v>
      </c>
      <c r="E8" s="50" t="n">
        <v>22.8</v>
      </c>
      <c r="F8" s="50" t="n">
        <v>173.625</v>
      </c>
      <c r="G8" s="50" t="n">
        <v>57.7</v>
      </c>
      <c r="H8" s="50" t="n">
        <v>939.941</v>
      </c>
      <c r="I8" s="50" t="n">
        <v>28.1</v>
      </c>
    </row>
    <row r="9">
      <c r="A9" s="50" t="inlineStr">
        <is>
          <t>2022-09-07</t>
        </is>
      </c>
      <c r="B9" s="50" t="inlineStr">
        <is>
          <t>July 31, 2022</t>
        </is>
      </c>
      <c r="C9" s="50" t="n">
        <v>707.816</v>
      </c>
      <c r="D9" s="50" t="n">
        <v>620.048</v>
      </c>
      <c r="E9" s="50" t="n">
        <v>14.2</v>
      </c>
      <c r="F9" s="50" t="n">
        <v>175.572</v>
      </c>
      <c r="G9" s="50" t="n">
        <v>36.5</v>
      </c>
      <c r="H9" s="50" t="n">
        <v>883.388</v>
      </c>
      <c r="I9" s="50" t="n">
        <v>18</v>
      </c>
    </row>
    <row r="10">
      <c r="A10" s="50" t="inlineStr">
        <is>
          <t>2022-11-17</t>
        </is>
      </c>
      <c r="B10" s="50" t="n"/>
      <c r="C10" s="50" t="n">
        <v>726.84</v>
      </c>
      <c r="D10" s="50" t="n">
        <v>667.818</v>
      </c>
      <c r="E10" s="50" t="n">
        <v>8.800000000000001</v>
      </c>
      <c r="F10" s="50" t="n">
        <v>166.532</v>
      </c>
      <c r="G10" s="50" t="n">
        <v>17</v>
      </c>
      <c r="H10" s="50" t="n">
        <v>893.372</v>
      </c>
      <c r="I10" s="50" t="n">
        <v>10.3</v>
      </c>
    </row>
    <row r="11">
      <c r="A11" s="50" t="inlineStr">
        <is>
          <t>2023-02-21</t>
        </is>
      </c>
      <c r="B11" s="50" t="inlineStr">
        <is>
          <t>January 31, 2023</t>
        </is>
      </c>
      <c r="C11" s="50" t="n">
        <v>789.797</v>
      </c>
      <c r="D11" s="50" t="n">
        <v>711.09</v>
      </c>
      <c r="E11" s="50" t="n">
        <v>11.1</v>
      </c>
      <c r="F11" s="50" t="n">
        <v>166.927</v>
      </c>
      <c r="G11" s="50" t="n">
        <v>6.8</v>
      </c>
      <c r="H11" s="50" t="n">
        <v>956.724</v>
      </c>
      <c r="I11" s="50" t="n">
        <v>10.3</v>
      </c>
    </row>
    <row r="12">
      <c r="A12" s="50" t="inlineStr">
        <is>
          <t>2023-05-17</t>
        </is>
      </c>
      <c r="B12" s="50" t="inlineStr">
        <is>
          <t>April 30, 2023</t>
        </is>
      </c>
      <c r="C12" s="50" t="n">
        <v>847.249</v>
      </c>
      <c r="D12" s="50" t="n">
        <v>766.316</v>
      </c>
      <c r="E12" s="50" t="n">
        <v>10.6</v>
      </c>
      <c r="F12" s="50" t="n">
        <v>174.582</v>
      </c>
      <c r="G12" s="50" t="n">
        <v>0.6</v>
      </c>
      <c r="H12" s="50" t="n">
        <v>1021.831</v>
      </c>
      <c r="I12" s="50" t="n">
        <v>8.699999999999999</v>
      </c>
    </row>
    <row r="13">
      <c r="A13" s="50" t="inlineStr">
        <is>
          <t>2023-09-14</t>
        </is>
      </c>
      <c r="B13" s="50" t="inlineStr">
        <is>
          <t>July 31, 2023</t>
        </is>
      </c>
      <c r="C13" s="50" t="n">
        <v>834.242</v>
      </c>
      <c r="D13" s="50" t="n">
        <v>707.816</v>
      </c>
      <c r="E13" s="50" t="n">
        <v>17.9</v>
      </c>
      <c r="F13" s="50" t="n">
        <v>163.349</v>
      </c>
      <c r="G13" s="50" t="n">
        <v>-7</v>
      </c>
      <c r="H13" s="50" t="n">
        <v>997.591</v>
      </c>
      <c r="I13" s="50" t="n">
        <v>12.9</v>
      </c>
    </row>
    <row r="14">
      <c r="A14" s="50" t="inlineStr">
        <is>
          <t>2023-11-16</t>
        </is>
      </c>
      <c r="B14" s="50" t="n"/>
      <c r="C14" s="50" t="n">
        <v>859.5359999999999</v>
      </c>
      <c r="D14" s="50" t="n">
        <v>726.84</v>
      </c>
      <c r="E14" s="50" t="n">
        <v>18.3</v>
      </c>
      <c r="F14" s="50" t="n">
        <v>160.88</v>
      </c>
      <c r="G14" s="50" t="n">
        <v>-3.4</v>
      </c>
      <c r="H14" s="50" t="n">
        <v>1020.416</v>
      </c>
      <c r="I14" s="50" t="n">
        <v>14.2</v>
      </c>
    </row>
    <row r="15">
      <c r="A15" s="50" t="inlineStr">
        <is>
          <t>2024-02-22</t>
        </is>
      </c>
      <c r="B15" s="50" t="inlineStr">
        <is>
          <t>January 31, 2024</t>
        </is>
      </c>
      <c r="C15" s="50" t="n">
        <v>861.745</v>
      </c>
      <c r="D15" s="50" t="n">
        <v>789.797</v>
      </c>
      <c r="E15" s="50" t="n">
        <v>9.1</v>
      </c>
      <c r="F15" s="50" t="n">
        <v>158.404</v>
      </c>
      <c r="G15" s="50" t="n">
        <v>-5.1</v>
      </c>
      <c r="H15" s="50" t="n">
        <v>1020.149</v>
      </c>
      <c r="I15" s="50" t="n">
        <v>6.6</v>
      </c>
    </row>
    <row r="16">
      <c r="A16" s="50" t="inlineStr">
        <is>
          <t>2024-05-16</t>
        </is>
      </c>
      <c r="B16" s="50" t="inlineStr">
        <is>
          <t>April 30, 2024</t>
        </is>
      </c>
      <c r="C16" s="50" t="n">
        <v>946.63</v>
      </c>
      <c r="D16" s="50" t="n">
        <v>847.249</v>
      </c>
      <c r="E16" s="50" t="n">
        <v>11.7</v>
      </c>
      <c r="F16" s="50" t="n">
        <v>180.629</v>
      </c>
      <c r="G16" s="50" t="n">
        <v>3.5</v>
      </c>
      <c r="H16" s="50" t="n">
        <v>1127.259</v>
      </c>
      <c r="I16" s="50" t="n">
        <v>10.3</v>
      </c>
    </row>
    <row r="17">
      <c r="A17" s="50" t="inlineStr">
        <is>
          <t>2024-09-04</t>
        </is>
      </c>
      <c r="B17" s="50" t="inlineStr">
        <is>
          <t>July 31, 2024</t>
        </is>
      </c>
      <c r="C17" s="50" t="n">
        <v>893.091</v>
      </c>
      <c r="D17" s="50" t="n">
        <v>834.242</v>
      </c>
      <c r="E17" s="50" t="n">
        <v>7.1</v>
      </c>
      <c r="F17" s="50" t="n">
        <v>175.908</v>
      </c>
      <c r="G17" s="50" t="n">
        <v>7.7</v>
      </c>
      <c r="H17" s="50" t="n">
        <v>1068.999</v>
      </c>
      <c r="I17" s="50" t="n">
        <v>7.2</v>
      </c>
    </row>
    <row r="18">
      <c r="A18" s="50" t="inlineStr">
        <is>
          <t>2024-11-21</t>
        </is>
      </c>
      <c r="B18" s="50" t="n"/>
      <c r="C18" s="50" t="n">
        <v>986.336</v>
      </c>
      <c r="D18" s="50" t="n">
        <v>859.5359999999999</v>
      </c>
      <c r="E18" s="50" t="n">
        <v>14.8</v>
      </c>
      <c r="F18" s="50" t="n">
        <v>160.493</v>
      </c>
      <c r="G18" s="50" t="n">
        <v>-0.2</v>
      </c>
      <c r="H18" s="50" t="n">
        <v>1146.829</v>
      </c>
      <c r="I18" s="50" t="n">
        <v>12.4</v>
      </c>
    </row>
    <row r="19">
      <c r="A19" s="50" t="inlineStr">
        <is>
          <t>2025-02-20</t>
        </is>
      </c>
      <c r="B19" s="50" t="inlineStr">
        <is>
          <t>January 31, 2025</t>
        </is>
      </c>
      <c r="C19" s="50" t="n">
        <v>991.2809999999999</v>
      </c>
      <c r="D19" s="50" t="n">
        <v>861.745</v>
      </c>
      <c r="E19" s="50" t="n">
        <v>15</v>
      </c>
      <c r="F19" s="50" t="n">
        <v>172.035</v>
      </c>
      <c r="G19" s="50" t="n">
        <v>8.6</v>
      </c>
      <c r="H19" s="50" t="n">
        <v>1163.316</v>
      </c>
      <c r="I19" s="50" t="n">
        <v>14</v>
      </c>
    </row>
    <row r="20">
      <c r="A20" s="50" t="inlineStr">
        <is>
          <t>2025-05-22</t>
        </is>
      </c>
      <c r="B20" s="50" t="inlineStr">
        <is>
          <t>April 30, 2025</t>
        </is>
      </c>
      <c r="C20" s="50" t="n">
        <v>1034.836</v>
      </c>
      <c r="D20" s="50" t="n">
        <v>946.63</v>
      </c>
      <c r="E20" s="50" t="n">
        <v>9.300000000000001</v>
      </c>
      <c r="F20" s="50" t="n">
        <v>176.88</v>
      </c>
      <c r="G20" s="50" t="n">
        <v>-2.1</v>
      </c>
      <c r="H20" s="50" t="n">
        <v>1211.716</v>
      </c>
      <c r="I20" s="50" t="n">
        <v>7.5</v>
      </c>
    </row>
    <row r="21">
      <c r="A21" s="50" t="inlineStr">
        <is>
          <t>2025-09-04</t>
        </is>
      </c>
      <c r="B21" s="50" t="inlineStr">
        <is>
          <t>July 31, 2025</t>
        </is>
      </c>
      <c r="C21" s="50" t="n">
        <v>956.2089999999999</v>
      </c>
      <c r="D21" s="50" t="n">
        <v>893.091</v>
      </c>
      <c r="E21" s="50" t="n">
        <v>7.1</v>
      </c>
      <c r="F21" s="50" t="n">
        <v>168.888</v>
      </c>
      <c r="G21" s="50" t="n">
        <v>-4</v>
      </c>
      <c r="H21" s="50" t="n">
        <v>1125.097</v>
      </c>
      <c r="I21" s="50" t="n">
        <v>5.2</v>
      </c>
    </row>
    <row r="22">
      <c r="A22" s="50" t="inlineStr">
        <is>
          <t>2025-11-20</t>
        </is>
      </c>
      <c r="B22" s="50" t="n"/>
      <c r="C22" s="50" t="n">
        <v>991.845</v>
      </c>
      <c r="D22" s="50" t="n">
        <v>986.336</v>
      </c>
      <c r="E22" s="50" t="n">
        <v>0.6</v>
      </c>
      <c r="F22" s="50" t="n">
        <v>163.185</v>
      </c>
      <c r="G22" s="50" t="n">
        <v>1.7</v>
      </c>
      <c r="H22" s="50" t="n">
        <v>1155.03</v>
      </c>
      <c r="I22" s="50" t="n">
        <v>0.7</v>
      </c>
    </row>
    <row r="23">
      <c r="A23" s="50" t="inlineStr">
        <is>
          <t>2026-05-21</t>
        </is>
      </c>
      <c r="B23" s="50" t="inlineStr">
        <is>
          <t>April 30, 2026</t>
        </is>
      </c>
      <c r="C23" s="50" t="n">
        <v>1056.08</v>
      </c>
      <c r="D23" s="50" t="n">
        <v>1034.836</v>
      </c>
      <c r="E23" s="50" t="n">
        <v>2.1</v>
      </c>
      <c r="F23" s="50" t="n">
        <v>180.986</v>
      </c>
      <c r="G23" s="50" t="n">
        <v>2.3</v>
      </c>
      <c r="H23" s="50" t="n">
        <v>1237.066</v>
      </c>
      <c r="I23" s="50" t="n">
        <v>2.1</v>
      </c>
    </row>
  </sheetData>
  <mergeCells count="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16" customWidth="1" min="3" max="3"/>
    <col width="18" customWidth="1" min="4" max="4"/>
    <col width="13" customWidth="1" min="5" max="5"/>
    <col width="12" customWidth="1" min="6" max="6"/>
    <col width="14" customWidth="1" min="7" max="7"/>
    <col width="14" customWidth="1" min="8" max="8"/>
    <col width="22" customWidth="1" min="9" max="9"/>
    <col width="28" customWidth="1" min="10" max="10"/>
  </cols>
  <sheetData>
    <row r="1">
      <c r="A1" s="1" t="inlineStr">
        <is>
          <t>quarterly_margin.csv</t>
        </is>
      </c>
    </row>
    <row r="2" ht="42" customHeight="1">
      <c r="A2" s="6" t="inlineStr">
        <is>
          <t>Copart quarterly gross margin and facility-operations % of revenue, from 8-K Ex-99.1. Tier 1.</t>
        </is>
      </c>
    </row>
    <row r="3">
      <c r="A3" s="2" t="inlineStr">
        <is>
          <t>data/csv/quarterly_margin.csv · 20 rows · BLUE = raw data as committed; do not type over it — edit the CSV and rebuild.</t>
        </is>
      </c>
    </row>
    <row r="4">
      <c r="A4" s="7" t="inlineStr">
        <is>
          <t>filed</t>
        </is>
      </c>
      <c r="B4" s="7" t="inlineStr">
        <is>
          <t>total_rev_m</t>
        </is>
      </c>
      <c r="C4" s="7" t="inlineStr">
        <is>
          <t>gross_profit_m</t>
        </is>
      </c>
      <c r="D4" s="7" t="inlineStr">
        <is>
          <t>gross_margin_pct</t>
        </is>
      </c>
      <c r="E4" s="7" t="inlineStr">
        <is>
          <t>prior_rev_m</t>
        </is>
      </c>
      <c r="F4" s="7" t="inlineStr">
        <is>
          <t>prior_gp_m</t>
        </is>
      </c>
      <c r="G4" s="7" t="inlineStr">
        <is>
          <t>prior_gm_pct</t>
        </is>
      </c>
      <c r="H4" s="7" t="inlineStr">
        <is>
          <t>gm_change_pp</t>
        </is>
      </c>
      <c r="I4" s="7" t="inlineStr">
        <is>
          <t>facility_ops_pct_rev</t>
        </is>
      </c>
      <c r="J4" s="7" t="inlineStr">
        <is>
          <t>prior_facility_ops_pct_rev</t>
        </is>
      </c>
    </row>
    <row r="5">
      <c r="A5" s="50" t="inlineStr">
        <is>
          <t>2021-09-08</t>
        </is>
      </c>
      <c r="B5" s="50" t="n">
        <v>748.63</v>
      </c>
      <c r="C5" s="50" t="n">
        <v>357.483</v>
      </c>
      <c r="D5" s="50" t="n">
        <v>47.75</v>
      </c>
      <c r="E5" s="50" t="n">
        <v>525.659</v>
      </c>
      <c r="F5" s="50" t="n">
        <v>250.431</v>
      </c>
      <c r="G5" s="50" t="n">
        <v>47.64</v>
      </c>
      <c r="H5" s="50" t="n">
        <v>0.11</v>
      </c>
      <c r="I5" s="50" t="n"/>
      <c r="J5" s="50" t="n"/>
    </row>
    <row r="6">
      <c r="A6" s="50" t="inlineStr">
        <is>
          <t>2021-11-17</t>
        </is>
      </c>
      <c r="B6" s="50" t="n">
        <v>810.1319999999999</v>
      </c>
      <c r="C6" s="50" t="n">
        <v>385.03</v>
      </c>
      <c r="D6" s="50" t="n">
        <v>47.53</v>
      </c>
      <c r="E6" s="50" t="n">
        <v>592.9400000000001</v>
      </c>
      <c r="F6" s="50" t="n">
        <v>296.769</v>
      </c>
      <c r="G6" s="50" t="n">
        <v>50.05</v>
      </c>
      <c r="H6" s="50" t="n">
        <v>-2.52</v>
      </c>
      <c r="I6" s="50" t="n"/>
      <c r="J6" s="50" t="n"/>
    </row>
    <row r="7">
      <c r="A7" s="50" t="inlineStr">
        <is>
          <t>2022-02-16</t>
        </is>
      </c>
      <c r="B7" s="50" t="n">
        <v>867.46</v>
      </c>
      <c r="C7" s="50" t="n">
        <v>403.342</v>
      </c>
      <c r="D7" s="50" t="n">
        <v>46.5</v>
      </c>
      <c r="E7" s="50" t="n">
        <v>617.0309999999999</v>
      </c>
      <c r="F7" s="50" t="n">
        <v>307.498</v>
      </c>
      <c r="G7" s="50" t="n">
        <v>49.84</v>
      </c>
      <c r="H7" s="50" t="n">
        <v>-3.34</v>
      </c>
      <c r="I7" s="50" t="n"/>
      <c r="J7" s="50" t="n"/>
    </row>
    <row r="8">
      <c r="A8" s="50" t="inlineStr">
        <is>
          <t>2022-05-19</t>
        </is>
      </c>
      <c r="B8" s="50" t="n">
        <v>939.941</v>
      </c>
      <c r="C8" s="50" t="n">
        <v>436.277</v>
      </c>
      <c r="D8" s="50" t="n">
        <v>46.42</v>
      </c>
      <c r="E8" s="50" t="n">
        <v>733.91</v>
      </c>
      <c r="F8" s="50" t="n">
        <v>381.341</v>
      </c>
      <c r="G8" s="50" t="n">
        <v>51.96</v>
      </c>
      <c r="H8" s="50" t="n">
        <v>-5.54</v>
      </c>
      <c r="I8" s="50" t="n"/>
      <c r="J8" s="50" t="n"/>
    </row>
    <row r="9">
      <c r="A9" s="50" t="inlineStr">
        <is>
          <t>2022-09-07</t>
        </is>
      </c>
      <c r="B9" s="50" t="n">
        <v>883.388</v>
      </c>
      <c r="C9" s="50" t="n">
        <v>381.572</v>
      </c>
      <c r="D9" s="50" t="n">
        <v>43.19</v>
      </c>
      <c r="E9" s="50" t="n">
        <v>748.63</v>
      </c>
      <c r="F9" s="50" t="n">
        <v>357.483</v>
      </c>
      <c r="G9" s="50" t="n">
        <v>47.75</v>
      </c>
      <c r="H9" s="50" t="n">
        <v>-4.56</v>
      </c>
      <c r="I9" s="50" t="n"/>
      <c r="J9" s="50" t="n"/>
    </row>
    <row r="10">
      <c r="A10" s="50" t="inlineStr">
        <is>
          <t>2022-11-17</t>
        </is>
      </c>
      <c r="B10" s="50" t="n">
        <v>893.372</v>
      </c>
      <c r="C10" s="50" t="n">
        <v>369.483</v>
      </c>
      <c r="D10" s="50" t="n">
        <v>41.36</v>
      </c>
      <c r="E10" s="50" t="n">
        <v>810.1319999999999</v>
      </c>
      <c r="F10" s="50" t="n">
        <v>385.03</v>
      </c>
      <c r="G10" s="50" t="n">
        <v>47.53</v>
      </c>
      <c r="H10" s="50" t="n">
        <v>-6.17</v>
      </c>
      <c r="I10" s="50" t="n"/>
      <c r="J10" s="50" t="n"/>
    </row>
    <row r="11">
      <c r="A11" s="50" t="inlineStr">
        <is>
          <t>2023-02-21</t>
        </is>
      </c>
      <c r="B11" s="50" t="n">
        <v>956.724</v>
      </c>
      <c r="C11" s="50" t="n">
        <v>426.5</v>
      </c>
      <c r="D11" s="50" t="n">
        <v>44.58</v>
      </c>
      <c r="E11" s="50" t="n">
        <v>867.46</v>
      </c>
      <c r="F11" s="50" t="n">
        <v>403.342</v>
      </c>
      <c r="G11" s="50" t="n">
        <v>46.5</v>
      </c>
      <c r="H11" s="50" t="n">
        <v>-1.92</v>
      </c>
      <c r="I11" s="50" t="n"/>
      <c r="J11" s="50" t="n"/>
    </row>
    <row r="12">
      <c r="A12" s="50" t="inlineStr">
        <is>
          <t>2023-05-17</t>
        </is>
      </c>
      <c r="B12" s="50" t="n">
        <v>1021.831</v>
      </c>
      <c r="C12" s="50" t="n">
        <v>483.43</v>
      </c>
      <c r="D12" s="50" t="n">
        <v>47.31</v>
      </c>
      <c r="E12" s="50" t="n">
        <v>939.941</v>
      </c>
      <c r="F12" s="50" t="n">
        <v>436.277</v>
      </c>
      <c r="G12" s="50" t="n">
        <v>46.42</v>
      </c>
      <c r="H12" s="50" t="n">
        <v>0.89</v>
      </c>
      <c r="I12" s="50" t="n"/>
      <c r="J12" s="50" t="n"/>
    </row>
    <row r="13">
      <c r="A13" s="50" t="inlineStr">
        <is>
          <t>2023-09-14</t>
        </is>
      </c>
      <c r="B13" s="50" t="n">
        <v>997.591</v>
      </c>
      <c r="C13" s="50" t="n">
        <v>457.578</v>
      </c>
      <c r="D13" s="50" t="n">
        <v>45.87</v>
      </c>
      <c r="E13" s="50" t="n">
        <v>883.388</v>
      </c>
      <c r="F13" s="50" t="n">
        <v>381.572</v>
      </c>
      <c r="G13" s="50" t="n">
        <v>43.19</v>
      </c>
      <c r="H13" s="50" t="n">
        <v>2.67</v>
      </c>
      <c r="I13" s="50" t="n"/>
      <c r="J13" s="50" t="n"/>
    </row>
    <row r="14">
      <c r="A14" s="50" t="inlineStr">
        <is>
          <t>2023-11-16</t>
        </is>
      </c>
      <c r="B14" s="50" t="n">
        <v>1020.416</v>
      </c>
      <c r="C14" s="50" t="n">
        <v>464.019</v>
      </c>
      <c r="D14" s="50" t="n">
        <v>45.47</v>
      </c>
      <c r="E14" s="50" t="n">
        <v>893.372</v>
      </c>
      <c r="F14" s="50" t="n">
        <v>369.483</v>
      </c>
      <c r="G14" s="50" t="n">
        <v>41.36</v>
      </c>
      <c r="H14" s="50" t="n">
        <v>4.12</v>
      </c>
      <c r="I14" s="50" t="n"/>
      <c r="J14" s="50" t="n"/>
    </row>
    <row r="15">
      <c r="A15" s="50" t="inlineStr">
        <is>
          <t>2024-02-22</t>
        </is>
      </c>
      <c r="B15" s="50" t="n">
        <v>1020.149</v>
      </c>
      <c r="C15" s="50" t="n">
        <v>464.152</v>
      </c>
      <c r="D15" s="50" t="n">
        <v>45.5</v>
      </c>
      <c r="E15" s="50" t="n">
        <v>956.724</v>
      </c>
      <c r="F15" s="50" t="n">
        <v>426.5</v>
      </c>
      <c r="G15" s="50" t="n">
        <v>44.58</v>
      </c>
      <c r="H15" s="50" t="n">
        <v>0.92</v>
      </c>
      <c r="I15" s="50" t="n"/>
      <c r="J15" s="50" t="n"/>
    </row>
    <row r="16">
      <c r="A16" s="50" t="inlineStr">
        <is>
          <t>2024-05-16</t>
        </is>
      </c>
      <c r="B16" s="50" t="n">
        <v>1127.259</v>
      </c>
      <c r="C16" s="50" t="n">
        <v>525.505</v>
      </c>
      <c r="D16" s="50" t="n">
        <v>46.62</v>
      </c>
      <c r="E16" s="50" t="n">
        <v>1021.831</v>
      </c>
      <c r="F16" s="50" t="n">
        <v>483.43</v>
      </c>
      <c r="G16" s="50" t="n">
        <v>47.31</v>
      </c>
      <c r="H16" s="50" t="n">
        <v>-0.6899999999999999</v>
      </c>
      <c r="I16" s="50" t="n"/>
      <c r="J16" s="50" t="n"/>
    </row>
    <row r="17">
      <c r="A17" s="50" t="inlineStr">
        <is>
          <t>2024-09-04</t>
        </is>
      </c>
      <c r="B17" s="50" t="n">
        <v>1068.999</v>
      </c>
      <c r="C17" s="50" t="n">
        <v>453.576</v>
      </c>
      <c r="D17" s="50" t="n">
        <v>42.43</v>
      </c>
      <c r="E17" s="50" t="n">
        <v>997.591</v>
      </c>
      <c r="F17" s="50" t="n">
        <v>457.578</v>
      </c>
      <c r="G17" s="50" t="n">
        <v>45.87</v>
      </c>
      <c r="H17" s="50" t="n">
        <v>-3.44</v>
      </c>
      <c r="I17" s="50" t="n"/>
      <c r="J17" s="50" t="n"/>
    </row>
    <row r="18">
      <c r="A18" s="50" t="inlineStr">
        <is>
          <t>2024-11-21</t>
        </is>
      </c>
      <c r="B18" s="50" t="n">
        <v>1146.829</v>
      </c>
      <c r="C18" s="50" t="n">
        <v>512.105</v>
      </c>
      <c r="D18" s="50" t="n">
        <v>44.65</v>
      </c>
      <c r="E18" s="50" t="n">
        <v>1020.416</v>
      </c>
      <c r="F18" s="50" t="n">
        <v>464.019</v>
      </c>
      <c r="G18" s="50" t="n">
        <v>45.47</v>
      </c>
      <c r="H18" s="50" t="n">
        <v>-0.82</v>
      </c>
      <c r="I18" s="50" t="n">
        <v>39</v>
      </c>
      <c r="J18" s="50" t="n">
        <v>36.05</v>
      </c>
    </row>
    <row r="19">
      <c r="A19" s="50" t="inlineStr">
        <is>
          <t>2025-02-20</t>
        </is>
      </c>
      <c r="B19" s="50" t="n">
        <v>1163.316</v>
      </c>
      <c r="C19" s="50" t="n">
        <v>525.553</v>
      </c>
      <c r="D19" s="50" t="n">
        <v>45.18</v>
      </c>
      <c r="E19" s="50" t="n">
        <v>1020.149</v>
      </c>
      <c r="F19" s="50" t="n">
        <v>464.152</v>
      </c>
      <c r="G19" s="50" t="n">
        <v>45.5</v>
      </c>
      <c r="H19" s="50" t="n">
        <v>-0.32</v>
      </c>
      <c r="I19" s="50" t="n">
        <v>37.76</v>
      </c>
      <c r="J19" s="50" t="n">
        <v>35.91</v>
      </c>
    </row>
    <row r="20">
      <c r="A20" s="50" t="inlineStr">
        <is>
          <t>2025-05-22</t>
        </is>
      </c>
      <c r="B20" s="50" t="n">
        <v>1211.716</v>
      </c>
      <c r="C20" s="50" t="n">
        <v>552.2670000000001</v>
      </c>
      <c r="D20" s="50" t="n">
        <v>45.58</v>
      </c>
      <c r="E20" s="50" t="n">
        <v>1127.259</v>
      </c>
      <c r="F20" s="50" t="n">
        <v>525.505</v>
      </c>
      <c r="G20" s="50" t="n">
        <v>46.62</v>
      </c>
      <c r="H20" s="50" t="n">
        <v>-1.04</v>
      </c>
      <c r="I20" s="50" t="n">
        <v>36.26</v>
      </c>
      <c r="J20" s="50" t="n">
        <v>34.71</v>
      </c>
    </row>
    <row r="21">
      <c r="A21" s="50" t="inlineStr">
        <is>
          <t>2025-09-04</t>
        </is>
      </c>
      <c r="B21" s="50" t="n">
        <v>1125.097</v>
      </c>
      <c r="C21" s="50" t="n">
        <v>509.718</v>
      </c>
      <c r="D21" s="50" t="n">
        <v>45.3</v>
      </c>
      <c r="E21" s="50" t="n">
        <v>1068.999</v>
      </c>
      <c r="F21" s="50" t="n">
        <v>453.576</v>
      </c>
      <c r="G21" s="50" t="n">
        <v>42.43</v>
      </c>
      <c r="H21" s="50" t="n">
        <v>2.87</v>
      </c>
      <c r="I21" s="50" t="n"/>
      <c r="J21" s="50" t="n"/>
    </row>
    <row r="22">
      <c r="A22" s="50" t="inlineStr">
        <is>
          <t>2025-11-20</t>
        </is>
      </c>
      <c r="B22" s="50" t="n">
        <v>1155.03</v>
      </c>
      <c r="C22" s="50" t="n">
        <v>536.998</v>
      </c>
      <c r="D22" s="50" t="n">
        <v>46.49</v>
      </c>
      <c r="E22" s="50" t="n">
        <v>1146.829</v>
      </c>
      <c r="F22" s="50" t="n">
        <v>512.105</v>
      </c>
      <c r="G22" s="50" t="n">
        <v>44.65</v>
      </c>
      <c r="H22" s="50" t="n">
        <v>1.84</v>
      </c>
      <c r="I22" s="50" t="n">
        <v>36.98</v>
      </c>
      <c r="J22" s="50" t="n">
        <v>39</v>
      </c>
    </row>
    <row r="23">
      <c r="A23" s="50" t="inlineStr">
        <is>
          <t>2026-02-19</t>
        </is>
      </c>
      <c r="B23" s="50" t="n">
        <v>1121.674</v>
      </c>
      <c r="C23" s="50" t="n">
        <v>492.812</v>
      </c>
      <c r="D23" s="50" t="n">
        <v>43.94</v>
      </c>
      <c r="E23" s="50" t="n">
        <v>1163.316</v>
      </c>
      <c r="F23" s="50" t="n">
        <v>525.553</v>
      </c>
      <c r="G23" s="50" t="n">
        <v>45.18</v>
      </c>
      <c r="H23" s="50" t="n">
        <v>-1.24</v>
      </c>
      <c r="I23" s="50" t="n">
        <v>38.11</v>
      </c>
      <c r="J23" s="50" t="n">
        <v>37.76</v>
      </c>
    </row>
    <row r="24">
      <c r="A24" s="50" t="inlineStr">
        <is>
          <t>2026-05-21</t>
        </is>
      </c>
      <c r="B24" s="50" t="n">
        <v>1237.066</v>
      </c>
      <c r="C24" s="50" t="n">
        <v>572.599</v>
      </c>
      <c r="D24" s="50" t="n">
        <v>46.29</v>
      </c>
      <c r="E24" s="50" t="n">
        <v>1211.716</v>
      </c>
      <c r="F24" s="50" t="n">
        <v>552.2670000000001</v>
      </c>
      <c r="G24" s="50" t="n">
        <v>45.58</v>
      </c>
      <c r="H24" s="50" t="n">
        <v>0.71</v>
      </c>
      <c r="I24" s="50" t="n">
        <v>36.4</v>
      </c>
      <c r="J24" s="50" t="n">
        <v>36.26</v>
      </c>
    </row>
  </sheetData>
  <mergeCells count="1">
    <mergeCell ref="A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14" customWidth="1" min="3" max="3"/>
    <col width="16" customWidth="1" min="4" max="4"/>
    <col width="14" customWidth="1" min="5" max="5"/>
    <col width="16" customWidth="1" min="6" max="6"/>
    <col width="20" customWidth="1" min="7" max="7"/>
    <col width="20" customWidth="1" min="8" max="8"/>
  </cols>
  <sheetData>
    <row r="1">
      <c r="A1" s="1" t="inlineStr">
        <is>
          <t>quarterly_segments.csv</t>
        </is>
      </c>
    </row>
    <row r="2" ht="42" customHeight="1">
      <c r="A2" s="6" t="inlineStr">
        <is>
          <t>Copart US / international service and vehicle-sales revenue from 8-K, where disclosed. Tier 1.</t>
        </is>
      </c>
    </row>
    <row r="3">
      <c r="A3" s="2" t="inlineStr">
        <is>
          <t>data/csv/quarterly_segments.csv · 3 rows · BLUE = raw data as committed; do not type over it — edit the CSV and rebuild.</t>
        </is>
      </c>
    </row>
    <row r="4">
      <c r="A4" s="7" t="inlineStr">
        <is>
          <t>filed</t>
        </is>
      </c>
      <c r="B4" s="7" t="inlineStr">
        <is>
          <t>quarter_end</t>
        </is>
      </c>
      <c r="C4" s="7" t="inlineStr">
        <is>
          <t>us_service_m</t>
        </is>
      </c>
      <c r="D4" s="7" t="inlineStr">
        <is>
          <t>intl_service_m</t>
        </is>
      </c>
      <c r="E4" s="7" t="inlineStr">
        <is>
          <t>us_vehicle_m</t>
        </is>
      </c>
      <c r="F4" s="7" t="inlineStr">
        <is>
          <t>intl_vehicle_m</t>
        </is>
      </c>
      <c r="G4" s="7" t="inlineStr">
        <is>
          <t>prior_us_service_m</t>
        </is>
      </c>
      <c r="H4" s="7" t="inlineStr">
        <is>
          <t>us_service_yoy_pct</t>
        </is>
      </c>
    </row>
    <row r="5">
      <c r="A5" s="50" t="inlineStr">
        <is>
          <t>2025-11-20</t>
        </is>
      </c>
      <c r="B5" s="50" t="inlineStr">
        <is>
          <t>October 31, 2025</t>
        </is>
      </c>
      <c r="C5" s="50" t="n">
        <v>855.5</v>
      </c>
      <c r="D5" s="50" t="n">
        <v>136.3</v>
      </c>
      <c r="E5" s="50" t="n">
        <v>97.09999999999999</v>
      </c>
      <c r="F5" s="50" t="n">
        <v>66.09999999999999</v>
      </c>
      <c r="G5" s="50" t="n">
        <v>860</v>
      </c>
      <c r="H5" s="50" t="n">
        <v>-0.518</v>
      </c>
    </row>
    <row r="6">
      <c r="A6" s="50" t="inlineStr">
        <is>
          <t>2026-02-19</t>
        </is>
      </c>
      <c r="B6" s="50" t="inlineStr">
        <is>
          <t>January 31, 2026</t>
        </is>
      </c>
      <c r="C6" s="50" t="n">
        <v>819.5</v>
      </c>
      <c r="D6" s="50" t="n">
        <v>132.6</v>
      </c>
      <c r="E6" s="50" t="n">
        <v>102.2</v>
      </c>
      <c r="F6" s="50" t="n">
        <v>67.5</v>
      </c>
      <c r="G6" s="50" t="n">
        <v>868.1</v>
      </c>
      <c r="H6" s="50" t="n">
        <v>-5.605</v>
      </c>
    </row>
    <row r="7">
      <c r="A7" s="50" t="inlineStr">
        <is>
          <t>2026-05-21</t>
        </is>
      </c>
      <c r="B7" s="50" t="inlineStr">
        <is>
          <t>April 30, 2026</t>
        </is>
      </c>
      <c r="C7" s="50" t="n">
        <v>895.5</v>
      </c>
      <c r="D7" s="50" t="n">
        <v>160.6</v>
      </c>
      <c r="E7" s="50" t="n">
        <v>107.4</v>
      </c>
      <c r="F7" s="50" t="n">
        <v>73.59999999999999</v>
      </c>
      <c r="G7" s="50" t="n">
        <v>898.6</v>
      </c>
      <c r="H7" s="50" t="n">
        <v>-0.352</v>
      </c>
    </row>
  </sheetData>
  <mergeCells count="1">
    <mergeCell ref="A2:H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20" customWidth="1" min="3" max="3"/>
    <col width="20" customWidth="1" min="4" max="4"/>
    <col width="16" customWidth="1" min="5" max="5"/>
    <col width="22" customWidth="1" min="6" max="6"/>
    <col width="22" customWidth="1" min="7" max="7"/>
    <col width="13" customWidth="1" min="8" max="8"/>
    <col width="19" customWidth="1" min="9" max="9"/>
  </cols>
  <sheetData>
    <row r="1">
      <c r="A1" s="1" t="inlineStr">
        <is>
          <t>segment_service_rev_8k.csv</t>
        </is>
      </c>
    </row>
    <row r="2" ht="42" customHeight="1">
      <c r="A2" s="6" t="inlineStr">
        <is>
          <t>US and international service revenue, 8-K Ex-99.1 (FY26). Tier 1.</t>
        </is>
      </c>
    </row>
    <row r="3">
      <c r="A3" s="2" t="inlineStr">
        <is>
          <t>data/csv/segment_service_rev_8k.csv · 4 rows · BLUE = raw data as committed; do not type over it — edit the CSV and rebuild.</t>
        </is>
      </c>
    </row>
    <row r="4">
      <c r="A4" s="7" t="inlineStr">
        <is>
          <t>filed</t>
        </is>
      </c>
      <c r="B4" s="7" t="inlineStr">
        <is>
          <t>us_service_k</t>
        </is>
      </c>
      <c r="C4" s="7" t="inlineStr">
        <is>
          <t>prior_us_service_k</t>
        </is>
      </c>
      <c r="D4" s="7" t="inlineStr">
        <is>
          <t>us_service_yoy_pct</t>
        </is>
      </c>
      <c r="E4" s="7" t="inlineStr">
        <is>
          <t>intl_service_k</t>
        </is>
      </c>
      <c r="F4" s="7" t="inlineStr">
        <is>
          <t>prior_intl_service_k</t>
        </is>
      </c>
      <c r="G4" s="7" t="inlineStr">
        <is>
          <t>intl_service_yoy_pct</t>
        </is>
      </c>
      <c r="H4" s="7" t="inlineStr">
        <is>
          <t>total_rev_k</t>
        </is>
      </c>
      <c r="I4" s="7" t="inlineStr">
        <is>
          <t>prior_total_rev_k</t>
        </is>
      </c>
    </row>
    <row r="5">
      <c r="A5" s="50" t="inlineStr">
        <is>
          <t>2025-11-20</t>
        </is>
      </c>
      <c r="B5" s="50" t="n">
        <v>855534</v>
      </c>
      <c r="C5" s="50" t="n">
        <v>859990</v>
      </c>
      <c r="D5" s="50" t="n">
        <v>-0.518145559832095</v>
      </c>
      <c r="E5" s="50" t="n">
        <v>136311</v>
      </c>
      <c r="F5" s="50" t="n">
        <v>126346</v>
      </c>
      <c r="G5" s="50" t="n">
        <v>7.887072008611273</v>
      </c>
      <c r="H5" s="50" t="n">
        <v>1155030</v>
      </c>
      <c r="I5" s="50" t="n">
        <v>1146829</v>
      </c>
    </row>
    <row r="6">
      <c r="A6" s="50" t="inlineStr">
        <is>
          <t>2026-02-19</t>
        </is>
      </c>
      <c r="B6" s="50" t="n">
        <v>819467</v>
      </c>
      <c r="C6" s="50" t="n">
        <v>868130</v>
      </c>
      <c r="D6" s="50" t="n">
        <v>-5.605496872588212</v>
      </c>
      <c r="E6" s="50" t="n">
        <v>132584</v>
      </c>
      <c r="F6" s="50" t="n">
        <v>123151</v>
      </c>
      <c r="G6" s="50" t="n">
        <v>7.659702316668149</v>
      </c>
      <c r="H6" s="50" t="n">
        <v>1121674</v>
      </c>
      <c r="I6" s="50" t="n">
        <v>1163316</v>
      </c>
    </row>
    <row r="7">
      <c r="A7" s="50" t="inlineStr">
        <is>
          <t>2026-05-21</t>
        </is>
      </c>
      <c r="B7" s="50" t="n">
        <v>895464</v>
      </c>
      <c r="C7" s="50" t="n">
        <v>898625</v>
      </c>
      <c r="D7" s="50" t="n">
        <v>-0.3517596327722861</v>
      </c>
      <c r="E7" s="50" t="n">
        <v>160616</v>
      </c>
      <c r="F7" s="50" t="n">
        <v>136211</v>
      </c>
      <c r="G7" s="50" t="n">
        <v>17.91705515707249</v>
      </c>
      <c r="H7" s="50" t="n">
        <v>1237066</v>
      </c>
      <c r="I7" s="50" t="n">
        <v>1211716</v>
      </c>
    </row>
    <row r="8">
      <c r="A8" s="50" t="inlineStr">
        <is>
          <t>2026-09-10</t>
        </is>
      </c>
      <c r="B8" s="50" t="n">
        <v>817822</v>
      </c>
      <c r="C8" s="50" t="n">
        <v>824813</v>
      </c>
      <c r="D8" s="50" t="n">
        <v>-0.847586058900629</v>
      </c>
      <c r="E8" s="50" t="n">
        <v>151722</v>
      </c>
      <c r="F8" s="50" t="n">
        <v>131396</v>
      </c>
      <c r="G8" s="50" t="n">
        <v>15.46926847088193</v>
      </c>
      <c r="H8" s="50" t="n">
        <v>1152439</v>
      </c>
      <c r="I8" s="50" t="n">
        <v>1125097</v>
      </c>
    </row>
  </sheetData>
  <mergeCells count="1">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5" customWidth="1" min="3" max="3"/>
    <col width="10" customWidth="1" min="4" max="4"/>
  </cols>
  <sheetData>
    <row r="1">
      <c r="A1" s="1" t="inlineStr">
        <is>
          <t>facility_ops_quarterly.csv</t>
        </is>
      </c>
    </row>
    <row r="2" ht="42" customHeight="1">
      <c r="A2" s="6" t="inlineStr">
        <is>
          <t>Facility operations expense by quarter, 8-K Ex-99.1. Tier 1.</t>
        </is>
      </c>
    </row>
    <row r="3">
      <c r="A3" s="2" t="inlineStr">
        <is>
          <t>data/csv/facility_ops_quarterly.csv · 7 rows · BLUE = raw data as committed; do not type over it — edit the CSV and rebuild.</t>
        </is>
      </c>
    </row>
    <row r="4">
      <c r="A4" s="7" t="inlineStr">
        <is>
          <t>filed</t>
        </is>
      </c>
      <c r="B4" s="7" t="inlineStr">
        <is>
          <t>facility_ops_m</t>
        </is>
      </c>
      <c r="C4" s="7" t="inlineStr">
        <is>
          <t>prior_yr_facility_ops_m</t>
        </is>
      </c>
      <c r="D4" s="7" t="inlineStr">
        <is>
          <t>yoy_pct</t>
        </is>
      </c>
    </row>
    <row r="5">
      <c r="A5" s="50" t="inlineStr">
        <is>
          <t>2024-11-21</t>
        </is>
      </c>
      <c r="B5" s="50" t="n">
        <v>447.2</v>
      </c>
      <c r="C5" s="50" t="n">
        <v>367.8</v>
      </c>
      <c r="D5" s="50" t="n">
        <v>21.59</v>
      </c>
    </row>
    <row r="6">
      <c r="A6" s="50" t="inlineStr">
        <is>
          <t>2025-02-20</t>
        </is>
      </c>
      <c r="B6" s="50" t="n">
        <v>439.3</v>
      </c>
      <c r="C6" s="50" t="n">
        <v>366.3</v>
      </c>
      <c r="D6" s="50" t="n">
        <v>19.91</v>
      </c>
    </row>
    <row r="7">
      <c r="A7" s="50" t="inlineStr">
        <is>
          <t>2025-05-22</t>
        </is>
      </c>
      <c r="B7" s="50" t="n">
        <v>439.4</v>
      </c>
      <c r="C7" s="50" t="n">
        <v>391.3</v>
      </c>
      <c r="D7" s="50" t="n">
        <v>12.31</v>
      </c>
    </row>
    <row r="8">
      <c r="A8" s="50" t="inlineStr">
        <is>
          <t>2025-11-20</t>
        </is>
      </c>
      <c r="B8" s="50" t="n">
        <v>427.2</v>
      </c>
      <c r="C8" s="50" t="n">
        <v>447.2</v>
      </c>
      <c r="D8" s="50" t="n">
        <v>-4.49</v>
      </c>
    </row>
    <row r="9">
      <c r="A9" s="50" t="inlineStr">
        <is>
          <t>2026-02-19</t>
        </is>
      </c>
      <c r="B9" s="50" t="n">
        <v>427.5</v>
      </c>
      <c r="C9" s="50" t="n">
        <v>439.3</v>
      </c>
      <c r="D9" s="50" t="n">
        <v>-2.68</v>
      </c>
    </row>
    <row r="10">
      <c r="A10" s="50" t="inlineStr">
        <is>
          <t>2026-05-21</t>
        </is>
      </c>
      <c r="B10" s="50" t="n">
        <v>450.3</v>
      </c>
      <c r="C10" s="50" t="n">
        <v>439.4</v>
      </c>
      <c r="D10" s="50" t="n">
        <v>2.48</v>
      </c>
    </row>
    <row r="11">
      <c r="A11" s="50" t="inlineStr">
        <is>
          <t>2026-09-10</t>
        </is>
      </c>
      <c r="B11" s="50" t="n">
        <v>450.7</v>
      </c>
      <c r="C11" s="50" t="n">
        <v>418.5</v>
      </c>
      <c r="D11" s="50" t="n">
        <v>7.7</v>
      </c>
    </row>
  </sheetData>
  <mergeCells count="1">
    <mergeCell ref="A2:F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5"/>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7" customWidth="1" min="3" max="3"/>
    <col width="23" customWidth="1" min="4" max="4"/>
    <col width="18" customWidth="1" min="5" max="5"/>
    <col width="10" customWidth="1" min="6" max="6"/>
    <col width="10" customWidth="1" min="7" max="7"/>
    <col width="10" customWidth="1" min="8" max="8"/>
    <col width="12" customWidth="1" min="9" max="9"/>
    <col width="12" customWidth="1" min="10" max="10"/>
  </cols>
  <sheetData>
    <row r="1">
      <c r="A1" s="1" t="inlineStr">
        <is>
          <t>sec_annual.csv</t>
        </is>
      </c>
    </row>
    <row r="2" ht="42" customHeight="1">
      <c r="A2" s="6" t="inlineStr">
        <is>
          <t>Copart annual figures from 10-K XBRL (SEC EDGAR). Tier 1.</t>
        </is>
      </c>
    </row>
    <row r="3">
      <c r="A3" s="2" t="inlineStr">
        <is>
          <t>data/csv/sec_annual.csv · 11 rows · BLUE = raw data as committed; do not type over it — edit the CSV and rebuild.</t>
        </is>
      </c>
    </row>
    <row r="4">
      <c r="A4" s="7" t="inlineStr">
        <is>
          <t>fy</t>
        </is>
      </c>
      <c r="B4" s="7" t="inlineStr">
        <is>
          <t>total_revenue</t>
        </is>
      </c>
      <c r="C4" s="7" t="inlineStr">
        <is>
          <t>service_revenue</t>
        </is>
      </c>
      <c r="D4" s="7" t="inlineStr">
        <is>
          <t>purchased_veh_revenue</t>
        </is>
      </c>
      <c r="E4" s="7" t="inlineStr">
        <is>
          <t>operating_income</t>
        </is>
      </c>
      <c r="F4" s="7" t="inlineStr">
        <is>
          <t>d_and_a</t>
        </is>
      </c>
      <c r="G4" s="7" t="inlineStr">
        <is>
          <t>capex</t>
        </is>
      </c>
      <c r="H4" s="7" t="inlineStr">
        <is>
          <t>cash</t>
        </is>
      </c>
      <c r="I4" s="7" t="inlineStr">
        <is>
          <t>net_income</t>
        </is>
      </c>
      <c r="J4" s="7" t="inlineStr">
        <is>
          <t>shares_out</t>
        </is>
      </c>
    </row>
    <row r="5">
      <c r="A5" s="50" t="n">
        <v>2016</v>
      </c>
      <c r="B5" s="50" t="n">
        <v>1268449000</v>
      </c>
      <c r="C5" s="50" t="n">
        <v>1104379000</v>
      </c>
      <c r="D5" s="50" t="n">
        <v>164070000</v>
      </c>
      <c r="E5" s="50" t="n">
        <v>406470000</v>
      </c>
      <c r="F5" s="50" t="n">
        <v>48575000</v>
      </c>
      <c r="G5" s="50" t="n">
        <v>173917000</v>
      </c>
      <c r="H5" s="50" t="n">
        <v>155849000</v>
      </c>
      <c r="I5" s="50" t="n">
        <v>270360000</v>
      </c>
      <c r="J5" s="50" t="n">
        <v>220244120</v>
      </c>
    </row>
    <row r="6">
      <c r="A6" s="50" t="n">
        <v>2017</v>
      </c>
      <c r="B6" s="50" t="n">
        <v>1447981000</v>
      </c>
      <c r="C6" s="50" t="n">
        <v>1286252000</v>
      </c>
      <c r="D6" s="50" t="n">
        <v>161729000</v>
      </c>
      <c r="E6" s="50" t="n">
        <v>461299000</v>
      </c>
      <c r="F6" s="50" t="n">
        <v>57000000</v>
      </c>
      <c r="G6" s="50" t="n">
        <v>172178000</v>
      </c>
      <c r="H6" s="50" t="n">
        <v>210100000</v>
      </c>
      <c r="I6" s="50" t="n">
        <v>394227000</v>
      </c>
      <c r="J6" s="50" t="n">
        <v>230488296</v>
      </c>
    </row>
    <row r="7">
      <c r="A7" s="50" t="n">
        <v>2018</v>
      </c>
      <c r="B7" s="50" t="n">
        <v>1805695000</v>
      </c>
      <c r="C7" s="50" t="n"/>
      <c r="D7" s="50" t="n"/>
      <c r="E7" s="50" t="n">
        <v>584345000</v>
      </c>
      <c r="F7" s="50" t="n">
        <v>78598000</v>
      </c>
      <c r="G7" s="50" t="n">
        <v>287910000</v>
      </c>
      <c r="H7" s="50" t="n">
        <v>274520000</v>
      </c>
      <c r="I7" s="50" t="n">
        <v>417867000</v>
      </c>
      <c r="J7" s="50" t="n">
        <v>233898841</v>
      </c>
    </row>
    <row r="8">
      <c r="A8" s="50" t="n">
        <v>2019</v>
      </c>
      <c r="B8" s="50" t="n">
        <v>2041957000</v>
      </c>
      <c r="C8" s="50" t="n"/>
      <c r="D8" s="50" t="n"/>
      <c r="E8" s="50" t="n">
        <v>716475000</v>
      </c>
      <c r="F8" s="50" t="n">
        <v>84895000</v>
      </c>
      <c r="G8" s="50" t="n">
        <v>373883000</v>
      </c>
      <c r="H8" s="50" t="n">
        <v>186319000</v>
      </c>
      <c r="I8" s="50" t="n">
        <v>591693000</v>
      </c>
      <c r="J8" s="50" t="n">
        <v>229790268</v>
      </c>
    </row>
    <row r="9">
      <c r="A9" s="50" t="n">
        <v>2020</v>
      </c>
      <c r="B9" s="50" t="n">
        <v>2205583000</v>
      </c>
      <c r="C9" s="50" t="n"/>
      <c r="D9" s="50" t="n"/>
      <c r="E9" s="50" t="n">
        <v>816099000</v>
      </c>
      <c r="F9" s="50" t="n">
        <v>101390000</v>
      </c>
      <c r="G9" s="50" t="n">
        <v>591972000</v>
      </c>
      <c r="H9" s="50" t="n"/>
      <c r="I9" s="50" t="n">
        <v>699907000</v>
      </c>
      <c r="J9" s="50" t="n">
        <v>235315337</v>
      </c>
    </row>
    <row r="10">
      <c r="A10" s="50" t="n">
        <v>2021</v>
      </c>
      <c r="B10" s="50" t="n">
        <v>2692511000</v>
      </c>
      <c r="C10" s="50" t="n"/>
      <c r="D10" s="50" t="n"/>
      <c r="E10" s="50" t="n">
        <v>1136426000</v>
      </c>
      <c r="F10" s="50" t="n">
        <v>121971000</v>
      </c>
      <c r="G10" s="50" t="n">
        <v>462996000</v>
      </c>
      <c r="H10" s="50" t="n"/>
      <c r="I10" s="50" t="n">
        <v>936495000</v>
      </c>
      <c r="J10" s="50" t="n">
        <v>237014273</v>
      </c>
    </row>
    <row r="11">
      <c r="A11" s="50" t="n">
        <v>2022</v>
      </c>
      <c r="B11" s="50" t="n">
        <v>3500921000</v>
      </c>
      <c r="C11" s="50" t="n"/>
      <c r="D11" s="50" t="n"/>
      <c r="E11" s="50" t="n">
        <v>1374997000</v>
      </c>
      <c r="F11" s="50" t="n">
        <v>137985000</v>
      </c>
      <c r="G11" s="50" t="n">
        <v>337448000</v>
      </c>
      <c r="H11" s="50" t="n"/>
      <c r="I11" s="50" t="n">
        <v>1090130000</v>
      </c>
      <c r="J11" s="50" t="n">
        <v>952163896</v>
      </c>
    </row>
    <row r="12">
      <c r="A12" s="50" t="n">
        <v>2023</v>
      </c>
      <c r="B12" s="50" t="n">
        <v>3869518000</v>
      </c>
      <c r="C12" s="50" t="n"/>
      <c r="D12" s="50" t="n"/>
      <c r="E12" s="50" t="n">
        <v>1486569000</v>
      </c>
      <c r="F12" s="50" t="n">
        <v>159478000</v>
      </c>
      <c r="G12" s="50" t="n">
        <v>516636000</v>
      </c>
      <c r="H12" s="50" t="n"/>
      <c r="I12" s="50" t="n">
        <v>1237741000</v>
      </c>
      <c r="J12" s="50" t="n">
        <v>957344162</v>
      </c>
    </row>
    <row r="13">
      <c r="A13" s="50" t="n">
        <v>2024</v>
      </c>
      <c r="B13" s="50" t="n">
        <v>4236823000</v>
      </c>
      <c r="C13" s="50" t="n"/>
      <c r="D13" s="50" t="n"/>
      <c r="E13" s="50" t="n">
        <v>1572023000</v>
      </c>
      <c r="F13" s="50" t="n">
        <v>189761000</v>
      </c>
      <c r="G13" s="50" t="n">
        <v>510990000</v>
      </c>
      <c r="H13" s="50" t="n"/>
      <c r="I13" s="50" t="n">
        <v>1363020000</v>
      </c>
      <c r="J13" s="50" t="n">
        <v>962967011</v>
      </c>
    </row>
    <row r="14">
      <c r="A14" s="50" t="n">
        <v>2025</v>
      </c>
      <c r="B14" s="50" t="n">
        <v>4646958000</v>
      </c>
      <c r="C14" s="50" t="n"/>
      <c r="D14" s="50" t="n"/>
      <c r="E14" s="50" t="n">
        <v>1696714000</v>
      </c>
      <c r="F14" s="50" t="n">
        <v>215849000</v>
      </c>
      <c r="G14" s="50" t="n">
        <v>568990000</v>
      </c>
      <c r="H14" s="50" t="n"/>
      <c r="I14" s="50" t="n">
        <v>1552449000</v>
      </c>
      <c r="J14" s="50" t="n">
        <v>967478690</v>
      </c>
    </row>
    <row r="15">
      <c r="A15" s="50" t="n">
        <v>2026</v>
      </c>
      <c r="B15" s="50" t="n"/>
      <c r="C15" s="50" t="n"/>
      <c r="D15" s="50" t="n"/>
      <c r="E15" s="50" t="n"/>
      <c r="F15" s="50" t="n"/>
      <c r="G15" s="50" t="n"/>
      <c r="H15" s="50" t="n"/>
      <c r="I15" s="50" t="n"/>
      <c r="J15" s="50" t="n"/>
    </row>
  </sheetData>
  <mergeCells count="1">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0" customWidth="1" min="1" max="1"/>
    <col width="17" customWidth="1" min="2" max="2"/>
    <col width="15" customWidth="1" min="3" max="3"/>
    <col width="18" customWidth="1" min="4" max="4"/>
    <col width="16" customWidth="1" min="5" max="5"/>
    <col width="17" customWidth="1" min="6" max="6"/>
    <col width="15" customWidth="1" min="7" max="7"/>
    <col width="22" customWidth="1" min="8" max="8"/>
  </cols>
  <sheetData>
    <row r="1">
      <c r="A1" s="1" t="inlineStr">
        <is>
          <t>elasticity_rebuild.csv</t>
        </is>
      </c>
    </row>
    <row r="2" ht="42" customHeight="1">
      <c r="A2" s="6" t="inlineStr">
        <is>
          <t>RPU/ASP elasticity inputs, n=17 FY22Q4-FY26Q4: service &amp; total revenue YoY (8-K), global units and global ASP YoY (transcripts, aligned). Implied RPU = (1+rev)/(1+units)-1. scripts/analysis_20260911.py</t>
        </is>
      </c>
    </row>
    <row r="3">
      <c r="A3" s="2" t="inlineStr">
        <is>
          <t>data/csv/elasticity_rebuild.csv · 17 rows · BLUE = raw data as committed; do not type over it — edit the CSV and rebuild.</t>
        </is>
      </c>
    </row>
    <row r="4">
      <c r="A4" s="7" t="inlineStr">
        <is>
          <t>fiscal_q</t>
        </is>
      </c>
      <c r="B4" s="7" t="inlineStr">
        <is>
          <t>service_rev_yoy</t>
        </is>
      </c>
      <c r="C4" s="7" t="inlineStr">
        <is>
          <t>total_rev_yoy</t>
        </is>
      </c>
      <c r="D4" s="7" t="inlineStr">
        <is>
          <t>global_units_yoy</t>
        </is>
      </c>
      <c r="E4" s="7" t="inlineStr">
        <is>
          <t>global_asp_yoy</t>
        </is>
      </c>
      <c r="F4" s="7" t="inlineStr">
        <is>
          <t>service_rpu_yoy</t>
        </is>
      </c>
      <c r="G4" s="7" t="inlineStr">
        <is>
          <t>total_rpu_yoy</t>
        </is>
      </c>
      <c r="H4" s="7" t="inlineStr">
        <is>
          <t>fee_mix_component_pp</t>
        </is>
      </c>
    </row>
    <row r="5">
      <c r="A5" s="50" t="inlineStr">
        <is>
          <t>FY22Q4</t>
        </is>
      </c>
      <c r="B5" s="50" t="n">
        <v>14.2</v>
      </c>
      <c r="C5" s="50" t="n">
        <v>18</v>
      </c>
      <c r="D5" s="50" t="n">
        <v>5.1</v>
      </c>
      <c r="E5" s="50" t="n">
        <v>8.300000000000001</v>
      </c>
      <c r="F5" s="50" t="n">
        <v>8.66</v>
      </c>
      <c r="G5" s="50" t="n">
        <v>12.27</v>
      </c>
      <c r="H5" s="50" t="n">
        <v>4.39</v>
      </c>
    </row>
    <row r="6">
      <c r="A6" s="50" t="inlineStr">
        <is>
          <t>FY23Q1</t>
        </is>
      </c>
      <c r="B6" s="50" t="n">
        <v>8.800000000000001</v>
      </c>
      <c r="C6" s="50" t="n">
        <v>10.3</v>
      </c>
      <c r="D6" s="50" t="n">
        <v>1.9</v>
      </c>
      <c r="E6" s="50" t="n">
        <v>5</v>
      </c>
      <c r="F6" s="50" t="n">
        <v>6.77</v>
      </c>
      <c r="G6" s="50" t="n">
        <v>8.24</v>
      </c>
      <c r="H6" s="50" t="n">
        <v>4.2</v>
      </c>
    </row>
    <row r="7">
      <c r="A7" s="50" t="inlineStr">
        <is>
          <t>FY23Q2</t>
        </is>
      </c>
      <c r="B7" s="50" t="n">
        <v>11.1</v>
      </c>
      <c r="C7" s="50" t="n">
        <v>10.3</v>
      </c>
      <c r="D7" s="50" t="n">
        <v>4.7</v>
      </c>
      <c r="E7" s="50" t="n">
        <v>0</v>
      </c>
      <c r="F7" s="50" t="n">
        <v>6.11</v>
      </c>
      <c r="G7" s="50" t="n">
        <v>5.35</v>
      </c>
      <c r="H7" s="50" t="n">
        <v>6.11</v>
      </c>
    </row>
    <row r="8">
      <c r="A8" s="50" t="inlineStr">
        <is>
          <t>FY23Q3</t>
        </is>
      </c>
      <c r="B8" s="50" t="n">
        <v>10.6</v>
      </c>
      <c r="C8" s="50" t="n">
        <v>8.699999999999999</v>
      </c>
      <c r="D8" s="50" t="n">
        <v>5</v>
      </c>
      <c r="E8" s="50" t="n">
        <v>-1</v>
      </c>
      <c r="F8" s="50" t="n">
        <v>5.33</v>
      </c>
      <c r="G8" s="50" t="n">
        <v>3.52</v>
      </c>
      <c r="H8" s="50" t="n">
        <v>5.85</v>
      </c>
    </row>
    <row r="9">
      <c r="A9" s="50" t="inlineStr">
        <is>
          <t>FY23Q4</t>
        </is>
      </c>
      <c r="B9" s="50" t="n">
        <v>17.9</v>
      </c>
      <c r="C9" s="50" t="n">
        <v>12.9</v>
      </c>
      <c r="D9" s="50" t="n">
        <v>10</v>
      </c>
      <c r="E9" s="50" t="n">
        <v>2</v>
      </c>
      <c r="F9" s="50" t="n">
        <v>7.18</v>
      </c>
      <c r="G9" s="50" t="n">
        <v>2.64</v>
      </c>
      <c r="H9" s="50" t="n">
        <v>6.15</v>
      </c>
    </row>
    <row r="10">
      <c r="A10" s="50" t="inlineStr">
        <is>
          <t>FY24Q1</t>
        </is>
      </c>
      <c r="B10" s="50" t="n">
        <v>18.3</v>
      </c>
      <c r="C10" s="50" t="n">
        <v>14.2</v>
      </c>
      <c r="D10" s="50" t="n">
        <v>13</v>
      </c>
      <c r="E10" s="50" t="n">
        <v>-1</v>
      </c>
      <c r="F10" s="50" t="n">
        <v>4.69</v>
      </c>
      <c r="G10" s="50" t="n">
        <v>1.06</v>
      </c>
      <c r="H10" s="50" t="n">
        <v>5.2</v>
      </c>
    </row>
    <row r="11">
      <c r="A11" s="50" t="inlineStr">
        <is>
          <t>FY24Q2</t>
        </is>
      </c>
      <c r="B11" s="50" t="n">
        <v>9.1</v>
      </c>
      <c r="C11" s="50" t="n">
        <v>6.6</v>
      </c>
      <c r="D11" s="50" t="n">
        <v>7</v>
      </c>
      <c r="E11" s="50" t="n">
        <v>-5</v>
      </c>
      <c r="F11" s="50" t="n">
        <v>1.96</v>
      </c>
      <c r="G11" s="50" t="n">
        <v>-0.37</v>
      </c>
      <c r="H11" s="50" t="n">
        <v>4.53</v>
      </c>
    </row>
    <row r="12">
      <c r="A12" s="50" t="inlineStr">
        <is>
          <t>FY24Q3</t>
        </is>
      </c>
      <c r="B12" s="50" t="n">
        <v>11.7</v>
      </c>
      <c r="C12" s="50" t="n">
        <v>10.3</v>
      </c>
      <c r="D12" s="50" t="n">
        <v>11</v>
      </c>
      <c r="E12" s="50" t="n">
        <v>-3</v>
      </c>
      <c r="F12" s="50" t="n">
        <v>0.63</v>
      </c>
      <c r="G12" s="50" t="n">
        <v>-0.63</v>
      </c>
      <c r="H12" s="50" t="n">
        <v>2.17</v>
      </c>
    </row>
    <row r="13">
      <c r="A13" s="50" t="inlineStr">
        <is>
          <t>FY24Q4</t>
        </is>
      </c>
      <c r="B13" s="50" t="n">
        <v>7.1</v>
      </c>
      <c r="C13" s="50" t="n">
        <v>7.2</v>
      </c>
      <c r="D13" s="50" t="n">
        <v>8</v>
      </c>
      <c r="E13" s="50" t="n">
        <v>-5</v>
      </c>
      <c r="F13" s="50" t="n">
        <v>-0.83</v>
      </c>
      <c r="G13" s="50" t="n">
        <v>-0.74</v>
      </c>
      <c r="H13" s="50" t="n">
        <v>1.74</v>
      </c>
    </row>
    <row r="14">
      <c r="A14" s="50" t="inlineStr">
        <is>
          <t>FY25Q1</t>
        </is>
      </c>
      <c r="B14" s="50" t="n">
        <v>14.8</v>
      </c>
      <c r="C14" s="50" t="n">
        <v>12.4</v>
      </c>
      <c r="D14" s="50" t="n">
        <v>12</v>
      </c>
      <c r="E14" s="50" t="n">
        <v>-1</v>
      </c>
      <c r="F14" s="50" t="n">
        <v>2.5</v>
      </c>
      <c r="G14" s="50" t="n">
        <v>0.36</v>
      </c>
      <c r="H14" s="50" t="n">
        <v>3.01</v>
      </c>
    </row>
    <row r="15">
      <c r="A15" s="50" t="inlineStr">
        <is>
          <t>FY25Q2</t>
        </is>
      </c>
      <c r="B15" s="50" t="n">
        <v>15</v>
      </c>
      <c r="C15" s="50" t="n">
        <v>14</v>
      </c>
      <c r="D15" s="50" t="n">
        <v>8</v>
      </c>
      <c r="E15" s="50" t="n">
        <v>2</v>
      </c>
      <c r="F15" s="50" t="n">
        <v>6.48</v>
      </c>
      <c r="G15" s="50" t="n">
        <v>5.56</v>
      </c>
      <c r="H15" s="50" t="n">
        <v>5.45</v>
      </c>
    </row>
    <row r="16">
      <c r="A16" s="50" t="inlineStr">
        <is>
          <t>FY25Q3</t>
        </is>
      </c>
      <c r="B16" s="50" t="n">
        <v>9.300000000000001</v>
      </c>
      <c r="C16" s="50" t="n">
        <v>7.5</v>
      </c>
      <c r="D16" s="50" t="n">
        <v>1</v>
      </c>
      <c r="E16" s="50" t="n">
        <v>3</v>
      </c>
      <c r="F16" s="50" t="n">
        <v>8.220000000000001</v>
      </c>
      <c r="G16" s="50" t="n">
        <v>6.44</v>
      </c>
      <c r="H16" s="50" t="n">
        <v>6.68</v>
      </c>
    </row>
    <row r="17">
      <c r="A17" s="50" t="inlineStr">
        <is>
          <t>FY25Q4</t>
        </is>
      </c>
      <c r="B17" s="50" t="n">
        <v>7.1</v>
      </c>
      <c r="C17" s="50" t="n">
        <v>5.2</v>
      </c>
      <c r="D17" s="50" t="n">
        <v>-0.9</v>
      </c>
      <c r="E17" s="50" t="n">
        <v>5.6</v>
      </c>
      <c r="F17" s="50" t="n">
        <v>8.07</v>
      </c>
      <c r="G17" s="50" t="n">
        <v>6.16</v>
      </c>
      <c r="H17" s="50" t="n">
        <v>5.19</v>
      </c>
    </row>
    <row r="18">
      <c r="A18" s="50" t="inlineStr">
        <is>
          <t>FY26Q1</t>
        </is>
      </c>
      <c r="B18" s="50" t="n">
        <v>0.6</v>
      </c>
      <c r="C18" s="50" t="n">
        <v>0.7</v>
      </c>
      <c r="D18" s="50" t="n">
        <v>-6.7</v>
      </c>
      <c r="E18" s="50" t="n">
        <v>8.5</v>
      </c>
      <c r="F18" s="50" t="n">
        <v>7.82</v>
      </c>
      <c r="G18" s="50" t="n">
        <v>7.93</v>
      </c>
      <c r="H18" s="50" t="n">
        <v>3.46</v>
      </c>
    </row>
    <row r="19">
      <c r="A19" s="50" t="inlineStr">
        <is>
          <t>FY26Q2</t>
        </is>
      </c>
      <c r="B19" s="50" t="n">
        <v>-4</v>
      </c>
      <c r="C19" s="50" t="n">
        <v>-3.6</v>
      </c>
      <c r="D19" s="50" t="n">
        <v>-8</v>
      </c>
      <c r="E19" s="50" t="n">
        <v>6</v>
      </c>
      <c r="F19" s="50" t="n">
        <v>4.35</v>
      </c>
      <c r="G19" s="50" t="n">
        <v>4.78</v>
      </c>
      <c r="H19" s="50" t="n">
        <v>1.26</v>
      </c>
    </row>
    <row r="20">
      <c r="A20" s="50" t="inlineStr">
        <is>
          <t>FY26Q3</t>
        </is>
      </c>
      <c r="B20" s="50" t="n">
        <v>2.1</v>
      </c>
      <c r="C20" s="50" t="n">
        <v>2.1</v>
      </c>
      <c r="D20" s="50" t="n">
        <v>-2.4</v>
      </c>
      <c r="E20" s="50" t="n">
        <v>4.6</v>
      </c>
      <c r="F20" s="50" t="n">
        <v>4.61</v>
      </c>
      <c r="G20" s="50" t="n">
        <v>4.61</v>
      </c>
      <c r="H20" s="50" t="n">
        <v>2.25</v>
      </c>
    </row>
    <row r="21">
      <c r="A21" s="50" t="inlineStr">
        <is>
          <t>FY26Q4</t>
        </is>
      </c>
      <c r="B21" s="50" t="n">
        <v>1.4</v>
      </c>
      <c r="C21" s="50" t="n">
        <v>2.4</v>
      </c>
      <c r="D21" s="50" t="n">
        <v>-2.9</v>
      </c>
      <c r="E21" s="50" t="n">
        <v>3.5</v>
      </c>
      <c r="F21" s="50" t="n">
        <v>4.43</v>
      </c>
      <c r="G21" s="50" t="n">
        <v>5.46</v>
      </c>
      <c r="H21" s="50" t="n">
        <v>2.63</v>
      </c>
    </row>
  </sheetData>
  <mergeCells count="1">
    <mergeCell ref="A2:H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0" customWidth="1" min="1" max="1"/>
    <col width="23" customWidth="1" min="2" max="2"/>
    <col width="25" customWidth="1" min="3" max="3"/>
  </cols>
  <sheetData>
    <row r="1">
      <c r="A1" s="1" t="inlineStr">
        <is>
          <t>ccc_tlf_annual.csv</t>
        </is>
      </c>
    </row>
    <row r="2" ht="42" customHeight="1">
      <c r="A2" s="6" t="inlineStr">
        <is>
          <t>CCC National Industry Total Loss Share of Claim Count, CY2013-CY2025 | Source: Crash Course 2026 report, figure "Total Loss Frequency Remains High as Vehicle Values Trend Up" | URL: https://www.cccis.com/reports/crash-course-2026 | Image: https://cdn.prod.website-files.com/677e7ecbb3dbbe98615cde30/69cad9b5dc2ef6b8040ef95e_Picture17.webp | Extraction: printed data labels read off chart at 3200px width (not pixel-estimated)</t>
        </is>
      </c>
    </row>
    <row r="3">
      <c r="A3" s="2" t="inlineStr">
        <is>
          <t>data/csv/ccc_tlf_annual.csv · 13 rows · BLUE = raw data as committed; do not type over it — edit the CSV and rebuild.</t>
        </is>
      </c>
    </row>
    <row r="4">
      <c r="A4" s="7" t="inlineStr">
        <is>
          <t>year</t>
        </is>
      </c>
      <c r="B4" s="7" t="inlineStr">
        <is>
          <t>non_comprehensive_pct</t>
        </is>
      </c>
      <c r="C4" s="7" t="inlineStr">
        <is>
          <t>all_loss_categories_pct</t>
        </is>
      </c>
    </row>
    <row r="5">
      <c r="A5" s="50" t="n">
        <v>2013</v>
      </c>
      <c r="B5" s="50" t="n">
        <v>14.8</v>
      </c>
      <c r="C5" s="50" t="n">
        <v>14</v>
      </c>
    </row>
    <row r="6">
      <c r="A6" s="50" t="n">
        <v>2014</v>
      </c>
      <c r="B6" s="50" t="n">
        <v>14.7</v>
      </c>
      <c r="C6" s="50" t="n">
        <v>14.1</v>
      </c>
    </row>
    <row r="7">
      <c r="A7" s="50" t="n">
        <v>2015</v>
      </c>
      <c r="B7" s="50" t="n">
        <v>16.2</v>
      </c>
      <c r="C7" s="50" t="n">
        <v>15.6</v>
      </c>
    </row>
    <row r="8">
      <c r="A8" s="50" t="n">
        <v>2016</v>
      </c>
      <c r="B8" s="50" t="n">
        <v>17.3</v>
      </c>
      <c r="C8" s="50" t="n">
        <v>16.7</v>
      </c>
    </row>
    <row r="9">
      <c r="A9" s="50" t="n">
        <v>2017</v>
      </c>
      <c r="B9" s="50" t="n">
        <v>18.3</v>
      </c>
      <c r="C9" s="50" t="n">
        <v>17.9</v>
      </c>
    </row>
    <row r="10">
      <c r="A10" s="50" t="n">
        <v>2018</v>
      </c>
      <c r="B10" s="50" t="n">
        <v>19</v>
      </c>
      <c r="C10" s="50" t="n">
        <v>18.5</v>
      </c>
    </row>
    <row r="11">
      <c r="A11" s="50" t="n">
        <v>2019</v>
      </c>
      <c r="B11" s="50" t="n">
        <v>19.9</v>
      </c>
      <c r="C11" s="50" t="n">
        <v>19.2</v>
      </c>
    </row>
    <row r="12">
      <c r="A12" s="50" t="n">
        <v>2020</v>
      </c>
      <c r="B12" s="50" t="n">
        <v>21.7</v>
      </c>
      <c r="C12" s="50" t="n">
        <v>20.6</v>
      </c>
    </row>
    <row r="13">
      <c r="A13" s="50" t="n">
        <v>2021</v>
      </c>
      <c r="B13" s="50" t="n">
        <v>20.6</v>
      </c>
      <c r="C13" s="50" t="n">
        <v>19.7</v>
      </c>
    </row>
    <row r="14">
      <c r="A14" s="50" t="n">
        <v>2022</v>
      </c>
      <c r="B14" s="50" t="n">
        <v>19.7</v>
      </c>
      <c r="C14" s="50" t="n">
        <v>18.8</v>
      </c>
    </row>
    <row r="15">
      <c r="A15" s="50" t="n">
        <v>2023</v>
      </c>
      <c r="B15" s="50" t="n">
        <v>21.2</v>
      </c>
      <c r="C15" s="50" t="n">
        <v>20.2</v>
      </c>
    </row>
    <row r="16">
      <c r="A16" s="50" t="n">
        <v>2024</v>
      </c>
      <c r="B16" s="50" t="n">
        <v>22.9</v>
      </c>
      <c r="C16" s="50" t="n">
        <v>22.3</v>
      </c>
    </row>
    <row r="17">
      <c r="A17" s="50" t="n">
        <v>2025</v>
      </c>
      <c r="B17" s="50" t="n">
        <v>23.9</v>
      </c>
      <c r="C17" s="50" t="n">
        <v>23.1</v>
      </c>
    </row>
  </sheetData>
  <mergeCells count="1">
    <mergeCell ref="A2:F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10" customWidth="1" min="1" max="1"/>
    <col width="23" customWidth="1" min="2" max="2"/>
    <col width="25" customWidth="1" min="3" max="3"/>
  </cols>
  <sheetData>
    <row r="1">
      <c r="A1" s="1" t="inlineStr">
        <is>
          <t>ccc_tlf_quarterly.csv</t>
        </is>
      </c>
    </row>
    <row r="2" ht="42" customHeight="1">
      <c r="A2" s="6" t="inlineStr">
        <is>
          <t>CCC National Industry Total Loss Share of Claim Count, QUARTERLY 2018Q1-2025Q3 | Source: Crash Course Q4 2025 edition, "Figure 5: ... (CY 2018-2025)" | URL: https://www.cccis.com/reports/crash-course-2025/q4 | Image: https://cdn.prod.website-files.com/677e7ecbb3dbbe98615cde30/6930b144bda1e1f3d69f0116_CCC%20National%20Industry%20Total%20Loss%20Share%20of%20Claim%20Count%202018.webp | Extraction: printed data labels read off chart at 1280px width</t>
        </is>
      </c>
    </row>
    <row r="3">
      <c r="A3" s="2" t="inlineStr">
        <is>
          <t>data/csv/ccc_tlf_quarterly.csv · 31 rows · BLUE = raw data as committed; do not type over it — edit the CSV and rebuild.</t>
        </is>
      </c>
    </row>
    <row r="4">
      <c r="A4" s="7" t="inlineStr">
        <is>
          <t>quarter</t>
        </is>
      </c>
      <c r="B4" s="7" t="inlineStr">
        <is>
          <t>non_comprehensive_pct</t>
        </is>
      </c>
      <c r="C4" s="7" t="inlineStr">
        <is>
          <t>all_loss_categories_pct</t>
        </is>
      </c>
    </row>
    <row r="5">
      <c r="A5" s="50" t="inlineStr">
        <is>
          <t>2018Q1</t>
        </is>
      </c>
      <c r="B5" s="50" t="n">
        <v>19.4</v>
      </c>
      <c r="C5" s="50" t="n">
        <v>18.7</v>
      </c>
    </row>
    <row r="6">
      <c r="A6" s="50" t="inlineStr">
        <is>
          <t>2018Q2</t>
        </is>
      </c>
      <c r="B6" s="50" t="n">
        <v>18.2</v>
      </c>
      <c r="C6" s="50" t="n">
        <v>17.6</v>
      </c>
    </row>
    <row r="7">
      <c r="A7" s="50" t="inlineStr">
        <is>
          <t>2018Q3</t>
        </is>
      </c>
      <c r="B7" s="50" t="n">
        <v>18.3</v>
      </c>
      <c r="C7" s="50" t="n">
        <v>18.1</v>
      </c>
    </row>
    <row r="8">
      <c r="A8" s="50" t="inlineStr">
        <is>
          <t>2018Q4</t>
        </is>
      </c>
      <c r="B8" s="50" t="n">
        <v>20.2</v>
      </c>
      <c r="C8" s="50" t="n">
        <v>19.5</v>
      </c>
    </row>
    <row r="9">
      <c r="A9" s="50" t="inlineStr">
        <is>
          <t>2019Q1</t>
        </is>
      </c>
      <c r="B9" s="50" t="n">
        <v>20</v>
      </c>
      <c r="C9" s="50" t="n">
        <v>19.2</v>
      </c>
    </row>
    <row r="10">
      <c r="A10" s="50" t="inlineStr">
        <is>
          <t>2019Q2</t>
        </is>
      </c>
      <c r="B10" s="50" t="n">
        <v>19.2</v>
      </c>
      <c r="C10" s="50" t="n">
        <v>18.5</v>
      </c>
    </row>
    <row r="11">
      <c r="A11" s="50" t="inlineStr">
        <is>
          <t>2019Q3</t>
        </is>
      </c>
      <c r="B11" s="50" t="n">
        <v>19.2</v>
      </c>
      <c r="C11" s="50" t="n">
        <v>18.7</v>
      </c>
    </row>
    <row r="12">
      <c r="A12" s="50" t="inlineStr">
        <is>
          <t>2019Q4</t>
        </is>
      </c>
      <c r="B12" s="50" t="n">
        <v>21.2</v>
      </c>
      <c r="C12" s="50" t="n">
        <v>20.4</v>
      </c>
    </row>
    <row r="13">
      <c r="A13" s="50" t="inlineStr">
        <is>
          <t>2020Q1</t>
        </is>
      </c>
      <c r="B13" s="50" t="n">
        <v>20.9</v>
      </c>
      <c r="C13" s="50" t="n">
        <v>20</v>
      </c>
    </row>
    <row r="14">
      <c r="A14" s="50" t="inlineStr">
        <is>
          <t>2020Q2</t>
        </is>
      </c>
      <c r="B14" s="50" t="n">
        <v>20.9</v>
      </c>
      <c r="C14" s="50" t="n">
        <v>19.6</v>
      </c>
    </row>
    <row r="15">
      <c r="A15" s="50" t="inlineStr">
        <is>
          <t>2020Q3</t>
        </is>
      </c>
      <c r="B15" s="50" t="n">
        <v>21.8</v>
      </c>
      <c r="C15" s="50" t="n">
        <v>20.9</v>
      </c>
    </row>
    <row r="16">
      <c r="A16" s="50" t="inlineStr">
        <is>
          <t>2020Q4</t>
        </is>
      </c>
      <c r="B16" s="50" t="n">
        <v>23.1</v>
      </c>
      <c r="C16" s="50" t="n">
        <v>21.7</v>
      </c>
    </row>
    <row r="17">
      <c r="A17" s="50" t="inlineStr">
        <is>
          <t>2021Q1</t>
        </is>
      </c>
      <c r="B17" s="50" t="n">
        <v>22.1</v>
      </c>
      <c r="C17" s="50" t="n">
        <v>20.7</v>
      </c>
    </row>
    <row r="18">
      <c r="A18" s="50" t="inlineStr">
        <is>
          <t>2021Q2</t>
        </is>
      </c>
      <c r="B18" s="50" t="n">
        <v>20.9</v>
      </c>
      <c r="C18" s="50" t="n">
        <v>19.7</v>
      </c>
    </row>
    <row r="19">
      <c r="A19" s="50" t="inlineStr">
        <is>
          <t>2021Q3</t>
        </is>
      </c>
      <c r="B19" s="50" t="n">
        <v>19.5</v>
      </c>
      <c r="C19" s="50" t="n">
        <v>19.3</v>
      </c>
    </row>
    <row r="20">
      <c r="A20" s="50" t="inlineStr">
        <is>
          <t>2021Q4</t>
        </is>
      </c>
      <c r="B20" s="50" t="n">
        <v>20.3</v>
      </c>
      <c r="C20" s="50" t="n">
        <v>19.2</v>
      </c>
    </row>
    <row r="21">
      <c r="A21" s="50" t="inlineStr">
        <is>
          <t>2022Q1</t>
        </is>
      </c>
      <c r="B21" s="50" t="n">
        <v>19.9</v>
      </c>
      <c r="C21" s="50" t="n">
        <v>18.8</v>
      </c>
    </row>
    <row r="22">
      <c r="A22" s="50" t="inlineStr">
        <is>
          <t>2022Q2</t>
        </is>
      </c>
      <c r="B22" s="50" t="n">
        <v>18.9</v>
      </c>
      <c r="C22" s="50" t="n">
        <v>17.6</v>
      </c>
    </row>
    <row r="23">
      <c r="A23" s="50" t="inlineStr">
        <is>
          <t>2022Q3</t>
        </is>
      </c>
      <c r="B23" s="50" t="n">
        <v>18.9</v>
      </c>
      <c r="C23" s="50" t="n">
        <v>18</v>
      </c>
    </row>
    <row r="24">
      <c r="A24" s="50" t="inlineStr">
        <is>
          <t>2022Q4</t>
        </is>
      </c>
      <c r="B24" s="50" t="n">
        <v>21</v>
      </c>
      <c r="C24" s="50" t="n">
        <v>20.6</v>
      </c>
    </row>
    <row r="25">
      <c r="A25" s="50" t="inlineStr">
        <is>
          <t>2023Q1</t>
        </is>
      </c>
      <c r="B25" s="50" t="n">
        <v>21.1</v>
      </c>
      <c r="C25" s="50" t="n">
        <v>20.1</v>
      </c>
    </row>
    <row r="26">
      <c r="A26" s="50" t="inlineStr">
        <is>
          <t>2023Q2</t>
        </is>
      </c>
      <c r="B26" s="50" t="n">
        <v>20.5</v>
      </c>
      <c r="C26" s="50" t="n">
        <v>19.4</v>
      </c>
    </row>
    <row r="27">
      <c r="A27" s="50" t="inlineStr">
        <is>
          <t>2023Q3</t>
        </is>
      </c>
      <c r="B27" s="50" t="n">
        <v>20.7</v>
      </c>
      <c r="C27" s="50" t="n">
        <v>19.9</v>
      </c>
    </row>
    <row r="28">
      <c r="A28" s="50" t="inlineStr">
        <is>
          <t>2023Q4</t>
        </is>
      </c>
      <c r="B28" s="50" t="n">
        <v>22.4</v>
      </c>
      <c r="C28" s="50" t="n">
        <v>21.5</v>
      </c>
    </row>
    <row r="29">
      <c r="A29" s="50" t="inlineStr">
        <is>
          <t>2024Q1</t>
        </is>
      </c>
      <c r="B29" s="50" t="n">
        <v>22.7</v>
      </c>
      <c r="C29" s="50" t="n">
        <v>21.8</v>
      </c>
    </row>
    <row r="30">
      <c r="A30" s="50" t="inlineStr">
        <is>
          <t>2024Q2</t>
        </is>
      </c>
      <c r="B30" s="50" t="n">
        <v>22.3</v>
      </c>
      <c r="C30" s="50" t="n">
        <v>21.5</v>
      </c>
    </row>
    <row r="31">
      <c r="A31" s="50" t="inlineStr">
        <is>
          <t>2024Q3</t>
        </is>
      </c>
      <c r="B31" s="50" t="n">
        <v>22.5</v>
      </c>
      <c r="C31" s="50" t="n">
        <v>21.9</v>
      </c>
    </row>
    <row r="32">
      <c r="A32" s="50" t="inlineStr">
        <is>
          <t>2024Q4</t>
        </is>
      </c>
      <c r="B32" s="50" t="n">
        <v>24.3</v>
      </c>
      <c r="C32" s="50" t="n">
        <v>24.1</v>
      </c>
    </row>
    <row r="33">
      <c r="A33" s="50" t="inlineStr">
        <is>
          <t>2025Q1</t>
        </is>
      </c>
      <c r="B33" s="50" t="n">
        <v>23.8</v>
      </c>
      <c r="C33" s="50" t="n">
        <v>22.9</v>
      </c>
    </row>
    <row r="34">
      <c r="A34" s="50" t="inlineStr">
        <is>
          <t>2025Q2</t>
        </is>
      </c>
      <c r="B34" s="50" t="n">
        <v>23.2</v>
      </c>
      <c r="C34" s="50" t="n">
        <v>22.4</v>
      </c>
    </row>
    <row r="35">
      <c r="A35" s="50" t="inlineStr">
        <is>
          <t>2025Q3</t>
        </is>
      </c>
      <c r="B35" s="50" t="n">
        <v>23.4</v>
      </c>
      <c r="C35" s="50" t="n">
        <v>22.8</v>
      </c>
    </row>
  </sheetData>
  <mergeCells count="1">
    <mergeCell ref="A2:F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912"/>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4" customWidth="1" min="3" max="3"/>
    <col width="19" customWidth="1" min="4" max="4"/>
    <col width="16" customWidth="1" min="5" max="5"/>
    <col width="24" customWidth="1" min="6" max="6"/>
    <col width="19" customWidth="1" min="7" max="7"/>
    <col width="14" customWidth="1" min="8" max="8"/>
    <col width="22" customWidth="1" min="9" max="9"/>
    <col width="17" customWidth="1" min="10" max="10"/>
    <col width="14" customWidth="1" min="11" max="11"/>
    <col width="22" customWidth="1" min="12" max="12"/>
    <col width="17" customWidth="1" min="13" max="13"/>
    <col width="14" customWidth="1" min="14" max="14"/>
    <col width="22" customWidth="1" min="15" max="15"/>
    <col width="17" customWidth="1" min="16" max="16"/>
    <col width="14" customWidth="1" min="17" max="17"/>
    <col width="22" customWidth="1" min="18" max="18"/>
    <col width="17" customWidth="1" min="19" max="19"/>
  </cols>
  <sheetData>
    <row r="1">
      <c r="A1" s="1" t="inlineStr">
        <is>
          <t>cprt_cpi_three_series.csv</t>
        </is>
      </c>
    </row>
    <row r="2" ht="42" customHeight="1">
      <c r="A2" s="6" t="inlineStr">
        <is>
          <t>BLS CPI flat files (download.bls.gov/pub/time.series/cu): SETA02 used cars &amp; trucks, SETD motor vehicle maintenance &amp; repair, SETE motor vehicle insurance; SA (CUSR) and NSA (CUUR); footnote code X marks the 2025 appropriations-lapse gap (left blank, never interpolated).</t>
        </is>
      </c>
    </row>
    <row r="3">
      <c r="A3" s="2" t="inlineStr">
        <is>
          <t>data/csv/cprt_cpi_three_series.csv · 908 rows · BLUE = raw data as committed; do not type over it — edit the CSV and rebuild.</t>
        </is>
      </c>
    </row>
    <row r="4">
      <c r="A4" s="7" t="inlineStr">
        <is>
          <t>date</t>
        </is>
      </c>
      <c r="B4" s="7" t="inlineStr">
        <is>
          <t>CUSR0000SETA02</t>
        </is>
      </c>
      <c r="C4" s="7" t="inlineStr">
        <is>
          <t>CUSR0000SETA02_yoy_pct</t>
        </is>
      </c>
      <c r="D4" s="7" t="inlineStr">
        <is>
          <t>CUSR0000SETA02_fn</t>
        </is>
      </c>
      <c r="E4" s="7" t="inlineStr">
        <is>
          <t>CUUR0000SETA02</t>
        </is>
      </c>
      <c r="F4" s="7" t="inlineStr">
        <is>
          <t>CUUR0000SETA02_yoy_pct</t>
        </is>
      </c>
      <c r="G4" s="7" t="inlineStr">
        <is>
          <t>CUUR0000SETA02_fn</t>
        </is>
      </c>
      <c r="H4" s="7" t="inlineStr">
        <is>
          <t>CUSR0000SETD</t>
        </is>
      </c>
      <c r="I4" s="7" t="inlineStr">
        <is>
          <t>CUSR0000SETD_yoy_pct</t>
        </is>
      </c>
      <c r="J4" s="7" t="inlineStr">
        <is>
          <t>CUSR0000SETD_fn</t>
        </is>
      </c>
      <c r="K4" s="7" t="inlineStr">
        <is>
          <t>CUUR0000SETD</t>
        </is>
      </c>
      <c r="L4" s="7" t="inlineStr">
        <is>
          <t>CUUR0000SETD_yoy_pct</t>
        </is>
      </c>
      <c r="M4" s="7" t="inlineStr">
        <is>
          <t>CUUR0000SETD_fn</t>
        </is>
      </c>
      <c r="N4" s="7" t="inlineStr">
        <is>
          <t>CUSR0000SETE</t>
        </is>
      </c>
      <c r="O4" s="7" t="inlineStr">
        <is>
          <t>CUSR0000SETE_yoy_pct</t>
        </is>
      </c>
      <c r="P4" s="7" t="inlineStr">
        <is>
          <t>CUSR0000SETE_fn</t>
        </is>
      </c>
      <c r="Q4" s="7" t="inlineStr">
        <is>
          <t>CUUR0000SETE</t>
        </is>
      </c>
      <c r="R4" s="7" t="inlineStr">
        <is>
          <t>CUUR0000SETE_yoy_pct</t>
        </is>
      </c>
      <c r="S4" s="7" t="inlineStr">
        <is>
          <t>CUUR0000SETE_fn</t>
        </is>
      </c>
    </row>
    <row r="5">
      <c r="A5" s="50" t="inlineStr">
        <is>
          <t>1947-03</t>
        </is>
      </c>
      <c r="B5" s="50" t="n"/>
      <c r="C5" s="50" t="n"/>
      <c r="D5" s="50" t="n"/>
      <c r="E5" s="50" t="n"/>
      <c r="F5" s="50" t="n"/>
      <c r="G5" s="50" t="n"/>
      <c r="H5" s="50" t="n"/>
      <c r="I5" s="50" t="n"/>
      <c r="J5" s="50" t="n"/>
      <c r="K5" s="50" t="n">
        <v>17</v>
      </c>
      <c r="L5" s="50" t="n"/>
      <c r="M5" s="50" t="n"/>
      <c r="N5" s="50" t="n"/>
      <c r="O5" s="50" t="n"/>
      <c r="P5" s="50" t="n"/>
      <c r="Q5" s="50" t="n">
        <v>11.6</v>
      </c>
      <c r="R5" s="50" t="n"/>
      <c r="S5" s="50" t="n"/>
    </row>
    <row r="6">
      <c r="A6" s="50" t="inlineStr">
        <is>
          <t>1947-06</t>
        </is>
      </c>
      <c r="B6" s="50" t="n"/>
      <c r="C6" s="50" t="n"/>
      <c r="D6" s="50" t="n"/>
      <c r="E6" s="50" t="n"/>
      <c r="F6" s="50" t="n"/>
      <c r="G6" s="50" t="n"/>
      <c r="H6" s="50" t="n"/>
      <c r="I6" s="50" t="n"/>
      <c r="J6" s="50" t="n"/>
      <c r="K6" s="50" t="n">
        <v>17</v>
      </c>
      <c r="L6" s="50" t="n"/>
      <c r="M6" s="50" t="n"/>
      <c r="N6" s="50" t="n"/>
      <c r="O6" s="50" t="n"/>
      <c r="P6" s="50" t="n"/>
      <c r="Q6" s="50" t="n">
        <v>11.7</v>
      </c>
      <c r="R6" s="50" t="n"/>
      <c r="S6" s="50" t="n"/>
    </row>
    <row r="7">
      <c r="A7" s="50" t="inlineStr">
        <is>
          <t>1947-09</t>
        </is>
      </c>
      <c r="B7" s="50" t="n"/>
      <c r="C7" s="50" t="n"/>
      <c r="D7" s="50" t="n"/>
      <c r="E7" s="50" t="n"/>
      <c r="F7" s="50" t="n"/>
      <c r="G7" s="50" t="n"/>
      <c r="H7" s="50" t="n"/>
      <c r="I7" s="50" t="n"/>
      <c r="J7" s="50" t="n"/>
      <c r="K7" s="50" t="n">
        <v>17.2</v>
      </c>
      <c r="L7" s="50" t="n"/>
      <c r="M7" s="50" t="n"/>
      <c r="N7" s="50" t="n"/>
      <c r="O7" s="50" t="n"/>
      <c r="P7" s="50" t="n"/>
      <c r="Q7" s="50" t="n">
        <v>11.8</v>
      </c>
      <c r="R7" s="50" t="n"/>
      <c r="S7" s="50" t="n"/>
    </row>
    <row r="8">
      <c r="A8" s="50" t="inlineStr">
        <is>
          <t>1947-11</t>
        </is>
      </c>
      <c r="B8" s="50" t="n"/>
      <c r="C8" s="50" t="n"/>
      <c r="D8" s="50" t="n"/>
      <c r="E8" s="50" t="n"/>
      <c r="F8" s="50" t="n"/>
      <c r="G8" s="50" t="n"/>
      <c r="H8" s="50" t="n"/>
      <c r="I8" s="50" t="n"/>
      <c r="J8" s="50" t="n"/>
      <c r="K8" s="50" t="n">
        <v>17.5</v>
      </c>
      <c r="L8" s="50" t="n"/>
      <c r="M8" s="50" t="n"/>
      <c r="N8" s="50" t="n"/>
      <c r="O8" s="50" t="n"/>
      <c r="P8" s="50" t="n"/>
      <c r="Q8" s="50" t="n">
        <v>11.8</v>
      </c>
      <c r="R8" s="50" t="n"/>
      <c r="S8" s="50" t="n"/>
    </row>
    <row r="9">
      <c r="A9" s="50" t="inlineStr">
        <is>
          <t>1947-12</t>
        </is>
      </c>
      <c r="B9" s="50" t="n"/>
      <c r="C9" s="50" t="n"/>
      <c r="D9" s="50" t="n"/>
      <c r="E9" s="50" t="n"/>
      <c r="F9" s="50" t="n"/>
      <c r="G9" s="50" t="n"/>
      <c r="H9" s="50" t="n"/>
      <c r="I9" s="50" t="n"/>
      <c r="J9" s="50" t="n"/>
      <c r="K9" s="50" t="n">
        <v>17.5</v>
      </c>
      <c r="L9" s="50" t="n"/>
      <c r="M9" s="50" t="n"/>
      <c r="N9" s="50" t="n"/>
      <c r="O9" s="50" t="n"/>
      <c r="P9" s="50" t="n"/>
      <c r="Q9" s="50" t="n">
        <v>11.8</v>
      </c>
      <c r="R9" s="50" t="n"/>
      <c r="S9" s="50" t="n"/>
    </row>
    <row r="10">
      <c r="A10" s="50" t="inlineStr">
        <is>
          <t>1948-03</t>
        </is>
      </c>
      <c r="B10" s="50" t="n"/>
      <c r="C10" s="50" t="n"/>
      <c r="D10" s="50" t="n"/>
      <c r="E10" s="50" t="n"/>
      <c r="F10" s="50" t="n"/>
      <c r="G10" s="50" t="n"/>
      <c r="H10" s="50" t="n"/>
      <c r="I10" s="50" t="n"/>
      <c r="J10" s="50" t="n"/>
      <c r="K10" s="50" t="n">
        <v>17.7</v>
      </c>
      <c r="L10" s="50" t="n">
        <v>4.118</v>
      </c>
      <c r="M10" s="50" t="n"/>
      <c r="N10" s="50" t="n"/>
      <c r="O10" s="50" t="n"/>
      <c r="P10" s="50" t="n"/>
      <c r="Q10" s="50" t="n">
        <v>11.8</v>
      </c>
      <c r="R10" s="50" t="n">
        <v>1.724</v>
      </c>
      <c r="S10" s="50" t="n"/>
    </row>
    <row r="11">
      <c r="A11" s="50" t="inlineStr">
        <is>
          <t>1948-06</t>
        </is>
      </c>
      <c r="B11" s="50" t="n"/>
      <c r="C11" s="50" t="n"/>
      <c r="D11" s="50" t="n"/>
      <c r="E11" s="50" t="n"/>
      <c r="F11" s="50" t="n"/>
      <c r="G11" s="50" t="n"/>
      <c r="H11" s="50" t="n"/>
      <c r="I11" s="50" t="n"/>
      <c r="J11" s="50" t="n"/>
      <c r="K11" s="50" t="n">
        <v>18</v>
      </c>
      <c r="L11" s="50" t="n">
        <v>5.882</v>
      </c>
      <c r="M11" s="50" t="n"/>
      <c r="N11" s="50" t="n"/>
      <c r="O11" s="50" t="n"/>
      <c r="P11" s="50" t="n"/>
      <c r="Q11" s="50" t="n">
        <v>14</v>
      </c>
      <c r="R11" s="50" t="n">
        <v>19.658</v>
      </c>
      <c r="S11" s="50" t="n"/>
    </row>
    <row r="12">
      <c r="A12" s="50" t="inlineStr">
        <is>
          <t>1948-09</t>
        </is>
      </c>
      <c r="B12" s="50" t="n"/>
      <c r="C12" s="50" t="n"/>
      <c r="D12" s="50" t="n"/>
      <c r="E12" s="50" t="n"/>
      <c r="F12" s="50" t="n"/>
      <c r="G12" s="50" t="n"/>
      <c r="H12" s="50" t="n"/>
      <c r="I12" s="50" t="n"/>
      <c r="J12" s="50" t="n"/>
      <c r="K12" s="50" t="n">
        <v>18.5</v>
      </c>
      <c r="L12" s="50" t="n">
        <v>7.558</v>
      </c>
      <c r="M12" s="50" t="n"/>
      <c r="N12" s="50" t="n"/>
      <c r="O12" s="50" t="n"/>
      <c r="P12" s="50" t="n"/>
      <c r="Q12" s="50" t="n">
        <v>15.5</v>
      </c>
      <c r="R12" s="50" t="n">
        <v>31.356</v>
      </c>
      <c r="S12" s="50" t="n"/>
    </row>
    <row r="13">
      <c r="A13" s="50" t="inlineStr">
        <is>
          <t>1948-12</t>
        </is>
      </c>
      <c r="B13" s="50" t="n"/>
      <c r="C13" s="50" t="n"/>
      <c r="D13" s="50" t="n"/>
      <c r="E13" s="50" t="n"/>
      <c r="F13" s="50" t="n"/>
      <c r="G13" s="50" t="n"/>
      <c r="H13" s="50" t="n"/>
      <c r="I13" s="50" t="n"/>
      <c r="J13" s="50" t="n"/>
      <c r="K13" s="50" t="n">
        <v>18.6</v>
      </c>
      <c r="L13" s="50" t="n">
        <v>6.286</v>
      </c>
      <c r="M13" s="50" t="n"/>
      <c r="N13" s="50" t="n"/>
      <c r="O13" s="50" t="n"/>
      <c r="P13" s="50" t="n"/>
      <c r="Q13" s="50" t="n">
        <v>15.6</v>
      </c>
      <c r="R13" s="50" t="n">
        <v>32.203</v>
      </c>
      <c r="S13" s="50" t="n"/>
    </row>
    <row r="14">
      <c r="A14" s="50" t="inlineStr">
        <is>
          <t>1949-03</t>
        </is>
      </c>
      <c r="B14" s="50" t="n"/>
      <c r="C14" s="50" t="n"/>
      <c r="D14" s="50" t="n"/>
      <c r="E14" s="50" t="n"/>
      <c r="F14" s="50" t="n"/>
      <c r="G14" s="50" t="n"/>
      <c r="H14" s="50" t="n"/>
      <c r="I14" s="50" t="n"/>
      <c r="J14" s="50" t="n"/>
      <c r="K14" s="50" t="n">
        <v>18.5</v>
      </c>
      <c r="L14" s="50" t="n">
        <v>4.52</v>
      </c>
      <c r="M14" s="50" t="n"/>
      <c r="N14" s="50" t="n"/>
      <c r="O14" s="50" t="n"/>
      <c r="P14" s="50" t="n"/>
      <c r="Q14" s="50" t="n">
        <v>15.6</v>
      </c>
      <c r="R14" s="50" t="n">
        <v>32.203</v>
      </c>
      <c r="S14" s="50" t="n"/>
    </row>
    <row r="15">
      <c r="A15" s="50" t="inlineStr">
        <is>
          <t>1949-06</t>
        </is>
      </c>
      <c r="B15" s="50" t="n"/>
      <c r="C15" s="50" t="n"/>
      <c r="D15" s="50" t="n"/>
      <c r="E15" s="50" t="n"/>
      <c r="F15" s="50" t="n"/>
      <c r="G15" s="50" t="n"/>
      <c r="H15" s="50" t="n"/>
      <c r="I15" s="50" t="n"/>
      <c r="J15" s="50" t="n"/>
      <c r="K15" s="50" t="n">
        <v>18.5</v>
      </c>
      <c r="L15" s="50" t="n">
        <v>2.778</v>
      </c>
      <c r="M15" s="50" t="n"/>
      <c r="N15" s="50" t="n"/>
      <c r="O15" s="50" t="n"/>
      <c r="P15" s="50" t="n"/>
      <c r="Q15" s="50" t="n">
        <v>15.8</v>
      </c>
      <c r="R15" s="50" t="n">
        <v>12.857</v>
      </c>
      <c r="S15" s="50" t="n"/>
    </row>
    <row r="16">
      <c r="A16" s="50" t="inlineStr">
        <is>
          <t>1949-09</t>
        </is>
      </c>
      <c r="B16" s="50" t="n"/>
      <c r="C16" s="50" t="n"/>
      <c r="D16" s="50" t="n"/>
      <c r="E16" s="50" t="n"/>
      <c r="F16" s="50" t="n"/>
      <c r="G16" s="50" t="n"/>
      <c r="H16" s="50" t="n"/>
      <c r="I16" s="50" t="n"/>
      <c r="J16" s="50" t="n"/>
      <c r="K16" s="50" t="n">
        <v>18.6</v>
      </c>
      <c r="L16" s="50" t="n">
        <v>0.541</v>
      </c>
      <c r="M16" s="50" t="n"/>
      <c r="N16" s="50" t="n"/>
      <c r="O16" s="50" t="n"/>
      <c r="P16" s="50" t="n"/>
      <c r="Q16" s="50" t="n">
        <v>15.8</v>
      </c>
      <c r="R16" s="50" t="n">
        <v>1.935</v>
      </c>
      <c r="S16" s="50" t="n"/>
    </row>
    <row r="17">
      <c r="A17" s="50" t="inlineStr">
        <is>
          <t>1949-12</t>
        </is>
      </c>
      <c r="B17" s="50" t="n"/>
      <c r="C17" s="50" t="n"/>
      <c r="D17" s="50" t="n"/>
      <c r="E17" s="50" t="n"/>
      <c r="F17" s="50" t="n"/>
      <c r="G17" s="50" t="n"/>
      <c r="H17" s="50" t="n"/>
      <c r="I17" s="50" t="n"/>
      <c r="J17" s="50" t="n"/>
      <c r="K17" s="50" t="n">
        <v>18.6</v>
      </c>
      <c r="L17" s="50" t="n">
        <v>0</v>
      </c>
      <c r="M17" s="50" t="n"/>
      <c r="N17" s="50" t="n"/>
      <c r="O17" s="50" t="n"/>
      <c r="P17" s="50" t="n"/>
      <c r="Q17" s="50" t="n">
        <v>15.8</v>
      </c>
      <c r="R17" s="50" t="n">
        <v>1.282</v>
      </c>
      <c r="S17" s="50" t="n"/>
    </row>
    <row r="18">
      <c r="A18" s="50" t="inlineStr">
        <is>
          <t>1950-03</t>
        </is>
      </c>
      <c r="B18" s="50" t="n"/>
      <c r="C18" s="50" t="n"/>
      <c r="D18" s="50" t="n"/>
      <c r="E18" s="50" t="n"/>
      <c r="F18" s="50" t="n"/>
      <c r="G18" s="50" t="n"/>
      <c r="H18" s="50" t="n"/>
      <c r="I18" s="50" t="n"/>
      <c r="J18" s="50" t="n"/>
      <c r="K18" s="50" t="n">
        <v>18.5</v>
      </c>
      <c r="L18" s="50" t="n">
        <v>0</v>
      </c>
      <c r="M18" s="50" t="n"/>
      <c r="N18" s="50" t="n"/>
      <c r="O18" s="50" t="n"/>
      <c r="P18" s="50" t="n"/>
      <c r="Q18" s="50" t="n">
        <v>15.8</v>
      </c>
      <c r="R18" s="50" t="n">
        <v>1.282</v>
      </c>
      <c r="S18" s="50" t="n"/>
    </row>
    <row r="19">
      <c r="A19" s="50" t="inlineStr">
        <is>
          <t>1950-06</t>
        </is>
      </c>
      <c r="B19" s="50" t="n"/>
      <c r="C19" s="50" t="n"/>
      <c r="D19" s="50" t="n"/>
      <c r="E19" s="50" t="n"/>
      <c r="F19" s="50" t="n"/>
      <c r="G19" s="50" t="n"/>
      <c r="H19" s="50" t="n"/>
      <c r="I19" s="50" t="n"/>
      <c r="J19" s="50" t="n"/>
      <c r="K19" s="50" t="n">
        <v>18.4</v>
      </c>
      <c r="L19" s="50" t="n">
        <v>-0.541</v>
      </c>
      <c r="M19" s="50" t="n"/>
      <c r="N19" s="50" t="n"/>
      <c r="O19" s="50" t="n"/>
      <c r="P19" s="50" t="n"/>
      <c r="Q19" s="50" t="n">
        <v>14.4</v>
      </c>
      <c r="R19" s="50" t="n">
        <v>-8.861000000000001</v>
      </c>
      <c r="S19" s="50" t="n"/>
    </row>
    <row r="20">
      <c r="A20" s="50" t="inlineStr">
        <is>
          <t>1950-09</t>
        </is>
      </c>
      <c r="B20" s="50" t="n"/>
      <c r="C20" s="50" t="n"/>
      <c r="D20" s="50" t="n"/>
      <c r="E20" s="50" t="n"/>
      <c r="F20" s="50" t="n"/>
      <c r="G20" s="50" t="n"/>
      <c r="H20" s="50" t="n"/>
      <c r="I20" s="50" t="n"/>
      <c r="J20" s="50" t="n"/>
      <c r="K20" s="50" t="n">
        <v>19.6</v>
      </c>
      <c r="L20" s="50" t="n">
        <v>5.376</v>
      </c>
      <c r="M20" s="50" t="n"/>
      <c r="N20" s="50" t="n"/>
      <c r="O20" s="50" t="n"/>
      <c r="P20" s="50" t="n"/>
      <c r="Q20" s="50" t="n">
        <v>14.1</v>
      </c>
      <c r="R20" s="50" t="n">
        <v>-10.759</v>
      </c>
      <c r="S20" s="50" t="n"/>
    </row>
    <row r="21">
      <c r="A21" s="50" t="inlineStr">
        <is>
          <t>1950-12</t>
        </is>
      </c>
      <c r="B21" s="50" t="n"/>
      <c r="C21" s="50" t="n"/>
      <c r="D21" s="50" t="n"/>
      <c r="E21" s="50" t="n"/>
      <c r="F21" s="50" t="n"/>
      <c r="G21" s="50" t="n"/>
      <c r="H21" s="50" t="n"/>
      <c r="I21" s="50" t="n"/>
      <c r="J21" s="50" t="n"/>
      <c r="K21" s="50" t="n">
        <v>19.5</v>
      </c>
      <c r="L21" s="50" t="n">
        <v>4.839</v>
      </c>
      <c r="M21" s="50" t="n"/>
      <c r="N21" s="50" t="n"/>
      <c r="O21" s="50" t="n"/>
      <c r="P21" s="50" t="n"/>
      <c r="Q21" s="50" t="n">
        <v>14.1</v>
      </c>
      <c r="R21" s="50" t="n">
        <v>-10.759</v>
      </c>
      <c r="S21" s="50" t="n"/>
    </row>
    <row r="22">
      <c r="A22" s="50" t="inlineStr">
        <is>
          <t>1951-03</t>
        </is>
      </c>
      <c r="B22" s="50" t="n"/>
      <c r="C22" s="50" t="n"/>
      <c r="D22" s="50" t="n"/>
      <c r="E22" s="50" t="n"/>
      <c r="F22" s="50" t="n"/>
      <c r="G22" s="50" t="n"/>
      <c r="H22" s="50" t="n"/>
      <c r="I22" s="50" t="n"/>
      <c r="J22" s="50" t="n"/>
      <c r="K22" s="50" t="n">
        <v>20.3</v>
      </c>
      <c r="L22" s="50" t="n">
        <v>9.73</v>
      </c>
      <c r="M22" s="50" t="n"/>
      <c r="N22" s="50" t="n"/>
      <c r="O22" s="50" t="n"/>
      <c r="P22" s="50" t="n"/>
      <c r="Q22" s="50" t="n">
        <v>14.1</v>
      </c>
      <c r="R22" s="50" t="n">
        <v>-10.759</v>
      </c>
      <c r="S22" s="50" t="n"/>
    </row>
    <row r="23">
      <c r="A23" s="50" t="inlineStr">
        <is>
          <t>1951-06</t>
        </is>
      </c>
      <c r="B23" s="50" t="n"/>
      <c r="C23" s="50" t="n"/>
      <c r="D23" s="50" t="n"/>
      <c r="E23" s="50" t="n"/>
      <c r="F23" s="50" t="n"/>
      <c r="G23" s="50" t="n"/>
      <c r="H23" s="50" t="n"/>
      <c r="I23" s="50" t="n"/>
      <c r="J23" s="50" t="n"/>
      <c r="K23" s="50" t="n">
        <v>20.4</v>
      </c>
      <c r="L23" s="50" t="n">
        <v>10.87</v>
      </c>
      <c r="M23" s="50" t="n"/>
      <c r="N23" s="50" t="n"/>
      <c r="O23" s="50" t="n"/>
      <c r="P23" s="50" t="n"/>
      <c r="Q23" s="50" t="n">
        <v>14.4</v>
      </c>
      <c r="R23" s="50" t="n">
        <v>0</v>
      </c>
      <c r="S23" s="50" t="n"/>
    </row>
    <row r="24">
      <c r="A24" s="50" t="inlineStr">
        <is>
          <t>1951-09</t>
        </is>
      </c>
      <c r="B24" s="50" t="n"/>
      <c r="C24" s="50" t="n"/>
      <c r="D24" s="50" t="n"/>
      <c r="E24" s="50" t="n"/>
      <c r="F24" s="50" t="n"/>
      <c r="G24" s="50" t="n"/>
      <c r="H24" s="50" t="n"/>
      <c r="I24" s="50" t="n"/>
      <c r="J24" s="50" t="n"/>
      <c r="K24" s="50" t="n">
        <v>20.6</v>
      </c>
      <c r="L24" s="50" t="n">
        <v>5.102</v>
      </c>
      <c r="M24" s="50" t="n"/>
      <c r="N24" s="50" t="n"/>
      <c r="O24" s="50" t="n"/>
      <c r="P24" s="50" t="n"/>
      <c r="Q24" s="50" t="n">
        <v>16.3</v>
      </c>
      <c r="R24" s="50" t="n">
        <v>15.603</v>
      </c>
      <c r="S24" s="50" t="n"/>
    </row>
    <row r="25">
      <c r="A25" s="50" t="inlineStr">
        <is>
          <t>1951-12</t>
        </is>
      </c>
      <c r="B25" s="50" t="n"/>
      <c r="C25" s="50" t="n"/>
      <c r="D25" s="50" t="n"/>
      <c r="E25" s="50" t="n"/>
      <c r="F25" s="50" t="n"/>
      <c r="G25" s="50" t="n"/>
      <c r="H25" s="50" t="n"/>
      <c r="I25" s="50" t="n"/>
      <c r="J25" s="50" t="n"/>
      <c r="K25" s="50" t="n">
        <v>20.5</v>
      </c>
      <c r="L25" s="50" t="n">
        <v>5.128</v>
      </c>
      <c r="M25" s="50" t="n"/>
      <c r="N25" s="50" t="n"/>
      <c r="O25" s="50" t="n"/>
      <c r="P25" s="50" t="n"/>
      <c r="Q25" s="50" t="n">
        <v>16.7</v>
      </c>
      <c r="R25" s="50" t="n">
        <v>18.44</v>
      </c>
      <c r="S25" s="50" t="n"/>
    </row>
    <row r="26">
      <c r="A26" s="50" t="inlineStr">
        <is>
          <t>1952-03</t>
        </is>
      </c>
      <c r="B26" s="50" t="n"/>
      <c r="C26" s="50" t="n"/>
      <c r="D26" s="50" t="n"/>
      <c r="E26" s="50" t="n"/>
      <c r="F26" s="50" t="n"/>
      <c r="G26" s="50" t="n"/>
      <c r="H26" s="50" t="n"/>
      <c r="I26" s="50" t="n"/>
      <c r="J26" s="50" t="n"/>
      <c r="K26" s="50" t="n">
        <v>20.6</v>
      </c>
      <c r="L26" s="50" t="n">
        <v>1.478</v>
      </c>
      <c r="M26" s="50" t="n"/>
      <c r="N26" s="50" t="n"/>
      <c r="O26" s="50" t="n"/>
      <c r="P26" s="50" t="n"/>
      <c r="Q26" s="50" t="n">
        <v>16.7</v>
      </c>
      <c r="R26" s="50" t="n">
        <v>18.44</v>
      </c>
      <c r="S26" s="50" t="n"/>
    </row>
    <row r="27">
      <c r="A27" s="50" t="inlineStr">
        <is>
          <t>1952-06</t>
        </is>
      </c>
      <c r="B27" s="50" t="n"/>
      <c r="C27" s="50" t="n"/>
      <c r="D27" s="50" t="n"/>
      <c r="E27" s="50" t="n"/>
      <c r="F27" s="50" t="n"/>
      <c r="G27" s="50" t="n"/>
      <c r="H27" s="50" t="n"/>
      <c r="I27" s="50" t="n"/>
      <c r="J27" s="50" t="n"/>
      <c r="K27" s="50" t="n">
        <v>21</v>
      </c>
      <c r="L27" s="50" t="n">
        <v>2.941</v>
      </c>
      <c r="M27" s="50" t="n"/>
      <c r="N27" s="50" t="n"/>
      <c r="O27" s="50" t="n"/>
      <c r="P27" s="50" t="n"/>
      <c r="Q27" s="50" t="n">
        <v>16.7</v>
      </c>
      <c r="R27" s="50" t="n">
        <v>15.972</v>
      </c>
      <c r="S27" s="50" t="n"/>
    </row>
    <row r="28">
      <c r="A28" s="50" t="inlineStr">
        <is>
          <t>1952-09</t>
        </is>
      </c>
      <c r="B28" s="50" t="n"/>
      <c r="C28" s="50" t="n"/>
      <c r="D28" s="50" t="n"/>
      <c r="E28" s="50" t="n"/>
      <c r="F28" s="50" t="n"/>
      <c r="G28" s="50" t="n"/>
      <c r="H28" s="50" t="n"/>
      <c r="I28" s="50" t="n"/>
      <c r="J28" s="50" t="n"/>
      <c r="K28" s="50" t="n">
        <v>21</v>
      </c>
      <c r="L28" s="50" t="n">
        <v>1.942</v>
      </c>
      <c r="M28" s="50" t="n"/>
      <c r="N28" s="50" t="n"/>
      <c r="O28" s="50" t="n"/>
      <c r="P28" s="50" t="n"/>
      <c r="Q28" s="50" t="n">
        <v>19.9</v>
      </c>
      <c r="R28" s="50" t="n">
        <v>22.086</v>
      </c>
      <c r="S28" s="50" t="n"/>
    </row>
    <row r="29">
      <c r="A29" s="50" t="inlineStr">
        <is>
          <t>1952-12</t>
        </is>
      </c>
      <c r="B29" s="50" t="n"/>
      <c r="C29" s="50" t="n"/>
      <c r="D29" s="50" t="n"/>
      <c r="E29" s="50" t="n">
        <v>28.4</v>
      </c>
      <c r="F29" s="50" t="n"/>
      <c r="G29" s="50" t="n"/>
      <c r="H29" s="50" t="n"/>
      <c r="I29" s="50" t="n"/>
      <c r="J29" s="50" t="n"/>
      <c r="K29" s="50" t="n">
        <v>21.1</v>
      </c>
      <c r="L29" s="50" t="n">
        <v>2.927</v>
      </c>
      <c r="M29" s="50" t="n"/>
      <c r="N29" s="50" t="n"/>
      <c r="O29" s="50" t="n"/>
      <c r="P29" s="50" t="n"/>
      <c r="Q29" s="50" t="n">
        <v>20.3</v>
      </c>
      <c r="R29" s="50" t="n">
        <v>21.557</v>
      </c>
      <c r="S29" s="50" t="n"/>
    </row>
    <row r="30">
      <c r="A30" s="50" t="inlineStr">
        <is>
          <t>1953-01</t>
        </is>
      </c>
      <c r="B30" s="50" t="n">
        <v>28.7</v>
      </c>
      <c r="C30" s="50" t="n"/>
      <c r="D30" s="50" t="n"/>
      <c r="E30" s="50" t="n">
        <v>28.6</v>
      </c>
      <c r="F30" s="50" t="n"/>
      <c r="G30" s="50" t="n"/>
      <c r="H30" s="50" t="n"/>
      <c r="I30" s="50" t="n"/>
      <c r="J30" s="50" t="n"/>
      <c r="K30" s="50" t="n"/>
      <c r="L30" s="50" t="n"/>
      <c r="M30" s="50" t="n"/>
      <c r="N30" s="50" t="n"/>
      <c r="O30" s="50" t="n"/>
      <c r="P30" s="50" t="n"/>
      <c r="Q30" s="50" t="n"/>
      <c r="R30" s="50" t="n"/>
      <c r="S30" s="50" t="n"/>
    </row>
    <row r="31">
      <c r="A31" s="50" t="inlineStr">
        <is>
          <t>1953-02</t>
        </is>
      </c>
      <c r="B31" s="50" t="n">
        <v>28.7</v>
      </c>
      <c r="C31" s="50" t="n"/>
      <c r="D31" s="50" t="n"/>
      <c r="E31" s="50" t="n">
        <v>28.2</v>
      </c>
      <c r="F31" s="50" t="n"/>
      <c r="G31" s="50" t="n"/>
      <c r="H31" s="50" t="n"/>
      <c r="I31" s="50" t="n"/>
      <c r="J31" s="50" t="n"/>
      <c r="K31" s="50" t="n"/>
      <c r="L31" s="50" t="n"/>
      <c r="M31" s="50" t="n"/>
      <c r="N31" s="50" t="n"/>
      <c r="O31" s="50" t="n"/>
      <c r="P31" s="50" t="n"/>
      <c r="Q31" s="50" t="n"/>
      <c r="R31" s="50" t="n"/>
      <c r="S31" s="50" t="n"/>
    </row>
    <row r="32">
      <c r="A32" s="50" t="inlineStr">
        <is>
          <t>1953-03</t>
        </is>
      </c>
      <c r="B32" s="50" t="n">
        <v>28.4</v>
      </c>
      <c r="C32" s="50" t="n"/>
      <c r="D32" s="50" t="n"/>
      <c r="E32" s="50" t="n">
        <v>27.8</v>
      </c>
      <c r="F32" s="50" t="n"/>
      <c r="G32" s="50" t="n"/>
      <c r="H32" s="50" t="n"/>
      <c r="I32" s="50" t="n"/>
      <c r="J32" s="50" t="n"/>
      <c r="K32" s="50" t="n">
        <v>21.7</v>
      </c>
      <c r="L32" s="50" t="n">
        <v>5.34</v>
      </c>
      <c r="M32" s="50" t="n"/>
      <c r="N32" s="50" t="n"/>
      <c r="O32" s="50" t="n"/>
      <c r="P32" s="50" t="n"/>
      <c r="Q32" s="50" t="n">
        <v>20.5</v>
      </c>
      <c r="R32" s="50" t="n">
        <v>22.754</v>
      </c>
      <c r="S32" s="50" t="n"/>
    </row>
    <row r="33">
      <c r="A33" s="50" t="inlineStr">
        <is>
          <t>1953-04</t>
        </is>
      </c>
      <c r="B33" s="50" t="n">
        <v>28.3</v>
      </c>
      <c r="C33" s="50" t="n"/>
      <c r="D33" s="50" t="n"/>
      <c r="E33" s="50" t="n">
        <v>27.7</v>
      </c>
      <c r="F33" s="50" t="n"/>
      <c r="G33" s="50" t="n"/>
      <c r="H33" s="50" t="n"/>
      <c r="I33" s="50" t="n"/>
      <c r="J33" s="50" t="n"/>
      <c r="K33" s="50" t="n"/>
      <c r="L33" s="50" t="n"/>
      <c r="M33" s="50" t="n"/>
      <c r="N33" s="50" t="n"/>
      <c r="O33" s="50" t="n"/>
      <c r="P33" s="50" t="n"/>
      <c r="Q33" s="50" t="n"/>
      <c r="R33" s="50" t="n"/>
      <c r="S33" s="50" t="n"/>
    </row>
    <row r="34">
      <c r="A34" s="50" t="inlineStr">
        <is>
          <t>1953-05</t>
        </is>
      </c>
      <c r="B34" s="50" t="n">
        <v>27.5</v>
      </c>
      <c r="C34" s="50" t="n"/>
      <c r="D34" s="50" t="n"/>
      <c r="E34" s="50" t="n">
        <v>27.2</v>
      </c>
      <c r="F34" s="50" t="n"/>
      <c r="G34" s="50" t="n"/>
      <c r="H34" s="50" t="n"/>
      <c r="I34" s="50" t="n"/>
      <c r="J34" s="50" t="n"/>
      <c r="K34" s="50" t="n"/>
      <c r="L34" s="50" t="n"/>
      <c r="M34" s="50" t="n"/>
      <c r="N34" s="50" t="n"/>
      <c r="O34" s="50" t="n"/>
      <c r="P34" s="50" t="n"/>
      <c r="Q34" s="50" t="n"/>
      <c r="R34" s="50" t="n"/>
      <c r="S34" s="50" t="n"/>
    </row>
    <row r="35">
      <c r="A35" s="50" t="inlineStr">
        <is>
          <t>1953-06</t>
        </is>
      </c>
      <c r="B35" s="50" t="n">
        <v>26.9</v>
      </c>
      <c r="C35" s="50" t="n"/>
      <c r="D35" s="50" t="n"/>
      <c r="E35" s="50" t="n">
        <v>26.8</v>
      </c>
      <c r="F35" s="50" t="n"/>
      <c r="G35" s="50" t="n"/>
      <c r="H35" s="50" t="n"/>
      <c r="I35" s="50" t="n"/>
      <c r="J35" s="50" t="n"/>
      <c r="K35" s="50" t="n">
        <v>22</v>
      </c>
      <c r="L35" s="50" t="n">
        <v>4.762</v>
      </c>
      <c r="M35" s="50" t="n"/>
      <c r="N35" s="50" t="n"/>
      <c r="O35" s="50" t="n"/>
      <c r="P35" s="50" t="n"/>
      <c r="Q35" s="50" t="n">
        <v>20.6</v>
      </c>
      <c r="R35" s="50" t="n">
        <v>23.353</v>
      </c>
      <c r="S35" s="50" t="n"/>
    </row>
    <row r="36">
      <c r="A36" s="50" t="inlineStr">
        <is>
          <t>1953-07</t>
        </is>
      </c>
      <c r="B36" s="50" t="n">
        <v>26.5</v>
      </c>
      <c r="C36" s="50" t="n"/>
      <c r="D36" s="50" t="n"/>
      <c r="E36" s="50" t="n">
        <v>26.6</v>
      </c>
      <c r="F36" s="50" t="n"/>
      <c r="G36" s="50" t="n"/>
      <c r="H36" s="50" t="n"/>
      <c r="I36" s="50" t="n"/>
      <c r="J36" s="50" t="n"/>
      <c r="K36" s="50" t="n"/>
      <c r="L36" s="50" t="n"/>
      <c r="M36" s="50" t="n"/>
      <c r="N36" s="50" t="n"/>
      <c r="O36" s="50" t="n"/>
      <c r="P36" s="50" t="n"/>
      <c r="Q36" s="50" t="n"/>
      <c r="R36" s="50" t="n"/>
      <c r="S36" s="50" t="n"/>
    </row>
    <row r="37">
      <c r="A37" s="50" t="inlineStr">
        <is>
          <t>1953-08</t>
        </is>
      </c>
      <c r="B37" s="50" t="n">
        <v>26</v>
      </c>
      <c r="C37" s="50" t="n"/>
      <c r="D37" s="50" t="n"/>
      <c r="E37" s="50" t="n">
        <v>26.4</v>
      </c>
      <c r="F37" s="50" t="n"/>
      <c r="G37" s="50" t="n"/>
      <c r="H37" s="50" t="n"/>
      <c r="I37" s="50" t="n"/>
      <c r="J37" s="50" t="n"/>
      <c r="K37" s="50" t="n"/>
      <c r="L37" s="50" t="n"/>
      <c r="M37" s="50" t="n"/>
      <c r="N37" s="50" t="n"/>
      <c r="O37" s="50" t="n"/>
      <c r="P37" s="50" t="n"/>
      <c r="Q37" s="50" t="n"/>
      <c r="R37" s="50" t="n"/>
      <c r="S37" s="50" t="n"/>
    </row>
    <row r="38">
      <c r="A38" s="50" t="inlineStr">
        <is>
          <t>1953-09</t>
        </is>
      </c>
      <c r="B38" s="50" t="n">
        <v>25.5</v>
      </c>
      <c r="C38" s="50" t="n"/>
      <c r="D38" s="50" t="n"/>
      <c r="E38" s="50" t="n">
        <v>26</v>
      </c>
      <c r="F38" s="50" t="n"/>
      <c r="G38" s="50" t="n"/>
      <c r="H38" s="50" t="n"/>
      <c r="I38" s="50" t="n"/>
      <c r="J38" s="50" t="n"/>
      <c r="K38" s="50" t="n">
        <v>22.2</v>
      </c>
      <c r="L38" s="50" t="n">
        <v>5.714</v>
      </c>
      <c r="M38" s="50" t="n"/>
      <c r="N38" s="50" t="n"/>
      <c r="O38" s="50" t="n"/>
      <c r="P38" s="50" t="n"/>
      <c r="Q38" s="50" t="n">
        <v>20.6</v>
      </c>
      <c r="R38" s="50" t="n">
        <v>3.518</v>
      </c>
      <c r="S38" s="50" t="n"/>
    </row>
    <row r="39">
      <c r="A39" s="50" t="inlineStr">
        <is>
          <t>1953-10</t>
        </is>
      </c>
      <c r="B39" s="50" t="n">
        <v>25.2</v>
      </c>
      <c r="C39" s="50" t="n"/>
      <c r="D39" s="50" t="n"/>
      <c r="E39" s="50" t="n">
        <v>25.7</v>
      </c>
      <c r="F39" s="50" t="n"/>
      <c r="G39" s="50" t="n"/>
      <c r="H39" s="50" t="n"/>
      <c r="I39" s="50" t="n"/>
      <c r="J39" s="50" t="n"/>
      <c r="K39" s="50" t="n"/>
      <c r="L39" s="50" t="n"/>
      <c r="M39" s="50" t="n"/>
      <c r="N39" s="50" t="n"/>
      <c r="O39" s="50" t="n"/>
      <c r="P39" s="50" t="n"/>
      <c r="Q39" s="50" t="n"/>
      <c r="R39" s="50" t="n"/>
      <c r="S39" s="50" t="n"/>
    </row>
    <row r="40">
      <c r="A40" s="50" t="inlineStr">
        <is>
          <t>1953-11</t>
        </is>
      </c>
      <c r="B40" s="50" t="n">
        <v>24.8</v>
      </c>
      <c r="C40" s="50" t="n"/>
      <c r="D40" s="50" t="n"/>
      <c r="E40" s="50" t="n">
        <v>25.1</v>
      </c>
      <c r="F40" s="50" t="n"/>
      <c r="G40" s="50" t="n"/>
      <c r="H40" s="50" t="n"/>
      <c r="I40" s="50" t="n"/>
      <c r="J40" s="50" t="n"/>
      <c r="K40" s="50" t="n"/>
      <c r="L40" s="50" t="n"/>
      <c r="M40" s="50" t="n"/>
      <c r="N40" s="50" t="n"/>
      <c r="O40" s="50" t="n"/>
      <c r="P40" s="50" t="n"/>
      <c r="Q40" s="50" t="n"/>
      <c r="R40" s="50" t="n"/>
      <c r="S40" s="50" t="n"/>
    </row>
    <row r="41">
      <c r="A41" s="50" t="inlineStr">
        <is>
          <t>1953-12</t>
        </is>
      </c>
      <c r="B41" s="50" t="n">
        <v>24.7</v>
      </c>
      <c r="C41" s="50" t="n"/>
      <c r="D41" s="50" t="n"/>
      <c r="E41" s="50" t="n">
        <v>24.7</v>
      </c>
      <c r="F41" s="50" t="n">
        <v>-13.028</v>
      </c>
      <c r="G41" s="50" t="n"/>
      <c r="H41" s="50" t="n"/>
      <c r="I41" s="50" t="n"/>
      <c r="J41" s="50" t="n"/>
      <c r="K41" s="50" t="n">
        <v>22.4</v>
      </c>
      <c r="L41" s="50" t="n">
        <v>6.161</v>
      </c>
      <c r="M41" s="50" t="n"/>
      <c r="N41" s="50" t="n"/>
      <c r="O41" s="50" t="n"/>
      <c r="P41" s="50" t="n"/>
      <c r="Q41" s="50" t="n">
        <v>20.5</v>
      </c>
      <c r="R41" s="50" t="n">
        <v>0.985</v>
      </c>
      <c r="S41" s="50" t="n"/>
    </row>
    <row r="42">
      <c r="A42" s="50" t="inlineStr">
        <is>
          <t>1954-01</t>
        </is>
      </c>
      <c r="B42" s="50" t="n">
        <v>24.2</v>
      </c>
      <c r="C42" s="50" t="n">
        <v>-15.679</v>
      </c>
      <c r="D42" s="50" t="n"/>
      <c r="E42" s="50" t="n">
        <v>24.1</v>
      </c>
      <c r="F42" s="50" t="n">
        <v>-15.734</v>
      </c>
      <c r="G42" s="50" t="n"/>
      <c r="H42" s="50" t="n"/>
      <c r="I42" s="50" t="n"/>
      <c r="J42" s="50" t="n"/>
      <c r="K42" s="50" t="n"/>
      <c r="L42" s="50" t="n"/>
      <c r="M42" s="50" t="n"/>
      <c r="N42" s="50" t="n"/>
      <c r="O42" s="50" t="n"/>
      <c r="P42" s="50" t="n"/>
      <c r="Q42" s="50" t="n"/>
      <c r="R42" s="50" t="n"/>
      <c r="S42" s="50" t="n"/>
    </row>
    <row r="43">
      <c r="A43" s="50" t="inlineStr">
        <is>
          <t>1954-02</t>
        </is>
      </c>
      <c r="B43" s="50" t="n">
        <v>23.5</v>
      </c>
      <c r="C43" s="50" t="n">
        <v>-18.118</v>
      </c>
      <c r="D43" s="50" t="n"/>
      <c r="E43" s="50" t="n">
        <v>23.1</v>
      </c>
      <c r="F43" s="50" t="n">
        <v>-18.085</v>
      </c>
      <c r="G43" s="50" t="n"/>
      <c r="H43" s="50" t="n"/>
      <c r="I43" s="50" t="n"/>
      <c r="J43" s="50" t="n"/>
      <c r="K43" s="50" t="n"/>
      <c r="L43" s="50" t="n"/>
      <c r="M43" s="50" t="n"/>
      <c r="N43" s="50" t="n"/>
      <c r="O43" s="50" t="n"/>
      <c r="P43" s="50" t="n"/>
      <c r="Q43" s="50" t="n"/>
      <c r="R43" s="50" t="n"/>
      <c r="S43" s="50" t="n"/>
    </row>
    <row r="44">
      <c r="A44" s="50" t="inlineStr">
        <is>
          <t>1954-03</t>
        </is>
      </c>
      <c r="B44" s="50" t="n">
        <v>23.1</v>
      </c>
      <c r="C44" s="50" t="n">
        <v>-18.662</v>
      </c>
      <c r="D44" s="50" t="n"/>
      <c r="E44" s="50" t="n">
        <v>22.7</v>
      </c>
      <c r="F44" s="50" t="n">
        <v>-18.345</v>
      </c>
      <c r="G44" s="50" t="n"/>
      <c r="H44" s="50" t="n"/>
      <c r="I44" s="50" t="n"/>
      <c r="J44" s="50" t="n"/>
      <c r="K44" s="50" t="n">
        <v>22.7</v>
      </c>
      <c r="L44" s="50" t="n">
        <v>4.608</v>
      </c>
      <c r="M44" s="50" t="n"/>
      <c r="N44" s="50" t="n"/>
      <c r="O44" s="50" t="n"/>
      <c r="P44" s="50" t="n"/>
      <c r="Q44" s="50" t="n">
        <v>20.4</v>
      </c>
      <c r="R44" s="50" t="n">
        <v>-0.488</v>
      </c>
      <c r="S44" s="50" t="n"/>
    </row>
    <row r="45">
      <c r="A45" s="50" t="inlineStr">
        <is>
          <t>1954-04</t>
        </is>
      </c>
      <c r="B45" s="50" t="n">
        <v>22.9</v>
      </c>
      <c r="C45" s="50" t="n">
        <v>-19.081</v>
      </c>
      <c r="D45" s="50" t="n"/>
      <c r="E45" s="50" t="n">
        <v>22.5</v>
      </c>
      <c r="F45" s="50" t="n">
        <v>-18.773</v>
      </c>
      <c r="G45" s="50" t="n"/>
      <c r="H45" s="50" t="n"/>
      <c r="I45" s="50" t="n"/>
      <c r="J45" s="50" t="n"/>
      <c r="K45" s="50" t="n"/>
      <c r="L45" s="50" t="n"/>
      <c r="M45" s="50" t="n"/>
      <c r="N45" s="50" t="n"/>
      <c r="O45" s="50" t="n"/>
      <c r="P45" s="50" t="n"/>
      <c r="Q45" s="50" t="n"/>
      <c r="R45" s="50" t="n"/>
      <c r="S45" s="50" t="n"/>
    </row>
    <row r="46">
      <c r="A46" s="50" t="inlineStr">
        <is>
          <t>1954-05</t>
        </is>
      </c>
      <c r="B46" s="50" t="n">
        <v>22.7</v>
      </c>
      <c r="C46" s="50" t="n">
        <v>-17.455</v>
      </c>
      <c r="D46" s="50" t="n"/>
      <c r="E46" s="50" t="n">
        <v>22.5</v>
      </c>
      <c r="F46" s="50" t="n">
        <v>-17.279</v>
      </c>
      <c r="G46" s="50" t="n"/>
      <c r="H46" s="50" t="n"/>
      <c r="I46" s="50" t="n"/>
      <c r="J46" s="50" t="n"/>
      <c r="K46" s="50" t="n"/>
      <c r="L46" s="50" t="n"/>
      <c r="M46" s="50" t="n"/>
      <c r="N46" s="50" t="n"/>
      <c r="O46" s="50" t="n"/>
      <c r="P46" s="50" t="n"/>
      <c r="Q46" s="50" t="n"/>
      <c r="R46" s="50" t="n"/>
      <c r="S46" s="50" t="n"/>
    </row>
    <row r="47">
      <c r="A47" s="50" t="inlineStr">
        <is>
          <t>1954-06</t>
        </is>
      </c>
      <c r="B47" s="50" t="n">
        <v>22.8</v>
      </c>
      <c r="C47" s="50" t="n">
        <v>-15.242</v>
      </c>
      <c r="D47" s="50" t="n"/>
      <c r="E47" s="50" t="n">
        <v>22.8</v>
      </c>
      <c r="F47" s="50" t="n">
        <v>-14.925</v>
      </c>
      <c r="G47" s="50" t="n"/>
      <c r="H47" s="50" t="n"/>
      <c r="I47" s="50" t="n"/>
      <c r="J47" s="50" t="n"/>
      <c r="K47" s="50" t="n">
        <v>22.5</v>
      </c>
      <c r="L47" s="50" t="n">
        <v>2.273</v>
      </c>
      <c r="M47" s="50" t="n"/>
      <c r="N47" s="50" t="n"/>
      <c r="O47" s="50" t="n"/>
      <c r="P47" s="50" t="n"/>
      <c r="Q47" s="50" t="n">
        <v>20.4</v>
      </c>
      <c r="R47" s="50" t="n">
        <v>-0.971</v>
      </c>
      <c r="S47" s="50" t="n"/>
    </row>
    <row r="48">
      <c r="A48" s="50" t="inlineStr">
        <is>
          <t>1954-07</t>
        </is>
      </c>
      <c r="B48" s="50" t="n">
        <v>22.6</v>
      </c>
      <c r="C48" s="50" t="n">
        <v>-14.717</v>
      </c>
      <c r="D48" s="50" t="n"/>
      <c r="E48" s="50" t="n">
        <v>22.6</v>
      </c>
      <c r="F48" s="50" t="n">
        <v>-15.038</v>
      </c>
      <c r="G48" s="50" t="n"/>
      <c r="H48" s="50" t="n"/>
      <c r="I48" s="50" t="n"/>
      <c r="J48" s="50" t="n"/>
      <c r="K48" s="50" t="n"/>
      <c r="L48" s="50" t="n"/>
      <c r="M48" s="50" t="n"/>
      <c r="N48" s="50" t="n"/>
      <c r="O48" s="50" t="n"/>
      <c r="P48" s="50" t="n"/>
      <c r="Q48" s="50" t="n"/>
      <c r="R48" s="50" t="n"/>
      <c r="S48" s="50" t="n"/>
    </row>
    <row r="49">
      <c r="A49" s="50" t="inlineStr">
        <is>
          <t>1954-08</t>
        </is>
      </c>
      <c r="B49" s="50" t="n">
        <v>22.5</v>
      </c>
      <c r="C49" s="50" t="n">
        <v>-13.462</v>
      </c>
      <c r="D49" s="50" t="n"/>
      <c r="E49" s="50" t="n">
        <v>22.8</v>
      </c>
      <c r="F49" s="50" t="n">
        <v>-13.636</v>
      </c>
      <c r="G49" s="50" t="n"/>
      <c r="H49" s="50" t="n"/>
      <c r="I49" s="50" t="n"/>
      <c r="J49" s="50" t="n"/>
      <c r="K49" s="50" t="n"/>
      <c r="L49" s="50" t="n"/>
      <c r="M49" s="50" t="n"/>
      <c r="N49" s="50" t="n"/>
      <c r="O49" s="50" t="n"/>
      <c r="P49" s="50" t="n"/>
      <c r="Q49" s="50" t="n"/>
      <c r="R49" s="50" t="n"/>
      <c r="S49" s="50" t="n"/>
    </row>
    <row r="50">
      <c r="A50" s="50" t="inlineStr">
        <is>
          <t>1954-09</t>
        </is>
      </c>
      <c r="B50" s="50" t="n">
        <v>22.4</v>
      </c>
      <c r="C50" s="50" t="n">
        <v>-12.157</v>
      </c>
      <c r="D50" s="50" t="n"/>
      <c r="E50" s="50" t="n">
        <v>22.8</v>
      </c>
      <c r="F50" s="50" t="n">
        <v>-12.308</v>
      </c>
      <c r="G50" s="50" t="n"/>
      <c r="H50" s="50" t="n"/>
      <c r="I50" s="50" t="n"/>
      <c r="J50" s="50" t="n"/>
      <c r="K50" s="50" t="n">
        <v>22.9</v>
      </c>
      <c r="L50" s="50" t="n">
        <v>3.153</v>
      </c>
      <c r="M50" s="50" t="n"/>
      <c r="N50" s="50" t="n"/>
      <c r="O50" s="50" t="n"/>
      <c r="P50" s="50" t="n"/>
      <c r="Q50" s="50" t="n">
        <v>20.3</v>
      </c>
      <c r="R50" s="50" t="n">
        <v>-1.456</v>
      </c>
      <c r="S50" s="50" t="n"/>
    </row>
    <row r="51">
      <c r="A51" s="50" t="inlineStr">
        <is>
          <t>1954-10</t>
        </is>
      </c>
      <c r="B51" s="50" t="n">
        <v>22.2</v>
      </c>
      <c r="C51" s="50" t="n">
        <v>-11.905</v>
      </c>
      <c r="D51" s="50" t="n"/>
      <c r="E51" s="50" t="n">
        <v>22.7</v>
      </c>
      <c r="F51" s="50" t="n">
        <v>-11.673</v>
      </c>
      <c r="G51" s="50" t="n"/>
      <c r="H51" s="50" t="n"/>
      <c r="I51" s="50" t="n"/>
      <c r="J51" s="50" t="n"/>
      <c r="K51" s="50" t="n"/>
      <c r="L51" s="50" t="n"/>
      <c r="M51" s="50" t="n"/>
      <c r="N51" s="50" t="n"/>
      <c r="O51" s="50" t="n"/>
      <c r="P51" s="50" t="n"/>
      <c r="Q51" s="50" t="n"/>
      <c r="R51" s="50" t="n"/>
      <c r="S51" s="50" t="n"/>
    </row>
    <row r="52">
      <c r="A52" s="50" t="inlineStr">
        <is>
          <t>1954-11</t>
        </is>
      </c>
      <c r="B52" s="50" t="n">
        <v>22.1</v>
      </c>
      <c r="C52" s="50" t="n">
        <v>-10.887</v>
      </c>
      <c r="D52" s="50" t="n"/>
      <c r="E52" s="50" t="n">
        <v>22.4</v>
      </c>
      <c r="F52" s="50" t="n">
        <v>-10.757</v>
      </c>
      <c r="G52" s="50" t="n"/>
      <c r="H52" s="50" t="n"/>
      <c r="I52" s="50" t="n"/>
      <c r="J52" s="50" t="n"/>
      <c r="K52" s="50" t="n"/>
      <c r="L52" s="50" t="n"/>
      <c r="M52" s="50" t="n"/>
      <c r="N52" s="50" t="n"/>
      <c r="O52" s="50" t="n"/>
      <c r="P52" s="50" t="n"/>
      <c r="Q52" s="50" t="n"/>
      <c r="R52" s="50" t="n"/>
      <c r="S52" s="50" t="n"/>
    </row>
    <row r="53">
      <c r="A53" s="50" t="inlineStr">
        <is>
          <t>1954-12</t>
        </is>
      </c>
      <c r="B53" s="50" t="n">
        <v>21.9</v>
      </c>
      <c r="C53" s="50" t="n">
        <v>-11.336</v>
      </c>
      <c r="D53" s="50" t="n"/>
      <c r="E53" s="50" t="n">
        <v>21.9</v>
      </c>
      <c r="F53" s="50" t="n">
        <v>-11.336</v>
      </c>
      <c r="G53" s="50" t="n"/>
      <c r="H53" s="50" t="n"/>
      <c r="I53" s="50" t="n"/>
      <c r="J53" s="50" t="n"/>
      <c r="K53" s="50" t="n">
        <v>23.1</v>
      </c>
      <c r="L53" s="50" t="n">
        <v>3.125</v>
      </c>
      <c r="M53" s="50" t="n"/>
      <c r="N53" s="50" t="n"/>
      <c r="O53" s="50" t="n"/>
      <c r="P53" s="50" t="n"/>
      <c r="Q53" s="50" t="n">
        <v>20.3</v>
      </c>
      <c r="R53" s="50" t="n">
        <v>-0.976</v>
      </c>
      <c r="S53" s="50" t="n"/>
    </row>
    <row r="54">
      <c r="A54" s="50" t="inlineStr">
        <is>
          <t>1955-01</t>
        </is>
      </c>
      <c r="B54" s="50" t="n">
        <v>22.4</v>
      </c>
      <c r="C54" s="50" t="n">
        <v>-7.438</v>
      </c>
      <c r="D54" s="50" t="n"/>
      <c r="E54" s="50" t="n">
        <v>22.3</v>
      </c>
      <c r="F54" s="50" t="n">
        <v>-7.469</v>
      </c>
      <c r="G54" s="50" t="n"/>
      <c r="H54" s="50" t="n"/>
      <c r="I54" s="50" t="n"/>
      <c r="J54" s="50" t="n"/>
      <c r="K54" s="50" t="n"/>
      <c r="L54" s="50" t="n"/>
      <c r="M54" s="50" t="n"/>
      <c r="N54" s="50" t="n"/>
      <c r="O54" s="50" t="n"/>
      <c r="P54" s="50" t="n"/>
      <c r="Q54" s="50" t="n"/>
      <c r="R54" s="50" t="n"/>
      <c r="S54" s="50" t="n"/>
    </row>
    <row r="55">
      <c r="A55" s="50" t="inlineStr">
        <is>
          <t>1955-02</t>
        </is>
      </c>
      <c r="B55" s="50" t="n">
        <v>22.4</v>
      </c>
      <c r="C55" s="50" t="n">
        <v>-4.681</v>
      </c>
      <c r="D55" s="50" t="n"/>
      <c r="E55" s="50" t="n">
        <v>22</v>
      </c>
      <c r="F55" s="50" t="n">
        <v>-4.762</v>
      </c>
      <c r="G55" s="50" t="n"/>
      <c r="H55" s="50" t="n"/>
      <c r="I55" s="50" t="n"/>
      <c r="J55" s="50" t="n"/>
      <c r="K55" s="50" t="n"/>
      <c r="L55" s="50" t="n"/>
      <c r="M55" s="50" t="n"/>
      <c r="N55" s="50" t="n"/>
      <c r="O55" s="50" t="n"/>
      <c r="P55" s="50" t="n"/>
      <c r="Q55" s="50" t="n"/>
      <c r="R55" s="50" t="n"/>
      <c r="S55" s="50" t="n"/>
    </row>
    <row r="56">
      <c r="A56" s="50" t="inlineStr">
        <is>
          <t>1955-03</t>
        </is>
      </c>
      <c r="B56" s="50" t="n">
        <v>22.4</v>
      </c>
      <c r="C56" s="50" t="n">
        <v>-3.03</v>
      </c>
      <c r="D56" s="50" t="n"/>
      <c r="E56" s="50" t="n">
        <v>21.9</v>
      </c>
      <c r="F56" s="50" t="n">
        <v>-3.524</v>
      </c>
      <c r="G56" s="50" t="n"/>
      <c r="H56" s="50" t="n"/>
      <c r="I56" s="50" t="n"/>
      <c r="J56" s="50" t="n"/>
      <c r="K56" s="50" t="n">
        <v>23</v>
      </c>
      <c r="L56" s="50" t="n">
        <v>1.322</v>
      </c>
      <c r="M56" s="50" t="n"/>
      <c r="N56" s="50" t="n"/>
      <c r="O56" s="50" t="n"/>
      <c r="P56" s="50" t="n"/>
      <c r="Q56" s="50" t="n">
        <v>20</v>
      </c>
      <c r="R56" s="50" t="n">
        <v>-1.961</v>
      </c>
      <c r="S56" s="50" t="n"/>
    </row>
    <row r="57">
      <c r="A57" s="50" t="inlineStr">
        <is>
          <t>1955-04</t>
        </is>
      </c>
      <c r="B57" s="50" t="n">
        <v>21.3</v>
      </c>
      <c r="C57" s="50" t="n">
        <v>-6.987</v>
      </c>
      <c r="D57" s="50" t="n"/>
      <c r="E57" s="50" t="n">
        <v>20.9</v>
      </c>
      <c r="F57" s="50" t="n">
        <v>-7.111</v>
      </c>
      <c r="G57" s="50" t="n"/>
      <c r="H57" s="50" t="n"/>
      <c r="I57" s="50" t="n"/>
      <c r="J57" s="50" t="n"/>
      <c r="K57" s="50" t="n"/>
      <c r="L57" s="50" t="n"/>
      <c r="M57" s="50" t="n"/>
      <c r="N57" s="50" t="n"/>
      <c r="O57" s="50" t="n"/>
      <c r="P57" s="50" t="n"/>
      <c r="Q57" s="50" t="n"/>
      <c r="R57" s="50" t="n"/>
      <c r="S57" s="50" t="n"/>
    </row>
    <row r="58">
      <c r="A58" s="50" t="inlineStr">
        <is>
          <t>1955-05</t>
        </is>
      </c>
      <c r="B58" s="50" t="n">
        <v>21.7</v>
      </c>
      <c r="C58" s="50" t="n">
        <v>-4.405</v>
      </c>
      <c r="D58" s="50" t="n"/>
      <c r="E58" s="50" t="n">
        <v>21.4</v>
      </c>
      <c r="F58" s="50" t="n">
        <v>-4.889</v>
      </c>
      <c r="G58" s="50" t="n"/>
      <c r="H58" s="50" t="n"/>
      <c r="I58" s="50" t="n"/>
      <c r="J58" s="50" t="n"/>
      <c r="K58" s="50" t="n"/>
      <c r="L58" s="50" t="n"/>
      <c r="M58" s="50" t="n"/>
      <c r="N58" s="50" t="n"/>
      <c r="O58" s="50" t="n"/>
      <c r="P58" s="50" t="n"/>
      <c r="Q58" s="50" t="n"/>
      <c r="R58" s="50" t="n"/>
      <c r="S58" s="50" t="n"/>
    </row>
    <row r="59">
      <c r="A59" s="50" t="inlineStr">
        <is>
          <t>1955-06</t>
        </is>
      </c>
      <c r="B59" s="50" t="n">
        <v>21.7</v>
      </c>
      <c r="C59" s="50" t="n">
        <v>-4.825</v>
      </c>
      <c r="D59" s="50" t="n"/>
      <c r="E59" s="50" t="n">
        <v>21.7</v>
      </c>
      <c r="F59" s="50" t="n">
        <v>-4.825</v>
      </c>
      <c r="G59" s="50" t="n"/>
      <c r="H59" s="50" t="n"/>
      <c r="I59" s="50" t="n"/>
      <c r="J59" s="50" t="n"/>
      <c r="K59" s="50" t="n">
        <v>23.1</v>
      </c>
      <c r="L59" s="50" t="n">
        <v>2.667</v>
      </c>
      <c r="M59" s="50" t="n"/>
      <c r="N59" s="50" t="n"/>
      <c r="O59" s="50" t="n"/>
      <c r="P59" s="50" t="n"/>
      <c r="Q59" s="50" t="n">
        <v>19.6</v>
      </c>
      <c r="R59" s="50" t="n">
        <v>-3.922</v>
      </c>
      <c r="S59" s="50" t="n"/>
    </row>
    <row r="60">
      <c r="A60" s="50" t="inlineStr">
        <is>
          <t>1955-07</t>
        </is>
      </c>
      <c r="B60" s="50" t="n">
        <v>21.5</v>
      </c>
      <c r="C60" s="50" t="n">
        <v>-4.867</v>
      </c>
      <c r="D60" s="50" t="n"/>
      <c r="E60" s="50" t="n">
        <v>21.5</v>
      </c>
      <c r="F60" s="50" t="n">
        <v>-4.867</v>
      </c>
      <c r="G60" s="50" t="n"/>
      <c r="H60" s="50" t="n"/>
      <c r="I60" s="50" t="n"/>
      <c r="J60" s="50" t="n"/>
      <c r="K60" s="50" t="n"/>
      <c r="L60" s="50" t="n"/>
      <c r="M60" s="50" t="n"/>
      <c r="N60" s="50" t="n"/>
      <c r="O60" s="50" t="n"/>
      <c r="P60" s="50" t="n"/>
      <c r="Q60" s="50" t="n"/>
      <c r="R60" s="50" t="n"/>
      <c r="S60" s="50" t="n"/>
    </row>
    <row r="61">
      <c r="A61" s="50" t="inlineStr">
        <is>
          <t>1955-08</t>
        </is>
      </c>
      <c r="B61" s="50" t="n">
        <v>21.2</v>
      </c>
      <c r="C61" s="50" t="n">
        <v>-5.778</v>
      </c>
      <c r="D61" s="50" t="n"/>
      <c r="E61" s="50" t="n">
        <v>21.5</v>
      </c>
      <c r="F61" s="50" t="n">
        <v>-5.702</v>
      </c>
      <c r="G61" s="50" t="n"/>
      <c r="H61" s="50" t="n"/>
      <c r="I61" s="50" t="n"/>
      <c r="J61" s="50" t="n"/>
      <c r="K61" s="50" t="n"/>
      <c r="L61" s="50" t="n"/>
      <c r="M61" s="50" t="n"/>
      <c r="N61" s="50" t="n"/>
      <c r="O61" s="50" t="n"/>
      <c r="P61" s="50" t="n"/>
      <c r="Q61" s="50" t="n"/>
      <c r="R61" s="50" t="n"/>
      <c r="S61" s="50" t="n"/>
    </row>
    <row r="62">
      <c r="A62" s="50" t="inlineStr">
        <is>
          <t>1955-09</t>
        </is>
      </c>
      <c r="B62" s="50" t="n">
        <v>21.2</v>
      </c>
      <c r="C62" s="50" t="n">
        <v>-5.357</v>
      </c>
      <c r="D62" s="50" t="n"/>
      <c r="E62" s="50" t="n">
        <v>21.6</v>
      </c>
      <c r="F62" s="50" t="n">
        <v>-5.263</v>
      </c>
      <c r="G62" s="50" t="n"/>
      <c r="H62" s="50" t="n"/>
      <c r="I62" s="50" t="n"/>
      <c r="J62" s="50" t="n"/>
      <c r="K62" s="50" t="n">
        <v>23.4</v>
      </c>
      <c r="L62" s="50" t="n">
        <v>2.183</v>
      </c>
      <c r="M62" s="50" t="n"/>
      <c r="N62" s="50" t="n"/>
      <c r="O62" s="50" t="n"/>
      <c r="P62" s="50" t="n"/>
      <c r="Q62" s="50" t="n">
        <v>19</v>
      </c>
      <c r="R62" s="50" t="n">
        <v>-6.404</v>
      </c>
      <c r="S62" s="50" t="n"/>
    </row>
    <row r="63">
      <c r="A63" s="50" t="inlineStr">
        <is>
          <t>1955-10</t>
        </is>
      </c>
      <c r="B63" s="50" t="n">
        <v>20.9</v>
      </c>
      <c r="C63" s="50" t="n">
        <v>-5.856</v>
      </c>
      <c r="D63" s="50" t="n"/>
      <c r="E63" s="50" t="n">
        <v>21.3</v>
      </c>
      <c r="F63" s="50" t="n">
        <v>-6.167</v>
      </c>
      <c r="G63" s="50" t="n"/>
      <c r="H63" s="50" t="n"/>
      <c r="I63" s="50" t="n"/>
      <c r="J63" s="50" t="n"/>
      <c r="K63" s="50" t="n"/>
      <c r="L63" s="50" t="n"/>
      <c r="M63" s="50" t="n"/>
      <c r="N63" s="50" t="n"/>
      <c r="O63" s="50" t="n"/>
      <c r="P63" s="50" t="n"/>
      <c r="Q63" s="50" t="n"/>
      <c r="R63" s="50" t="n"/>
      <c r="S63" s="50" t="n"/>
    </row>
    <row r="64">
      <c r="A64" s="50" t="inlineStr">
        <is>
          <t>1955-11</t>
        </is>
      </c>
      <c r="B64" s="50" t="n">
        <v>20.8</v>
      </c>
      <c r="C64" s="50" t="n">
        <v>-5.882</v>
      </c>
      <c r="D64" s="50" t="n"/>
      <c r="E64" s="50" t="n">
        <v>21.1</v>
      </c>
      <c r="F64" s="50" t="n">
        <v>-5.804</v>
      </c>
      <c r="G64" s="50" t="n"/>
      <c r="H64" s="50" t="n"/>
      <c r="I64" s="50" t="n"/>
      <c r="J64" s="50" t="n"/>
      <c r="K64" s="50" t="n"/>
      <c r="L64" s="50" t="n"/>
      <c r="M64" s="50" t="n"/>
      <c r="N64" s="50" t="n"/>
      <c r="O64" s="50" t="n"/>
      <c r="P64" s="50" t="n"/>
      <c r="Q64" s="50" t="n"/>
      <c r="R64" s="50" t="n"/>
      <c r="S64" s="50" t="n"/>
    </row>
    <row r="65">
      <c r="A65" s="50" t="inlineStr">
        <is>
          <t>1955-12</t>
        </is>
      </c>
      <c r="B65" s="50" t="n">
        <v>20.5</v>
      </c>
      <c r="C65" s="50" t="n">
        <v>-6.393</v>
      </c>
      <c r="D65" s="50" t="n"/>
      <c r="E65" s="50" t="n">
        <v>20.5</v>
      </c>
      <c r="F65" s="50" t="n">
        <v>-6.393</v>
      </c>
      <c r="G65" s="50" t="n"/>
      <c r="H65" s="50" t="n"/>
      <c r="I65" s="50" t="n"/>
      <c r="J65" s="50" t="n"/>
      <c r="K65" s="50" t="n">
        <v>23.6</v>
      </c>
      <c r="L65" s="50" t="n">
        <v>2.165</v>
      </c>
      <c r="M65" s="50" t="n"/>
      <c r="N65" s="50" t="n"/>
      <c r="O65" s="50" t="n"/>
      <c r="P65" s="50" t="n"/>
      <c r="Q65" s="50" t="n">
        <v>19.1</v>
      </c>
      <c r="R65" s="50" t="n">
        <v>-5.911</v>
      </c>
      <c r="S65" s="50" t="n"/>
    </row>
    <row r="66">
      <c r="A66" s="50" t="inlineStr">
        <is>
          <t>1956-01</t>
        </is>
      </c>
      <c r="B66" s="50" t="n">
        <v>20.1</v>
      </c>
      <c r="C66" s="50" t="n">
        <v>-10.268</v>
      </c>
      <c r="D66" s="50" t="n"/>
      <c r="E66" s="50" t="n">
        <v>20</v>
      </c>
      <c r="F66" s="50" t="n">
        <v>-10.314</v>
      </c>
      <c r="G66" s="50" t="n"/>
      <c r="H66" s="50" t="n"/>
      <c r="I66" s="50" t="n"/>
      <c r="J66" s="50" t="n"/>
      <c r="K66" s="50" t="n"/>
      <c r="L66" s="50" t="n"/>
      <c r="M66" s="50" t="n"/>
      <c r="N66" s="50" t="n"/>
      <c r="O66" s="50" t="n"/>
      <c r="P66" s="50" t="n"/>
      <c r="Q66" s="50" t="n"/>
      <c r="R66" s="50" t="n"/>
      <c r="S66" s="50" t="n"/>
    </row>
    <row r="67">
      <c r="A67" s="50" t="inlineStr">
        <is>
          <t>1956-02</t>
        </is>
      </c>
      <c r="B67" s="50" t="n">
        <v>20.5</v>
      </c>
      <c r="C67" s="50" t="n">
        <v>-8.481999999999999</v>
      </c>
      <c r="D67" s="50" t="n"/>
      <c r="E67" s="50" t="n">
        <v>20.1</v>
      </c>
      <c r="F67" s="50" t="n">
        <v>-8.635999999999999</v>
      </c>
      <c r="G67" s="50" t="n"/>
      <c r="H67" s="50" t="n"/>
      <c r="I67" s="50" t="n"/>
      <c r="J67" s="50" t="n"/>
      <c r="K67" s="50" t="n"/>
      <c r="L67" s="50" t="n"/>
      <c r="M67" s="50" t="n"/>
      <c r="N67" s="50" t="n"/>
      <c r="O67" s="50" t="n"/>
      <c r="P67" s="50" t="n"/>
      <c r="Q67" s="50" t="n"/>
      <c r="R67" s="50" t="n"/>
      <c r="S67" s="50" t="n"/>
    </row>
    <row r="68">
      <c r="A68" s="50" t="inlineStr">
        <is>
          <t>1956-03</t>
        </is>
      </c>
      <c r="B68" s="50" t="n">
        <v>20</v>
      </c>
      <c r="C68" s="50" t="n">
        <v>-10.714</v>
      </c>
      <c r="D68" s="50" t="n"/>
      <c r="E68" s="50" t="n">
        <v>19.6</v>
      </c>
      <c r="F68" s="50" t="n">
        <v>-10.502</v>
      </c>
      <c r="G68" s="50" t="n"/>
      <c r="H68" s="50" t="n"/>
      <c r="I68" s="50" t="n"/>
      <c r="J68" s="50" t="n"/>
      <c r="K68" s="50" t="n">
        <v>23.9</v>
      </c>
      <c r="L68" s="50" t="n">
        <v>3.913</v>
      </c>
      <c r="M68" s="50" t="n"/>
      <c r="N68" s="50" t="n"/>
      <c r="O68" s="50" t="n"/>
      <c r="P68" s="50" t="n"/>
      <c r="Q68" s="50" t="n">
        <v>19</v>
      </c>
      <c r="R68" s="50" t="n">
        <v>-5</v>
      </c>
      <c r="S68" s="50" t="n"/>
    </row>
    <row r="69">
      <c r="A69" s="50" t="inlineStr">
        <is>
          <t>1956-04</t>
        </is>
      </c>
      <c r="B69" s="50" t="n">
        <v>20</v>
      </c>
      <c r="C69" s="50" t="n">
        <v>-6.103</v>
      </c>
      <c r="D69" s="50" t="n"/>
      <c r="E69" s="50" t="n">
        <v>19.7</v>
      </c>
      <c r="F69" s="50" t="n">
        <v>-5.742</v>
      </c>
      <c r="G69" s="50" t="n"/>
      <c r="H69" s="50" t="n"/>
      <c r="I69" s="50" t="n"/>
      <c r="J69" s="50" t="n"/>
      <c r="K69" s="50" t="n"/>
      <c r="L69" s="50" t="n"/>
      <c r="M69" s="50" t="n"/>
      <c r="N69" s="50" t="n"/>
      <c r="O69" s="50" t="n"/>
      <c r="P69" s="50" t="n"/>
      <c r="Q69" s="50" t="n"/>
      <c r="R69" s="50" t="n"/>
      <c r="S69" s="50" t="n"/>
    </row>
    <row r="70">
      <c r="A70" s="50" t="inlineStr">
        <is>
          <t>1956-05</t>
        </is>
      </c>
      <c r="B70" s="50" t="n">
        <v>20.6</v>
      </c>
      <c r="C70" s="50" t="n">
        <v>-5.069</v>
      </c>
      <c r="D70" s="50" t="n"/>
      <c r="E70" s="50" t="n">
        <v>20.4</v>
      </c>
      <c r="F70" s="50" t="n">
        <v>-4.673</v>
      </c>
      <c r="G70" s="50" t="n"/>
      <c r="H70" s="50" t="n"/>
      <c r="I70" s="50" t="n"/>
      <c r="J70" s="50" t="n"/>
      <c r="K70" s="50" t="n"/>
      <c r="L70" s="50" t="n"/>
      <c r="M70" s="50" t="n"/>
      <c r="N70" s="50" t="n"/>
      <c r="O70" s="50" t="n"/>
      <c r="P70" s="50" t="n"/>
      <c r="Q70" s="50" t="n"/>
      <c r="R70" s="50" t="n"/>
      <c r="S70" s="50" t="n"/>
    </row>
    <row r="71">
      <c r="A71" s="50" t="inlineStr">
        <is>
          <t>1956-06</t>
        </is>
      </c>
      <c r="B71" s="50" t="n">
        <v>20.2</v>
      </c>
      <c r="C71" s="50" t="n">
        <v>-6.912</v>
      </c>
      <c r="D71" s="50" t="n"/>
      <c r="E71" s="50" t="n">
        <v>20.1</v>
      </c>
      <c r="F71" s="50" t="n">
        <v>-7.373</v>
      </c>
      <c r="G71" s="50" t="n"/>
      <c r="H71" s="50" t="n"/>
      <c r="I71" s="50" t="n"/>
      <c r="J71" s="50" t="n"/>
      <c r="K71" s="50" t="n">
        <v>24.1</v>
      </c>
      <c r="L71" s="50" t="n">
        <v>4.329</v>
      </c>
      <c r="M71" s="50" t="n"/>
      <c r="N71" s="50" t="n"/>
      <c r="O71" s="50" t="n"/>
      <c r="P71" s="50" t="n"/>
      <c r="Q71" s="50" t="n">
        <v>19</v>
      </c>
      <c r="R71" s="50" t="n">
        <v>-3.061</v>
      </c>
      <c r="S71" s="50" t="n"/>
    </row>
    <row r="72">
      <c r="A72" s="50" t="inlineStr">
        <is>
          <t>1956-07</t>
        </is>
      </c>
      <c r="B72" s="50" t="n">
        <v>20.5</v>
      </c>
      <c r="C72" s="50" t="n">
        <v>-4.651</v>
      </c>
      <c r="D72" s="50" t="n"/>
      <c r="E72" s="50" t="n">
        <v>20.5</v>
      </c>
      <c r="F72" s="50" t="n">
        <v>-4.651</v>
      </c>
      <c r="G72" s="50" t="n"/>
      <c r="H72" s="50" t="n"/>
      <c r="I72" s="50" t="n"/>
      <c r="J72" s="50" t="n"/>
      <c r="K72" s="50" t="n"/>
      <c r="L72" s="50" t="n"/>
      <c r="M72" s="50" t="n"/>
      <c r="N72" s="50" t="n"/>
      <c r="O72" s="50" t="n"/>
      <c r="P72" s="50" t="n"/>
      <c r="Q72" s="50" t="n"/>
      <c r="R72" s="50" t="n"/>
      <c r="S72" s="50" t="n"/>
    </row>
    <row r="73">
      <c r="A73" s="50" t="inlineStr">
        <is>
          <t>1956-08</t>
        </is>
      </c>
      <c r="B73" s="50" t="n">
        <v>20.8</v>
      </c>
      <c r="C73" s="50" t="n">
        <v>-1.887</v>
      </c>
      <c r="D73" s="50" t="n"/>
      <c r="E73" s="50" t="n">
        <v>21.1</v>
      </c>
      <c r="F73" s="50" t="n">
        <v>-1.86</v>
      </c>
      <c r="G73" s="50" t="n"/>
      <c r="H73" s="50" t="n"/>
      <c r="I73" s="50" t="n"/>
      <c r="J73" s="50" t="n"/>
      <c r="K73" s="50" t="n"/>
      <c r="L73" s="50" t="n"/>
      <c r="M73" s="50" t="n"/>
      <c r="N73" s="50" t="n"/>
      <c r="O73" s="50" t="n"/>
      <c r="P73" s="50" t="n"/>
      <c r="Q73" s="50" t="n"/>
      <c r="R73" s="50" t="n"/>
      <c r="S73" s="50" t="n"/>
    </row>
    <row r="74">
      <c r="A74" s="50" t="inlineStr">
        <is>
          <t>1956-09</t>
        </is>
      </c>
      <c r="B74" s="50" t="n">
        <v>20.8</v>
      </c>
      <c r="C74" s="50" t="n">
        <v>-1.887</v>
      </c>
      <c r="D74" s="50" t="n"/>
      <c r="E74" s="50" t="n">
        <v>21.3</v>
      </c>
      <c r="F74" s="50" t="n">
        <v>-1.389</v>
      </c>
      <c r="G74" s="50" t="n"/>
      <c r="H74" s="50" t="n"/>
      <c r="I74" s="50" t="n"/>
      <c r="J74" s="50" t="n"/>
      <c r="K74" s="50" t="n">
        <v>24.4</v>
      </c>
      <c r="L74" s="50" t="n">
        <v>4.274</v>
      </c>
      <c r="M74" s="50" t="n"/>
      <c r="N74" s="50" t="n"/>
      <c r="O74" s="50" t="n"/>
      <c r="P74" s="50" t="n"/>
      <c r="Q74" s="50" t="n">
        <v>19</v>
      </c>
      <c r="R74" s="50" t="n">
        <v>0</v>
      </c>
      <c r="S74" s="50" t="n"/>
    </row>
    <row r="75">
      <c r="A75" s="50" t="inlineStr">
        <is>
          <t>1956-10</t>
        </is>
      </c>
      <c r="B75" s="50" t="n">
        <v>21.4</v>
      </c>
      <c r="C75" s="50" t="n">
        <v>2.392</v>
      </c>
      <c r="D75" s="50" t="n"/>
      <c r="E75" s="50" t="n">
        <v>21.8</v>
      </c>
      <c r="F75" s="50" t="n">
        <v>2.347</v>
      </c>
      <c r="G75" s="50" t="n"/>
      <c r="H75" s="50" t="n"/>
      <c r="I75" s="50" t="n"/>
      <c r="J75" s="50" t="n"/>
      <c r="K75" s="50" t="n"/>
      <c r="L75" s="50" t="n"/>
      <c r="M75" s="50" t="n"/>
      <c r="N75" s="50" t="n"/>
      <c r="O75" s="50" t="n"/>
      <c r="P75" s="50" t="n"/>
      <c r="Q75" s="50" t="n"/>
      <c r="R75" s="50" t="n"/>
      <c r="S75" s="50" t="n"/>
    </row>
    <row r="76">
      <c r="A76" s="50" t="inlineStr">
        <is>
          <t>1956-11</t>
        </is>
      </c>
      <c r="B76" s="50" t="n">
        <v>21.5</v>
      </c>
      <c r="C76" s="50" t="n">
        <v>3.365</v>
      </c>
      <c r="D76" s="50" t="n"/>
      <c r="E76" s="50" t="n">
        <v>21.8</v>
      </c>
      <c r="F76" s="50" t="n">
        <v>3.318</v>
      </c>
      <c r="G76" s="50" t="n"/>
      <c r="H76" s="50" t="n"/>
      <c r="I76" s="50" t="n"/>
      <c r="J76" s="50" t="n"/>
      <c r="K76" s="50" t="n"/>
      <c r="L76" s="50" t="n"/>
      <c r="M76" s="50" t="n"/>
      <c r="N76" s="50" t="n"/>
      <c r="O76" s="50" t="n"/>
      <c r="P76" s="50" t="n"/>
      <c r="Q76" s="50" t="n"/>
      <c r="R76" s="50" t="n"/>
      <c r="S76" s="50" t="n"/>
    </row>
    <row r="77">
      <c r="A77" s="50" t="inlineStr">
        <is>
          <t>1956-12</t>
        </is>
      </c>
      <c r="B77" s="50" t="n">
        <v>21.7</v>
      </c>
      <c r="C77" s="50" t="n">
        <v>5.854</v>
      </c>
      <c r="D77" s="50" t="n"/>
      <c r="E77" s="50" t="n">
        <v>21.8</v>
      </c>
      <c r="F77" s="50" t="n">
        <v>6.341</v>
      </c>
      <c r="G77" s="50" t="n"/>
      <c r="H77" s="50" t="n"/>
      <c r="I77" s="50" t="n"/>
      <c r="J77" s="50" t="n"/>
      <c r="K77" s="50" t="n">
        <v>24.6</v>
      </c>
      <c r="L77" s="50" t="n">
        <v>4.237</v>
      </c>
      <c r="M77" s="50" t="n"/>
      <c r="N77" s="50" t="n"/>
      <c r="O77" s="50" t="n"/>
      <c r="P77" s="50" t="n"/>
      <c r="Q77" s="50" t="n">
        <v>19</v>
      </c>
      <c r="R77" s="50" t="n">
        <v>-0.524</v>
      </c>
      <c r="S77" s="50" t="n"/>
    </row>
    <row r="78">
      <c r="A78" s="50" t="inlineStr">
        <is>
          <t>1957-01</t>
        </is>
      </c>
      <c r="B78" s="50" t="n">
        <v>22.3</v>
      </c>
      <c r="C78" s="50" t="n">
        <v>10.945</v>
      </c>
      <c r="D78" s="50" t="n"/>
      <c r="E78" s="50" t="n">
        <v>22.1</v>
      </c>
      <c r="F78" s="50" t="n">
        <v>10.5</v>
      </c>
      <c r="G78" s="50" t="n"/>
      <c r="H78" s="50" t="n"/>
      <c r="I78" s="50" t="n"/>
      <c r="J78" s="50" t="n"/>
      <c r="K78" s="50" t="n"/>
      <c r="L78" s="50" t="n"/>
      <c r="M78" s="50" t="n"/>
      <c r="N78" s="50" t="n"/>
      <c r="O78" s="50" t="n"/>
      <c r="P78" s="50" t="n"/>
      <c r="Q78" s="50" t="n"/>
      <c r="R78" s="50" t="n"/>
      <c r="S78" s="50" t="n"/>
    </row>
    <row r="79">
      <c r="A79" s="50" t="inlineStr">
        <is>
          <t>1957-02</t>
        </is>
      </c>
      <c r="B79" s="50" t="n">
        <v>22.3</v>
      </c>
      <c r="C79" s="50" t="n">
        <v>8.779999999999999</v>
      </c>
      <c r="D79" s="50" t="n"/>
      <c r="E79" s="50" t="n">
        <v>21.8</v>
      </c>
      <c r="F79" s="50" t="n">
        <v>8.458</v>
      </c>
      <c r="G79" s="50" t="n"/>
      <c r="H79" s="50" t="n"/>
      <c r="I79" s="50" t="n"/>
      <c r="J79" s="50" t="n"/>
      <c r="K79" s="50" t="n"/>
      <c r="L79" s="50" t="n"/>
      <c r="M79" s="50" t="n"/>
      <c r="N79" s="50" t="n"/>
      <c r="O79" s="50" t="n"/>
      <c r="P79" s="50" t="n"/>
      <c r="Q79" s="50" t="n"/>
      <c r="R79" s="50" t="n"/>
      <c r="S79" s="50" t="n"/>
    </row>
    <row r="80">
      <c r="A80" s="50" t="inlineStr">
        <is>
          <t>1957-03</t>
        </is>
      </c>
      <c r="B80" s="50" t="n">
        <v>23.1</v>
      </c>
      <c r="C80" s="50" t="n">
        <v>15.5</v>
      </c>
      <c r="D80" s="50" t="n"/>
      <c r="E80" s="50" t="n">
        <v>22.6</v>
      </c>
      <c r="F80" s="50" t="n">
        <v>15.306</v>
      </c>
      <c r="G80" s="50" t="n"/>
      <c r="H80" s="50" t="n"/>
      <c r="I80" s="50" t="n"/>
      <c r="J80" s="50" t="n"/>
      <c r="K80" s="50" t="n">
        <v>24.8</v>
      </c>
      <c r="L80" s="50" t="n">
        <v>3.766</v>
      </c>
      <c r="M80" s="50" t="n"/>
      <c r="N80" s="50" t="n"/>
      <c r="O80" s="50" t="n"/>
      <c r="P80" s="50" t="n"/>
      <c r="Q80" s="50" t="n">
        <v>20.2</v>
      </c>
      <c r="R80" s="50" t="n">
        <v>6.316</v>
      </c>
      <c r="S80" s="50" t="n"/>
    </row>
    <row r="81">
      <c r="A81" s="50" t="inlineStr">
        <is>
          <t>1957-04</t>
        </is>
      </c>
      <c r="B81" s="50" t="n">
        <v>23.2</v>
      </c>
      <c r="C81" s="50" t="n">
        <v>16</v>
      </c>
      <c r="D81" s="50" t="n"/>
      <c r="E81" s="50" t="n">
        <v>22.8</v>
      </c>
      <c r="F81" s="50" t="n">
        <v>15.736</v>
      </c>
      <c r="G81" s="50" t="n"/>
      <c r="H81" s="50" t="n"/>
      <c r="I81" s="50" t="n"/>
      <c r="J81" s="50" t="n"/>
      <c r="K81" s="50" t="n"/>
      <c r="L81" s="50" t="n"/>
      <c r="M81" s="50" t="n"/>
      <c r="N81" s="50" t="n"/>
      <c r="O81" s="50" t="n"/>
      <c r="P81" s="50" t="n"/>
      <c r="Q81" s="50" t="n"/>
      <c r="R81" s="50" t="n"/>
      <c r="S81" s="50" t="n"/>
    </row>
    <row r="82">
      <c r="A82" s="50" t="inlineStr">
        <is>
          <t>1957-05</t>
        </is>
      </c>
      <c r="B82" s="50" t="n">
        <v>23.3</v>
      </c>
      <c r="C82" s="50" t="n">
        <v>13.107</v>
      </c>
      <c r="D82" s="50" t="n"/>
      <c r="E82" s="50" t="n">
        <v>23</v>
      </c>
      <c r="F82" s="50" t="n">
        <v>12.745</v>
      </c>
      <c r="G82" s="50" t="n"/>
      <c r="H82" s="50" t="n"/>
      <c r="I82" s="50" t="n"/>
      <c r="J82" s="50" t="n"/>
      <c r="K82" s="50" t="n"/>
      <c r="L82" s="50" t="n"/>
      <c r="M82" s="50" t="n"/>
      <c r="N82" s="50" t="n"/>
      <c r="O82" s="50" t="n"/>
      <c r="P82" s="50" t="n"/>
      <c r="Q82" s="50" t="n"/>
      <c r="R82" s="50" t="n"/>
      <c r="S82" s="50" t="n"/>
    </row>
    <row r="83">
      <c r="A83" s="50" t="inlineStr">
        <is>
          <t>1957-06</t>
        </is>
      </c>
      <c r="B83" s="50" t="n">
        <v>23.2</v>
      </c>
      <c r="C83" s="50" t="n">
        <v>14.851</v>
      </c>
      <c r="D83" s="50" t="n"/>
      <c r="E83" s="50" t="n">
        <v>23.2</v>
      </c>
      <c r="F83" s="50" t="n">
        <v>15.423</v>
      </c>
      <c r="G83" s="50" t="n"/>
      <c r="H83" s="50" t="n"/>
      <c r="I83" s="50" t="n"/>
      <c r="J83" s="50" t="n"/>
      <c r="K83" s="50" t="n">
        <v>25</v>
      </c>
      <c r="L83" s="50" t="n">
        <v>3.734</v>
      </c>
      <c r="M83" s="50" t="n"/>
      <c r="N83" s="50" t="n"/>
      <c r="O83" s="50" t="n"/>
      <c r="P83" s="50" t="n"/>
      <c r="Q83" s="50" t="n">
        <v>20.5</v>
      </c>
      <c r="R83" s="50" t="n">
        <v>7.895</v>
      </c>
      <c r="S83" s="50" t="n"/>
    </row>
    <row r="84">
      <c r="A84" s="50" t="inlineStr">
        <is>
          <t>1957-07</t>
        </is>
      </c>
      <c r="B84" s="50" t="n">
        <v>23.1</v>
      </c>
      <c r="C84" s="50" t="n">
        <v>12.683</v>
      </c>
      <c r="D84" s="50" t="n"/>
      <c r="E84" s="50" t="n">
        <v>23.3</v>
      </c>
      <c r="F84" s="50" t="n">
        <v>13.659</v>
      </c>
      <c r="G84" s="50" t="n"/>
      <c r="H84" s="50" t="n"/>
      <c r="I84" s="50" t="n"/>
      <c r="J84" s="50" t="n"/>
      <c r="K84" s="50" t="n"/>
      <c r="L84" s="50" t="n"/>
      <c r="M84" s="50" t="n"/>
      <c r="N84" s="50" t="n"/>
      <c r="O84" s="50" t="n"/>
      <c r="P84" s="50" t="n"/>
      <c r="Q84" s="50" t="n"/>
      <c r="R84" s="50" t="n"/>
      <c r="S84" s="50" t="n"/>
    </row>
    <row r="85">
      <c r="A85" s="50" t="inlineStr">
        <is>
          <t>1957-08</t>
        </is>
      </c>
      <c r="B85" s="50" t="n">
        <v>23.3</v>
      </c>
      <c r="C85" s="50" t="n">
        <v>12.019</v>
      </c>
      <c r="D85" s="50" t="n"/>
      <c r="E85" s="50" t="n">
        <v>23.7</v>
      </c>
      <c r="F85" s="50" t="n">
        <v>12.322</v>
      </c>
      <c r="G85" s="50" t="n"/>
      <c r="H85" s="50" t="n"/>
      <c r="I85" s="50" t="n"/>
      <c r="J85" s="50" t="n"/>
      <c r="K85" s="50" t="n"/>
      <c r="L85" s="50" t="n"/>
      <c r="M85" s="50" t="n"/>
      <c r="N85" s="50" t="n"/>
      <c r="O85" s="50" t="n"/>
      <c r="P85" s="50" t="n"/>
      <c r="Q85" s="50" t="n"/>
      <c r="R85" s="50" t="n"/>
      <c r="S85" s="50" t="n"/>
    </row>
    <row r="86">
      <c r="A86" s="50" t="inlineStr">
        <is>
          <t>1957-09</t>
        </is>
      </c>
      <c r="B86" s="50" t="n">
        <v>23.4</v>
      </c>
      <c r="C86" s="50" t="n">
        <v>12.5</v>
      </c>
      <c r="D86" s="50" t="n"/>
      <c r="E86" s="50" t="n">
        <v>23.9</v>
      </c>
      <c r="F86" s="50" t="n">
        <v>12.207</v>
      </c>
      <c r="G86" s="50" t="n"/>
      <c r="H86" s="50" t="n"/>
      <c r="I86" s="50" t="n"/>
      <c r="J86" s="50" t="n"/>
      <c r="K86" s="50" t="n">
        <v>25.2</v>
      </c>
      <c r="L86" s="50" t="n">
        <v>3.279</v>
      </c>
      <c r="M86" s="50" t="n"/>
      <c r="N86" s="50" t="n"/>
      <c r="O86" s="50" t="n"/>
      <c r="P86" s="50" t="n"/>
      <c r="Q86" s="50" t="n">
        <v>21.1</v>
      </c>
      <c r="R86" s="50" t="n">
        <v>11.053</v>
      </c>
      <c r="S86" s="50" t="n"/>
    </row>
    <row r="87">
      <c r="A87" s="50" t="inlineStr">
        <is>
          <t>1957-10</t>
        </is>
      </c>
      <c r="B87" s="50" t="n">
        <v>23.5</v>
      </c>
      <c r="C87" s="50" t="n">
        <v>9.813000000000001</v>
      </c>
      <c r="D87" s="50" t="n"/>
      <c r="E87" s="50" t="n">
        <v>24</v>
      </c>
      <c r="F87" s="50" t="n">
        <v>10.092</v>
      </c>
      <c r="G87" s="50" t="n"/>
      <c r="H87" s="50" t="n"/>
      <c r="I87" s="50" t="n"/>
      <c r="J87" s="50" t="n"/>
      <c r="K87" s="50" t="n"/>
      <c r="L87" s="50" t="n"/>
      <c r="M87" s="50" t="n"/>
      <c r="N87" s="50" t="n"/>
      <c r="O87" s="50" t="n"/>
      <c r="P87" s="50" t="n"/>
      <c r="Q87" s="50" t="n"/>
      <c r="R87" s="50" t="n"/>
      <c r="S87" s="50" t="n"/>
    </row>
    <row r="88">
      <c r="A88" s="50" t="inlineStr">
        <is>
          <t>1957-11</t>
        </is>
      </c>
      <c r="B88" s="50" t="n">
        <v>23.7</v>
      </c>
      <c r="C88" s="50" t="n">
        <v>10.233</v>
      </c>
      <c r="D88" s="50" t="n"/>
      <c r="E88" s="50" t="n">
        <v>23.9</v>
      </c>
      <c r="F88" s="50" t="n">
        <v>9.632999999999999</v>
      </c>
      <c r="G88" s="50" t="n"/>
      <c r="H88" s="50" t="n"/>
      <c r="I88" s="50" t="n"/>
      <c r="J88" s="50" t="n"/>
      <c r="K88" s="50" t="n"/>
      <c r="L88" s="50" t="n"/>
      <c r="M88" s="50" t="n"/>
      <c r="N88" s="50" t="n"/>
      <c r="O88" s="50" t="n"/>
      <c r="P88" s="50" t="n"/>
      <c r="Q88" s="50" t="n"/>
      <c r="R88" s="50" t="n"/>
      <c r="S88" s="50" t="n"/>
    </row>
    <row r="89">
      <c r="A89" s="50" t="inlineStr">
        <is>
          <t>1957-12</t>
        </is>
      </c>
      <c r="B89" s="50" t="n">
        <v>23.5</v>
      </c>
      <c r="C89" s="50" t="n">
        <v>8.295</v>
      </c>
      <c r="D89" s="50" t="n"/>
      <c r="E89" s="50" t="n">
        <v>23.5</v>
      </c>
      <c r="F89" s="50" t="n">
        <v>7.798</v>
      </c>
      <c r="G89" s="50" t="n"/>
      <c r="H89" s="50" t="n"/>
      <c r="I89" s="50" t="n"/>
      <c r="J89" s="50" t="n"/>
      <c r="K89" s="50" t="n">
        <v>25.5</v>
      </c>
      <c r="L89" s="50" t="n">
        <v>3.659</v>
      </c>
      <c r="M89" s="50" t="n"/>
      <c r="N89" s="50" t="n"/>
      <c r="O89" s="50" t="n"/>
      <c r="P89" s="50" t="n"/>
      <c r="Q89" s="50" t="n">
        <v>21.5</v>
      </c>
      <c r="R89" s="50" t="n">
        <v>13.158</v>
      </c>
      <c r="S89" s="50" t="n"/>
    </row>
    <row r="90">
      <c r="A90" s="50" t="inlineStr">
        <is>
          <t>1958-01</t>
        </is>
      </c>
      <c r="B90" s="50" t="n">
        <v>23.2</v>
      </c>
      <c r="C90" s="50" t="n">
        <v>4.036</v>
      </c>
      <c r="D90" s="50" t="n"/>
      <c r="E90" s="50" t="n">
        <v>22.9</v>
      </c>
      <c r="F90" s="50" t="n">
        <v>3.62</v>
      </c>
      <c r="G90" s="50" t="n"/>
      <c r="H90" s="50" t="n"/>
      <c r="I90" s="50" t="n"/>
      <c r="J90" s="50" t="n"/>
      <c r="K90" s="50" t="n"/>
      <c r="L90" s="50" t="n"/>
      <c r="M90" s="50" t="n"/>
      <c r="N90" s="50" t="n"/>
      <c r="O90" s="50" t="n"/>
      <c r="P90" s="50" t="n"/>
      <c r="Q90" s="50" t="n"/>
      <c r="R90" s="50" t="n"/>
      <c r="S90" s="50" t="n"/>
    </row>
    <row r="91">
      <c r="A91" s="50" t="inlineStr">
        <is>
          <t>1958-02</t>
        </is>
      </c>
      <c r="B91" s="50" t="n">
        <v>23.3</v>
      </c>
      <c r="C91" s="50" t="n">
        <v>4.484</v>
      </c>
      <c r="D91" s="50" t="n"/>
      <c r="E91" s="50" t="n">
        <v>22.8</v>
      </c>
      <c r="F91" s="50" t="n">
        <v>4.587</v>
      </c>
      <c r="G91" s="50" t="n"/>
      <c r="H91" s="50" t="n"/>
      <c r="I91" s="50" t="n"/>
      <c r="J91" s="50" t="n"/>
      <c r="K91" s="50" t="n"/>
      <c r="L91" s="50" t="n"/>
      <c r="M91" s="50" t="n"/>
      <c r="N91" s="50" t="n"/>
      <c r="O91" s="50" t="n"/>
      <c r="P91" s="50" t="n"/>
      <c r="Q91" s="50" t="n"/>
      <c r="R91" s="50" t="n"/>
      <c r="S91" s="50" t="n"/>
    </row>
    <row r="92">
      <c r="A92" s="50" t="inlineStr">
        <is>
          <t>1958-03</t>
        </is>
      </c>
      <c r="B92" s="50" t="n">
        <v>23.1</v>
      </c>
      <c r="C92" s="50" t="n">
        <v>0</v>
      </c>
      <c r="D92" s="50" t="n"/>
      <c r="E92" s="50" t="n">
        <v>22.7</v>
      </c>
      <c r="F92" s="50" t="n">
        <v>0.442</v>
      </c>
      <c r="G92" s="50" t="n"/>
      <c r="H92" s="50" t="n"/>
      <c r="I92" s="50" t="n"/>
      <c r="J92" s="50" t="n"/>
      <c r="K92" s="50" t="n">
        <v>25.3</v>
      </c>
      <c r="L92" s="50" t="n">
        <v>2.016</v>
      </c>
      <c r="M92" s="50" t="n"/>
      <c r="N92" s="50" t="n"/>
      <c r="O92" s="50" t="n"/>
      <c r="P92" s="50" t="n"/>
      <c r="Q92" s="50" t="n">
        <v>23.6</v>
      </c>
      <c r="R92" s="50" t="n">
        <v>16.832</v>
      </c>
      <c r="S92" s="50" t="n"/>
    </row>
    <row r="93">
      <c r="A93" s="50" t="inlineStr">
        <is>
          <t>1958-04</t>
        </is>
      </c>
      <c r="B93" s="50" t="n">
        <v>23.3</v>
      </c>
      <c r="C93" s="50" t="n">
        <v>0.431</v>
      </c>
      <c r="D93" s="50" t="n"/>
      <c r="E93" s="50" t="n">
        <v>22.9</v>
      </c>
      <c r="F93" s="50" t="n">
        <v>0.439</v>
      </c>
      <c r="G93" s="50" t="n"/>
      <c r="H93" s="50" t="n"/>
      <c r="I93" s="50" t="n"/>
      <c r="J93" s="50" t="n"/>
      <c r="K93" s="50" t="n"/>
      <c r="L93" s="50" t="n"/>
      <c r="M93" s="50" t="n"/>
      <c r="N93" s="50" t="n"/>
      <c r="O93" s="50" t="n"/>
      <c r="P93" s="50" t="n"/>
      <c r="Q93" s="50" t="n"/>
      <c r="R93" s="50" t="n"/>
      <c r="S93" s="50" t="n"/>
    </row>
    <row r="94">
      <c r="A94" s="50" t="inlineStr">
        <is>
          <t>1958-05</t>
        </is>
      </c>
      <c r="B94" s="50" t="n">
        <v>23.5</v>
      </c>
      <c r="C94" s="50" t="n">
        <v>0.858</v>
      </c>
      <c r="D94" s="50" t="n"/>
      <c r="E94" s="50" t="n">
        <v>23.2</v>
      </c>
      <c r="F94" s="50" t="n">
        <v>0.87</v>
      </c>
      <c r="G94" s="50" t="n"/>
      <c r="H94" s="50" t="n"/>
      <c r="I94" s="50" t="n"/>
      <c r="J94" s="50" t="n"/>
      <c r="K94" s="50" t="n"/>
      <c r="L94" s="50" t="n"/>
      <c r="M94" s="50" t="n"/>
      <c r="N94" s="50" t="n"/>
      <c r="O94" s="50" t="n"/>
      <c r="P94" s="50" t="n"/>
      <c r="Q94" s="50" t="n"/>
      <c r="R94" s="50" t="n"/>
      <c r="S94" s="50" t="n"/>
    </row>
    <row r="95">
      <c r="A95" s="50" t="inlineStr">
        <is>
          <t>1958-06</t>
        </is>
      </c>
      <c r="B95" s="50" t="n">
        <v>23.4</v>
      </c>
      <c r="C95" s="50" t="n">
        <v>0.862</v>
      </c>
      <c r="D95" s="50" t="n"/>
      <c r="E95" s="50" t="n">
        <v>23.4</v>
      </c>
      <c r="F95" s="50" t="n">
        <v>0.862</v>
      </c>
      <c r="G95" s="50" t="n"/>
      <c r="H95" s="50" t="n"/>
      <c r="I95" s="50" t="n"/>
      <c r="J95" s="50" t="n"/>
      <c r="K95" s="50" t="n">
        <v>25.4</v>
      </c>
      <c r="L95" s="50" t="n">
        <v>1.6</v>
      </c>
      <c r="M95" s="50" t="n"/>
      <c r="N95" s="50" t="n"/>
      <c r="O95" s="50" t="n"/>
      <c r="P95" s="50" t="n"/>
      <c r="Q95" s="50" t="n">
        <v>23.6</v>
      </c>
      <c r="R95" s="50" t="n">
        <v>15.122</v>
      </c>
      <c r="S95" s="50" t="n"/>
    </row>
    <row r="96">
      <c r="A96" s="50" t="inlineStr">
        <is>
          <t>1958-07</t>
        </is>
      </c>
      <c r="B96" s="50" t="n">
        <v>23.9</v>
      </c>
      <c r="C96" s="50" t="n">
        <v>3.463</v>
      </c>
      <c r="D96" s="50" t="n"/>
      <c r="E96" s="50" t="n">
        <v>24</v>
      </c>
      <c r="F96" s="50" t="n">
        <v>3.004</v>
      </c>
      <c r="G96" s="50" t="n"/>
      <c r="H96" s="50" t="n"/>
      <c r="I96" s="50" t="n"/>
      <c r="J96" s="50" t="n"/>
      <c r="K96" s="50" t="n"/>
      <c r="L96" s="50" t="n"/>
      <c r="M96" s="50" t="n"/>
      <c r="N96" s="50" t="n"/>
      <c r="O96" s="50" t="n"/>
      <c r="P96" s="50" t="n"/>
      <c r="Q96" s="50" t="n"/>
      <c r="R96" s="50" t="n"/>
      <c r="S96" s="50" t="n"/>
    </row>
    <row r="97">
      <c r="A97" s="50" t="inlineStr">
        <is>
          <t>1958-08</t>
        </is>
      </c>
      <c r="B97" s="50" t="n">
        <v>24.1</v>
      </c>
      <c r="C97" s="50" t="n">
        <v>3.433</v>
      </c>
      <c r="D97" s="50" t="n"/>
      <c r="E97" s="50" t="n">
        <v>24.5</v>
      </c>
      <c r="F97" s="50" t="n">
        <v>3.376</v>
      </c>
      <c r="G97" s="50" t="n"/>
      <c r="H97" s="50" t="n"/>
      <c r="I97" s="50" t="n"/>
      <c r="J97" s="50" t="n"/>
      <c r="K97" s="50" t="n"/>
      <c r="L97" s="50" t="n"/>
      <c r="M97" s="50" t="n"/>
      <c r="N97" s="50" t="n"/>
      <c r="O97" s="50" t="n"/>
      <c r="P97" s="50" t="n"/>
      <c r="Q97" s="50" t="n"/>
      <c r="R97" s="50" t="n"/>
      <c r="S97" s="50" t="n"/>
    </row>
    <row r="98">
      <c r="A98" s="50" t="inlineStr">
        <is>
          <t>1958-09</t>
        </is>
      </c>
      <c r="B98" s="50" t="n">
        <v>24.7</v>
      </c>
      <c r="C98" s="50" t="n">
        <v>5.556</v>
      </c>
      <c r="D98" s="50" t="n"/>
      <c r="E98" s="50" t="n">
        <v>25.3</v>
      </c>
      <c r="F98" s="50" t="n">
        <v>5.858</v>
      </c>
      <c r="G98" s="50" t="n"/>
      <c r="H98" s="50" t="n"/>
      <c r="I98" s="50" t="n"/>
      <c r="J98" s="50" t="n"/>
      <c r="K98" s="50" t="n">
        <v>25.5</v>
      </c>
      <c r="L98" s="50" t="n">
        <v>1.19</v>
      </c>
      <c r="M98" s="50" t="n"/>
      <c r="N98" s="50" t="n"/>
      <c r="O98" s="50" t="n"/>
      <c r="P98" s="50" t="n"/>
      <c r="Q98" s="50" t="n">
        <v>23.9</v>
      </c>
      <c r="R98" s="50" t="n">
        <v>13.27</v>
      </c>
      <c r="S98" s="50" t="n"/>
    </row>
    <row r="99">
      <c r="A99" s="50" t="inlineStr">
        <is>
          <t>1958-10</t>
        </is>
      </c>
      <c r="B99" s="50" t="n">
        <v>24.9</v>
      </c>
      <c r="C99" s="50" t="n">
        <v>5.957</v>
      </c>
      <c r="D99" s="50" t="n"/>
      <c r="E99" s="50" t="n">
        <v>25.4</v>
      </c>
      <c r="F99" s="50" t="n">
        <v>5.833</v>
      </c>
      <c r="G99" s="50" t="n"/>
      <c r="H99" s="50" t="n"/>
      <c r="I99" s="50" t="n"/>
      <c r="J99" s="50" t="n"/>
      <c r="K99" s="50" t="n"/>
      <c r="L99" s="50" t="n"/>
      <c r="M99" s="50" t="n"/>
      <c r="N99" s="50" t="n"/>
      <c r="O99" s="50" t="n"/>
      <c r="P99" s="50" t="n"/>
      <c r="Q99" s="50" t="n"/>
      <c r="R99" s="50" t="n"/>
      <c r="S99" s="50" t="n"/>
    </row>
    <row r="100">
      <c r="A100" s="50" t="inlineStr">
        <is>
          <t>1958-11</t>
        </is>
      </c>
      <c r="B100" s="50" t="n">
        <v>25.2</v>
      </c>
      <c r="C100" s="50" t="n">
        <v>6.329</v>
      </c>
      <c r="D100" s="50" t="n"/>
      <c r="E100" s="50" t="n">
        <v>25.4</v>
      </c>
      <c r="F100" s="50" t="n">
        <v>6.276</v>
      </c>
      <c r="G100" s="50" t="n"/>
      <c r="H100" s="50" t="n"/>
      <c r="I100" s="50" t="n"/>
      <c r="J100" s="50" t="n"/>
      <c r="K100" s="50" t="n"/>
      <c r="L100" s="50" t="n"/>
      <c r="M100" s="50" t="n"/>
      <c r="N100" s="50" t="n"/>
      <c r="O100" s="50" t="n"/>
      <c r="P100" s="50" t="n"/>
      <c r="Q100" s="50" t="n"/>
      <c r="R100" s="50" t="n"/>
      <c r="S100" s="50" t="n"/>
    </row>
    <row r="101">
      <c r="A101" s="50" t="inlineStr">
        <is>
          <t>1958-12</t>
        </is>
      </c>
      <c r="B101" s="50" t="n">
        <v>25.6</v>
      </c>
      <c r="C101" s="50" t="n">
        <v>8.936</v>
      </c>
      <c r="D101" s="50" t="n"/>
      <c r="E101" s="50" t="n">
        <v>25.6</v>
      </c>
      <c r="F101" s="50" t="n">
        <v>8.936</v>
      </c>
      <c r="G101" s="50" t="n"/>
      <c r="H101" s="50" t="n"/>
      <c r="I101" s="50" t="n"/>
      <c r="J101" s="50" t="n"/>
      <c r="K101" s="50" t="n">
        <v>25.6</v>
      </c>
      <c r="L101" s="50" t="n">
        <v>0.392</v>
      </c>
      <c r="M101" s="50" t="n"/>
      <c r="N101" s="50" t="n"/>
      <c r="O101" s="50" t="n"/>
      <c r="P101" s="50" t="n"/>
      <c r="Q101" s="50" t="n">
        <v>23.8</v>
      </c>
      <c r="R101" s="50" t="n">
        <v>10.698</v>
      </c>
      <c r="S101" s="50" t="n"/>
    </row>
    <row r="102">
      <c r="A102" s="50" t="inlineStr">
        <is>
          <t>1959-01</t>
        </is>
      </c>
      <c r="B102" s="50" t="n">
        <v>25.9</v>
      </c>
      <c r="C102" s="50" t="n">
        <v>11.638</v>
      </c>
      <c r="D102" s="50" t="n"/>
      <c r="E102" s="50" t="n">
        <v>25.5</v>
      </c>
      <c r="F102" s="50" t="n">
        <v>11.354</v>
      </c>
      <c r="G102" s="50" t="n"/>
      <c r="H102" s="50" t="n"/>
      <c r="I102" s="50" t="n"/>
      <c r="J102" s="50" t="n"/>
      <c r="K102" s="50" t="n"/>
      <c r="L102" s="50" t="n"/>
      <c r="M102" s="50" t="n"/>
      <c r="N102" s="50" t="n"/>
      <c r="O102" s="50" t="n"/>
      <c r="P102" s="50" t="n"/>
      <c r="Q102" s="50" t="n"/>
      <c r="R102" s="50" t="n"/>
      <c r="S102" s="50" t="n"/>
    </row>
    <row r="103">
      <c r="A103" s="50" t="inlineStr">
        <is>
          <t>1959-02</t>
        </is>
      </c>
      <c r="B103" s="50" t="n">
        <v>26.1</v>
      </c>
      <c r="C103" s="50" t="n">
        <v>12.017</v>
      </c>
      <c r="D103" s="50" t="n"/>
      <c r="E103" s="50" t="n">
        <v>25.5</v>
      </c>
      <c r="F103" s="50" t="n">
        <v>11.842</v>
      </c>
      <c r="G103" s="50" t="n"/>
      <c r="H103" s="50" t="n"/>
      <c r="I103" s="50" t="n"/>
      <c r="J103" s="50" t="n"/>
      <c r="K103" s="50" t="n"/>
      <c r="L103" s="50" t="n"/>
      <c r="M103" s="50" t="n"/>
      <c r="N103" s="50" t="n"/>
      <c r="O103" s="50" t="n"/>
      <c r="P103" s="50" t="n"/>
      <c r="Q103" s="50" t="n"/>
      <c r="R103" s="50" t="n"/>
      <c r="S103" s="50" t="n"/>
    </row>
    <row r="104">
      <c r="A104" s="50" t="inlineStr">
        <is>
          <t>1959-03</t>
        </is>
      </c>
      <c r="B104" s="50" t="n">
        <v>26.4</v>
      </c>
      <c r="C104" s="50" t="n">
        <v>14.286</v>
      </c>
      <c r="D104" s="50" t="n"/>
      <c r="E104" s="50" t="n">
        <v>25.9</v>
      </c>
      <c r="F104" s="50" t="n">
        <v>14.097</v>
      </c>
      <c r="G104" s="50" t="n"/>
      <c r="H104" s="50" t="n"/>
      <c r="I104" s="50" t="n"/>
      <c r="J104" s="50" t="n"/>
      <c r="K104" s="50" t="n">
        <v>25.7</v>
      </c>
      <c r="L104" s="50" t="n">
        <v>1.581</v>
      </c>
      <c r="M104" s="50" t="n"/>
      <c r="N104" s="50" t="n"/>
      <c r="O104" s="50" t="n"/>
      <c r="P104" s="50" t="n"/>
      <c r="Q104" s="50" t="n">
        <v>24.7</v>
      </c>
      <c r="R104" s="50" t="n">
        <v>4.661</v>
      </c>
      <c r="S104" s="50" t="n"/>
    </row>
    <row r="105">
      <c r="A105" s="50" t="inlineStr">
        <is>
          <t>1959-04</t>
        </is>
      </c>
      <c r="B105" s="50" t="n">
        <v>26.6</v>
      </c>
      <c r="C105" s="50" t="n">
        <v>14.163</v>
      </c>
      <c r="D105" s="50" t="n"/>
      <c r="E105" s="50" t="n">
        <v>26.3</v>
      </c>
      <c r="F105" s="50" t="n">
        <v>14.847</v>
      </c>
      <c r="G105" s="50" t="n"/>
      <c r="H105" s="50" t="n"/>
      <c r="I105" s="50" t="n"/>
      <c r="J105" s="50" t="n"/>
      <c r="K105" s="50" t="n"/>
      <c r="L105" s="50" t="n"/>
      <c r="M105" s="50" t="n"/>
      <c r="N105" s="50" t="n"/>
      <c r="O105" s="50" t="n"/>
      <c r="P105" s="50" t="n"/>
      <c r="Q105" s="50" t="n"/>
      <c r="R105" s="50" t="n"/>
      <c r="S105" s="50" t="n"/>
    </row>
    <row r="106">
      <c r="A106" s="50" t="inlineStr">
        <is>
          <t>1959-05</t>
        </is>
      </c>
      <c r="B106" s="50" t="n">
        <v>26.6</v>
      </c>
      <c r="C106" s="50" t="n">
        <v>13.191</v>
      </c>
      <c r="D106" s="50" t="n"/>
      <c r="E106" s="50" t="n">
        <v>26.4</v>
      </c>
      <c r="F106" s="50" t="n">
        <v>13.793</v>
      </c>
      <c r="G106" s="50" t="n"/>
      <c r="H106" s="50" t="n"/>
      <c r="I106" s="50" t="n"/>
      <c r="J106" s="50" t="n"/>
      <c r="K106" s="50" t="n"/>
      <c r="L106" s="50" t="n"/>
      <c r="M106" s="50" t="n"/>
      <c r="N106" s="50" t="n"/>
      <c r="O106" s="50" t="n"/>
      <c r="P106" s="50" t="n"/>
      <c r="Q106" s="50" t="n"/>
      <c r="R106" s="50" t="n"/>
      <c r="S106" s="50" t="n"/>
    </row>
    <row r="107">
      <c r="A107" s="50" t="inlineStr">
        <is>
          <t>1959-06</t>
        </is>
      </c>
      <c r="B107" s="50" t="n">
        <v>26.8</v>
      </c>
      <c r="C107" s="50" t="n">
        <v>14.53</v>
      </c>
      <c r="D107" s="50" t="n"/>
      <c r="E107" s="50" t="n">
        <v>26.8</v>
      </c>
      <c r="F107" s="50" t="n">
        <v>14.53</v>
      </c>
      <c r="G107" s="50" t="n"/>
      <c r="H107" s="50" t="n"/>
      <c r="I107" s="50" t="n"/>
      <c r="J107" s="50" t="n"/>
      <c r="K107" s="50" t="n">
        <v>25.9</v>
      </c>
      <c r="L107" s="50" t="n">
        <v>1.969</v>
      </c>
      <c r="M107" s="50" t="n"/>
      <c r="N107" s="50" t="n"/>
      <c r="O107" s="50" t="n"/>
      <c r="P107" s="50" t="n"/>
      <c r="Q107" s="50" t="n">
        <v>25.1</v>
      </c>
      <c r="R107" s="50" t="n">
        <v>6.356</v>
      </c>
      <c r="S107" s="50" t="n"/>
    </row>
    <row r="108">
      <c r="A108" s="50" t="inlineStr">
        <is>
          <t>1959-07</t>
        </is>
      </c>
      <c r="B108" s="50" t="n">
        <v>27.3</v>
      </c>
      <c r="C108" s="50" t="n">
        <v>14.226</v>
      </c>
      <c r="D108" s="50" t="n"/>
      <c r="E108" s="50" t="n">
        <v>27.5</v>
      </c>
      <c r="F108" s="50" t="n">
        <v>14.583</v>
      </c>
      <c r="G108" s="50" t="n"/>
      <c r="H108" s="50" t="n"/>
      <c r="I108" s="50" t="n"/>
      <c r="J108" s="50" t="n"/>
      <c r="K108" s="50" t="n"/>
      <c r="L108" s="50" t="n"/>
      <c r="M108" s="50" t="n"/>
      <c r="N108" s="50" t="n"/>
      <c r="O108" s="50" t="n"/>
      <c r="P108" s="50" t="n"/>
      <c r="Q108" s="50" t="n"/>
      <c r="R108" s="50" t="n"/>
      <c r="S108" s="50" t="n"/>
    </row>
    <row r="109">
      <c r="A109" s="50" t="inlineStr">
        <is>
          <t>1959-08</t>
        </is>
      </c>
      <c r="B109" s="50" t="n">
        <v>27.2</v>
      </c>
      <c r="C109" s="50" t="n">
        <v>12.863</v>
      </c>
      <c r="D109" s="50" t="n"/>
      <c r="E109" s="50" t="n">
        <v>27.8</v>
      </c>
      <c r="F109" s="50" t="n">
        <v>13.469</v>
      </c>
      <c r="G109" s="50" t="n"/>
      <c r="H109" s="50" t="n"/>
      <c r="I109" s="50" t="n"/>
      <c r="J109" s="50" t="n"/>
      <c r="K109" s="50" t="n"/>
      <c r="L109" s="50" t="n"/>
      <c r="M109" s="50" t="n"/>
      <c r="N109" s="50" t="n"/>
      <c r="O109" s="50" t="n"/>
      <c r="P109" s="50" t="n"/>
      <c r="Q109" s="50" t="n"/>
      <c r="R109" s="50" t="n"/>
      <c r="S109" s="50" t="n"/>
    </row>
    <row r="110">
      <c r="A110" s="50" t="inlineStr">
        <is>
          <t>1959-09</t>
        </is>
      </c>
      <c r="B110" s="50" t="n">
        <v>27.5</v>
      </c>
      <c r="C110" s="50" t="n">
        <v>11.336</v>
      </c>
      <c r="D110" s="50" t="n"/>
      <c r="E110" s="50" t="n">
        <v>28.1</v>
      </c>
      <c r="F110" s="50" t="n">
        <v>11.067</v>
      </c>
      <c r="G110" s="50" t="n"/>
      <c r="H110" s="50" t="n"/>
      <c r="I110" s="50" t="n"/>
      <c r="J110" s="50" t="n"/>
      <c r="K110" s="50" t="n">
        <v>26.2</v>
      </c>
      <c r="L110" s="50" t="n">
        <v>2.745</v>
      </c>
      <c r="M110" s="50" t="n"/>
      <c r="N110" s="50" t="n"/>
      <c r="O110" s="50" t="n"/>
      <c r="P110" s="50" t="n"/>
      <c r="Q110" s="50" t="n">
        <v>25.4</v>
      </c>
      <c r="R110" s="50" t="n">
        <v>6.276</v>
      </c>
      <c r="S110" s="50" t="n"/>
    </row>
    <row r="111">
      <c r="A111" s="50" t="inlineStr">
        <is>
          <t>1959-10</t>
        </is>
      </c>
      <c r="B111" s="50" t="n">
        <v>27</v>
      </c>
      <c r="C111" s="50" t="n">
        <v>8.433999999999999</v>
      </c>
      <c r="D111" s="50" t="n"/>
      <c r="E111" s="50" t="n">
        <v>27.5</v>
      </c>
      <c r="F111" s="50" t="n">
        <v>8.268000000000001</v>
      </c>
      <c r="G111" s="50" t="n"/>
      <c r="H111" s="50" t="n"/>
      <c r="I111" s="50" t="n"/>
      <c r="J111" s="50" t="n"/>
      <c r="K111" s="50" t="n"/>
      <c r="L111" s="50" t="n"/>
      <c r="M111" s="50" t="n"/>
      <c r="N111" s="50" t="n"/>
      <c r="O111" s="50" t="n"/>
      <c r="P111" s="50" t="n"/>
      <c r="Q111" s="50" t="n"/>
      <c r="R111" s="50" t="n"/>
      <c r="S111" s="50" t="n"/>
    </row>
    <row r="112">
      <c r="A112" s="50" t="inlineStr">
        <is>
          <t>1959-11</t>
        </is>
      </c>
      <c r="B112" s="50" t="n">
        <v>27</v>
      </c>
      <c r="C112" s="50" t="n">
        <v>7.143</v>
      </c>
      <c r="D112" s="50" t="n"/>
      <c r="E112" s="50" t="n">
        <v>27.2</v>
      </c>
      <c r="F112" s="50" t="n">
        <v>7.087</v>
      </c>
      <c r="G112" s="50" t="n"/>
      <c r="H112" s="50" t="n"/>
      <c r="I112" s="50" t="n"/>
      <c r="J112" s="50" t="n"/>
      <c r="K112" s="50" t="n"/>
      <c r="L112" s="50" t="n"/>
      <c r="M112" s="50" t="n"/>
      <c r="N112" s="50" t="n"/>
      <c r="O112" s="50" t="n"/>
      <c r="P112" s="50" t="n"/>
      <c r="Q112" s="50" t="n"/>
      <c r="R112" s="50" t="n"/>
      <c r="S112" s="50" t="n"/>
    </row>
    <row r="113">
      <c r="A113" s="50" t="inlineStr">
        <is>
          <t>1959-12</t>
        </is>
      </c>
      <c r="B113" s="50" t="n">
        <v>27.2</v>
      </c>
      <c r="C113" s="50" t="n">
        <v>6.25</v>
      </c>
      <c r="D113" s="50" t="n"/>
      <c r="E113" s="50" t="n">
        <v>27.2</v>
      </c>
      <c r="F113" s="50" t="n">
        <v>6.25</v>
      </c>
      <c r="G113" s="50" t="n"/>
      <c r="H113" s="50" t="n"/>
      <c r="I113" s="50" t="n"/>
      <c r="J113" s="50" t="n"/>
      <c r="K113" s="50" t="n">
        <v>26.3</v>
      </c>
      <c r="L113" s="50" t="n">
        <v>2.734</v>
      </c>
      <c r="M113" s="50" t="n"/>
      <c r="N113" s="50" t="n"/>
      <c r="O113" s="50" t="n"/>
      <c r="P113" s="50" t="n"/>
      <c r="Q113" s="50" t="n">
        <v>25.5</v>
      </c>
      <c r="R113" s="50" t="n">
        <v>7.143</v>
      </c>
      <c r="S113" s="50" t="n"/>
    </row>
    <row r="114">
      <c r="A114" s="50" t="inlineStr">
        <is>
          <t>1960-01</t>
        </is>
      </c>
      <c r="B114" s="50" t="n">
        <v>27.2</v>
      </c>
      <c r="C114" s="50" t="n">
        <v>5.019</v>
      </c>
      <c r="D114" s="50" t="n"/>
      <c r="E114" s="50" t="n">
        <v>26.7</v>
      </c>
      <c r="F114" s="50" t="n">
        <v>4.706</v>
      </c>
      <c r="G114" s="50" t="n"/>
      <c r="H114" s="50" t="n"/>
      <c r="I114" s="50" t="n"/>
      <c r="J114" s="50" t="n"/>
      <c r="K114" s="50" t="n"/>
      <c r="L114" s="50" t="n"/>
      <c r="M114" s="50" t="n"/>
      <c r="N114" s="50" t="n"/>
      <c r="O114" s="50" t="n"/>
      <c r="P114" s="50" t="n"/>
      <c r="Q114" s="50" t="n"/>
      <c r="R114" s="50" t="n"/>
      <c r="S114" s="50" t="n"/>
    </row>
    <row r="115">
      <c r="A115" s="50" t="inlineStr">
        <is>
          <t>1960-02</t>
        </is>
      </c>
      <c r="B115" s="50" t="n">
        <v>27.8</v>
      </c>
      <c r="C115" s="50" t="n">
        <v>6.513</v>
      </c>
      <c r="D115" s="50" t="n"/>
      <c r="E115" s="50" t="n">
        <v>27.1</v>
      </c>
      <c r="F115" s="50" t="n">
        <v>6.275</v>
      </c>
      <c r="G115" s="50" t="n"/>
      <c r="H115" s="50" t="n"/>
      <c r="I115" s="50" t="n"/>
      <c r="J115" s="50" t="n"/>
      <c r="K115" s="50" t="n"/>
      <c r="L115" s="50" t="n"/>
      <c r="M115" s="50" t="n"/>
      <c r="N115" s="50" t="n"/>
      <c r="O115" s="50" t="n"/>
      <c r="P115" s="50" t="n"/>
      <c r="Q115" s="50" t="n"/>
      <c r="R115" s="50" t="n"/>
      <c r="S115" s="50" t="n"/>
    </row>
    <row r="116">
      <c r="A116" s="50" t="inlineStr">
        <is>
          <t>1960-03</t>
        </is>
      </c>
      <c r="B116" s="50" t="n">
        <v>26.5</v>
      </c>
      <c r="C116" s="50" t="n">
        <v>0.379</v>
      </c>
      <c r="D116" s="50" t="n"/>
      <c r="E116" s="50" t="n">
        <v>26</v>
      </c>
      <c r="F116" s="50" t="n">
        <v>0.386</v>
      </c>
      <c r="G116" s="50" t="n"/>
      <c r="H116" s="50" t="n"/>
      <c r="I116" s="50" t="n"/>
      <c r="J116" s="50" t="n"/>
      <c r="K116" s="50" t="n">
        <v>26.3</v>
      </c>
      <c r="L116" s="50" t="n">
        <v>2.335</v>
      </c>
      <c r="M116" s="50" t="n"/>
      <c r="N116" s="50" t="n"/>
      <c r="O116" s="50" t="n"/>
      <c r="P116" s="50" t="n"/>
      <c r="Q116" s="50" t="n">
        <v>25.7</v>
      </c>
      <c r="R116" s="50" t="n">
        <v>4.049</v>
      </c>
      <c r="S116" s="50" t="n"/>
    </row>
    <row r="117">
      <c r="A117" s="50" t="inlineStr">
        <is>
          <t>1960-04</t>
        </is>
      </c>
      <c r="B117" s="50" t="n">
        <v>25.5</v>
      </c>
      <c r="C117" s="50" t="n">
        <v>-4.135</v>
      </c>
      <c r="D117" s="50" t="n"/>
      <c r="E117" s="50" t="n">
        <v>25.2</v>
      </c>
      <c r="F117" s="50" t="n">
        <v>-4.183</v>
      </c>
      <c r="G117" s="50" t="n"/>
      <c r="H117" s="50" t="n"/>
      <c r="I117" s="50" t="n"/>
      <c r="J117" s="50" t="n"/>
      <c r="K117" s="50" t="n"/>
      <c r="L117" s="50" t="n"/>
      <c r="M117" s="50" t="n"/>
      <c r="N117" s="50" t="n"/>
      <c r="O117" s="50" t="n"/>
      <c r="P117" s="50" t="n"/>
      <c r="Q117" s="50" t="n"/>
      <c r="R117" s="50" t="n"/>
      <c r="S117" s="50" t="n"/>
    </row>
    <row r="118">
      <c r="A118" s="50" t="inlineStr">
        <is>
          <t>1960-05</t>
        </is>
      </c>
      <c r="B118" s="50" t="n">
        <v>25.4</v>
      </c>
      <c r="C118" s="50" t="n">
        <v>-4.511</v>
      </c>
      <c r="D118" s="50" t="n"/>
      <c r="E118" s="50" t="n">
        <v>25.2</v>
      </c>
      <c r="F118" s="50" t="n">
        <v>-4.545</v>
      </c>
      <c r="G118" s="50" t="n"/>
      <c r="H118" s="50" t="n"/>
      <c r="I118" s="50" t="n"/>
      <c r="J118" s="50" t="n"/>
      <c r="K118" s="50" t="n"/>
      <c r="L118" s="50" t="n"/>
      <c r="M118" s="50" t="n"/>
      <c r="N118" s="50" t="n"/>
      <c r="O118" s="50" t="n"/>
      <c r="P118" s="50" t="n"/>
      <c r="Q118" s="50" t="n"/>
      <c r="R118" s="50" t="n"/>
      <c r="S118" s="50" t="n"/>
    </row>
    <row r="119">
      <c r="A119" s="50" t="inlineStr">
        <is>
          <t>1960-06</t>
        </is>
      </c>
      <c r="B119" s="50" t="n">
        <v>25.2</v>
      </c>
      <c r="C119" s="50" t="n">
        <v>-5.97</v>
      </c>
      <c r="D119" s="50" t="n"/>
      <c r="E119" s="50" t="n">
        <v>25.3</v>
      </c>
      <c r="F119" s="50" t="n">
        <v>-5.597</v>
      </c>
      <c r="G119" s="50" t="n"/>
      <c r="H119" s="50" t="n"/>
      <c r="I119" s="50" t="n"/>
      <c r="J119" s="50" t="n"/>
      <c r="K119" s="50" t="n">
        <v>26.3</v>
      </c>
      <c r="L119" s="50" t="n">
        <v>1.544</v>
      </c>
      <c r="M119" s="50" t="n"/>
      <c r="N119" s="50" t="n"/>
      <c r="O119" s="50" t="n"/>
      <c r="P119" s="50" t="n"/>
      <c r="Q119" s="50" t="n">
        <v>25.7</v>
      </c>
      <c r="R119" s="50" t="n">
        <v>2.39</v>
      </c>
      <c r="S119" s="50" t="n"/>
    </row>
    <row r="120">
      <c r="A120" s="50" t="inlineStr">
        <is>
          <t>1960-07</t>
        </is>
      </c>
      <c r="B120" s="50" t="n">
        <v>24.7</v>
      </c>
      <c r="C120" s="50" t="n">
        <v>-9.523999999999999</v>
      </c>
      <c r="D120" s="50" t="n"/>
      <c r="E120" s="50" t="n">
        <v>24.9</v>
      </c>
      <c r="F120" s="50" t="n">
        <v>-9.455</v>
      </c>
      <c r="G120" s="50" t="n"/>
      <c r="H120" s="50" t="n"/>
      <c r="I120" s="50" t="n"/>
      <c r="J120" s="50" t="n"/>
      <c r="K120" s="50" t="n"/>
      <c r="L120" s="50" t="n"/>
      <c r="M120" s="50" t="n"/>
      <c r="N120" s="50" t="n"/>
      <c r="O120" s="50" t="n"/>
      <c r="P120" s="50" t="n"/>
      <c r="Q120" s="50" t="n"/>
      <c r="R120" s="50" t="n"/>
      <c r="S120" s="50" t="n"/>
    </row>
    <row r="121">
      <c r="A121" s="50" t="inlineStr">
        <is>
          <t>1960-08</t>
        </is>
      </c>
      <c r="B121" s="50" t="n">
        <v>24.5</v>
      </c>
      <c r="C121" s="50" t="n">
        <v>-9.926</v>
      </c>
      <c r="D121" s="50" t="n"/>
      <c r="E121" s="50" t="n">
        <v>25</v>
      </c>
      <c r="F121" s="50" t="n">
        <v>-10.072</v>
      </c>
      <c r="G121" s="50" t="n"/>
      <c r="H121" s="50" t="n"/>
      <c r="I121" s="50" t="n"/>
      <c r="J121" s="50" t="n"/>
      <c r="K121" s="50" t="n"/>
      <c r="L121" s="50" t="n"/>
      <c r="M121" s="50" t="n"/>
      <c r="N121" s="50" t="n"/>
      <c r="O121" s="50" t="n"/>
      <c r="P121" s="50" t="n"/>
      <c r="Q121" s="50" t="n"/>
      <c r="R121" s="50" t="n"/>
      <c r="S121" s="50" t="n"/>
    </row>
    <row r="122">
      <c r="A122" s="50" t="inlineStr">
        <is>
          <t>1960-09</t>
        </is>
      </c>
      <c r="B122" s="50" t="n">
        <v>23.6</v>
      </c>
      <c r="C122" s="50" t="n">
        <v>-14.182</v>
      </c>
      <c r="D122" s="50" t="n"/>
      <c r="E122" s="50" t="n">
        <v>24.2</v>
      </c>
      <c r="F122" s="50" t="n">
        <v>-13.879</v>
      </c>
      <c r="G122" s="50" t="n"/>
      <c r="H122" s="50" t="n"/>
      <c r="I122" s="50" t="n"/>
      <c r="J122" s="50" t="n"/>
      <c r="K122" s="50" t="n">
        <v>26.6</v>
      </c>
      <c r="L122" s="50" t="n">
        <v>1.527</v>
      </c>
      <c r="M122" s="50" t="n"/>
      <c r="N122" s="50" t="n"/>
      <c r="O122" s="50" t="n"/>
      <c r="P122" s="50" t="n"/>
      <c r="Q122" s="50" t="n">
        <v>25.7</v>
      </c>
      <c r="R122" s="50" t="n">
        <v>1.181</v>
      </c>
      <c r="S122" s="50" t="n"/>
    </row>
    <row r="123">
      <c r="A123" s="50" t="inlineStr">
        <is>
          <t>1960-10</t>
        </is>
      </c>
      <c r="B123" s="50" t="n">
        <v>23.7</v>
      </c>
      <c r="C123" s="50" t="n">
        <v>-12.222</v>
      </c>
      <c r="D123" s="50" t="n"/>
      <c r="E123" s="50" t="n">
        <v>24</v>
      </c>
      <c r="F123" s="50" t="n">
        <v>-12.727</v>
      </c>
      <c r="G123" s="50" t="n"/>
      <c r="H123" s="50" t="n"/>
      <c r="I123" s="50" t="n"/>
      <c r="J123" s="50" t="n"/>
      <c r="K123" s="50" t="n"/>
      <c r="L123" s="50" t="n"/>
      <c r="M123" s="50" t="n"/>
      <c r="N123" s="50" t="n"/>
      <c r="O123" s="50" t="n"/>
      <c r="P123" s="50" t="n"/>
      <c r="Q123" s="50" t="n"/>
      <c r="R123" s="50" t="n"/>
      <c r="S123" s="50" t="n"/>
    </row>
    <row r="124">
      <c r="A124" s="50" t="inlineStr">
        <is>
          <t>1960-11</t>
        </is>
      </c>
      <c r="B124" s="50" t="n">
        <v>23.1</v>
      </c>
      <c r="C124" s="50" t="n">
        <v>-14.444</v>
      </c>
      <c r="D124" s="50" t="n"/>
      <c r="E124" s="50" t="n">
        <v>23.4</v>
      </c>
      <c r="F124" s="50" t="n">
        <v>-13.971</v>
      </c>
      <c r="G124" s="50" t="n"/>
      <c r="H124" s="50" t="n"/>
      <c r="I124" s="50" t="n"/>
      <c r="J124" s="50" t="n"/>
      <c r="K124" s="50" t="n"/>
      <c r="L124" s="50" t="n"/>
      <c r="M124" s="50" t="n"/>
      <c r="N124" s="50" t="n"/>
      <c r="O124" s="50" t="n"/>
      <c r="P124" s="50" t="n"/>
      <c r="Q124" s="50" t="n"/>
      <c r="R124" s="50" t="n"/>
      <c r="S124" s="50" t="n"/>
    </row>
    <row r="125">
      <c r="A125" s="50" t="inlineStr">
        <is>
          <t>1960-12</t>
        </is>
      </c>
      <c r="B125" s="50" t="n">
        <v>23.7</v>
      </c>
      <c r="C125" s="50" t="n">
        <v>-12.868</v>
      </c>
      <c r="D125" s="50" t="n"/>
      <c r="E125" s="50" t="n">
        <v>23.7</v>
      </c>
      <c r="F125" s="50" t="n">
        <v>-12.868</v>
      </c>
      <c r="G125" s="50" t="n"/>
      <c r="H125" s="50" t="n"/>
      <c r="I125" s="50" t="n"/>
      <c r="J125" s="50" t="n"/>
      <c r="K125" s="50" t="n">
        <v>26.8</v>
      </c>
      <c r="L125" s="50" t="n">
        <v>1.901</v>
      </c>
      <c r="M125" s="50" t="n"/>
      <c r="N125" s="50" t="n"/>
      <c r="O125" s="50" t="n"/>
      <c r="P125" s="50" t="n"/>
      <c r="Q125" s="50" t="n">
        <v>25.9</v>
      </c>
      <c r="R125" s="50" t="n">
        <v>1.569</v>
      </c>
      <c r="S125" s="50" t="n"/>
    </row>
    <row r="126">
      <c r="A126" s="50" t="inlineStr">
        <is>
          <t>1961-01</t>
        </is>
      </c>
      <c r="B126" s="50" t="n">
        <v>23.6</v>
      </c>
      <c r="C126" s="50" t="n">
        <v>-13.235</v>
      </c>
      <c r="D126" s="50" t="n"/>
      <c r="E126" s="50" t="n">
        <v>23.1</v>
      </c>
      <c r="F126" s="50" t="n">
        <v>-13.483</v>
      </c>
      <c r="G126" s="50" t="n"/>
      <c r="H126" s="50" t="n"/>
      <c r="I126" s="50" t="n"/>
      <c r="J126" s="50" t="n"/>
      <c r="K126" s="50" t="n"/>
      <c r="L126" s="50" t="n"/>
      <c r="M126" s="50" t="n"/>
      <c r="N126" s="50" t="n"/>
      <c r="O126" s="50" t="n"/>
      <c r="P126" s="50" t="n"/>
      <c r="Q126" s="50" t="n"/>
      <c r="R126" s="50" t="n"/>
      <c r="S126" s="50" t="n"/>
    </row>
    <row r="127">
      <c r="A127" s="50" t="inlineStr">
        <is>
          <t>1961-02</t>
        </is>
      </c>
      <c r="B127" s="50" t="n">
        <v>24.7</v>
      </c>
      <c r="C127" s="50" t="n">
        <v>-11.151</v>
      </c>
      <c r="D127" s="50" t="n"/>
      <c r="E127" s="50" t="n">
        <v>24</v>
      </c>
      <c r="F127" s="50" t="n">
        <v>-11.439</v>
      </c>
      <c r="G127" s="50" t="n"/>
      <c r="H127" s="50" t="n"/>
      <c r="I127" s="50" t="n"/>
      <c r="J127" s="50" t="n"/>
      <c r="K127" s="50" t="n"/>
      <c r="L127" s="50" t="n"/>
      <c r="M127" s="50" t="n"/>
      <c r="N127" s="50" t="n"/>
      <c r="O127" s="50" t="n"/>
      <c r="P127" s="50" t="n"/>
      <c r="Q127" s="50" t="n"/>
      <c r="R127" s="50" t="n"/>
      <c r="S127" s="50" t="n"/>
    </row>
    <row r="128">
      <c r="A128" s="50" t="inlineStr">
        <is>
          <t>1961-03</t>
        </is>
      </c>
      <c r="B128" s="50" t="n">
        <v>24</v>
      </c>
      <c r="C128" s="50" t="n">
        <v>-9.433999999999999</v>
      </c>
      <c r="D128" s="50" t="n"/>
      <c r="E128" s="50" t="n">
        <v>23.5</v>
      </c>
      <c r="F128" s="50" t="n">
        <v>-9.615</v>
      </c>
      <c r="G128" s="50" t="n"/>
      <c r="H128" s="50" t="n"/>
      <c r="I128" s="50" t="n"/>
      <c r="J128" s="50" t="n"/>
      <c r="K128" s="50" t="n">
        <v>26.9</v>
      </c>
      <c r="L128" s="50" t="n">
        <v>2.281</v>
      </c>
      <c r="M128" s="50" t="n"/>
      <c r="N128" s="50" t="n"/>
      <c r="O128" s="50" t="n"/>
      <c r="P128" s="50" t="n"/>
      <c r="Q128" s="50" t="n">
        <v>25.9</v>
      </c>
      <c r="R128" s="50" t="n">
        <v>0.778</v>
      </c>
      <c r="S128" s="50" t="n"/>
    </row>
    <row r="129">
      <c r="A129" s="50" t="inlineStr">
        <is>
          <t>1961-04</t>
        </is>
      </c>
      <c r="B129" s="50" t="n">
        <v>25.3</v>
      </c>
      <c r="C129" s="50" t="n">
        <v>-0.784</v>
      </c>
      <c r="D129" s="50" t="n"/>
      <c r="E129" s="50" t="n">
        <v>25.1</v>
      </c>
      <c r="F129" s="50" t="n">
        <v>-0.397</v>
      </c>
      <c r="G129" s="50" t="n"/>
      <c r="H129" s="50" t="n"/>
      <c r="I129" s="50" t="n"/>
      <c r="J129" s="50" t="n"/>
      <c r="K129" s="50" t="n"/>
      <c r="L129" s="50" t="n"/>
      <c r="M129" s="50" t="n"/>
      <c r="N129" s="50" t="n"/>
      <c r="O129" s="50" t="n"/>
      <c r="P129" s="50" t="n"/>
      <c r="Q129" s="50" t="n"/>
      <c r="R129" s="50" t="n"/>
      <c r="S129" s="50" t="n"/>
    </row>
    <row r="130">
      <c r="A130" s="50" t="inlineStr">
        <is>
          <t>1961-05</t>
        </is>
      </c>
      <c r="B130" s="50" t="n">
        <v>25.7</v>
      </c>
      <c r="C130" s="50" t="n">
        <v>1.181</v>
      </c>
      <c r="D130" s="50" t="n"/>
      <c r="E130" s="50" t="n">
        <v>25.6</v>
      </c>
      <c r="F130" s="50" t="n">
        <v>1.587</v>
      </c>
      <c r="G130" s="50" t="n"/>
      <c r="H130" s="50" t="n"/>
      <c r="I130" s="50" t="n"/>
      <c r="J130" s="50" t="n"/>
      <c r="K130" s="50" t="n"/>
      <c r="L130" s="50" t="n"/>
      <c r="M130" s="50" t="n"/>
      <c r="N130" s="50" t="n"/>
      <c r="O130" s="50" t="n"/>
      <c r="P130" s="50" t="n"/>
      <c r="Q130" s="50" t="n"/>
      <c r="R130" s="50" t="n"/>
      <c r="S130" s="50" t="n"/>
    </row>
    <row r="131">
      <c r="A131" s="50" t="inlineStr">
        <is>
          <t>1961-06</t>
        </is>
      </c>
      <c r="B131" s="50" t="n">
        <v>26.3</v>
      </c>
      <c r="C131" s="50" t="n">
        <v>4.365</v>
      </c>
      <c r="D131" s="50" t="n"/>
      <c r="E131" s="50" t="n">
        <v>26.4</v>
      </c>
      <c r="F131" s="50" t="n">
        <v>4.348</v>
      </c>
      <c r="G131" s="50" t="n"/>
      <c r="H131" s="50" t="n"/>
      <c r="I131" s="50" t="n"/>
      <c r="J131" s="50" t="n"/>
      <c r="K131" s="50" t="n">
        <v>27.3</v>
      </c>
      <c r="L131" s="50" t="n">
        <v>3.802</v>
      </c>
      <c r="M131" s="50" t="n"/>
      <c r="N131" s="50" t="n"/>
      <c r="O131" s="50" t="n"/>
      <c r="P131" s="50" t="n"/>
      <c r="Q131" s="50" t="n">
        <v>26</v>
      </c>
      <c r="R131" s="50" t="n">
        <v>1.167</v>
      </c>
      <c r="S131" s="50" t="n"/>
    </row>
    <row r="132">
      <c r="A132" s="50" t="inlineStr">
        <is>
          <t>1961-07</t>
        </is>
      </c>
      <c r="B132" s="50" t="n">
        <v>26.5</v>
      </c>
      <c r="C132" s="50" t="n">
        <v>7.287</v>
      </c>
      <c r="D132" s="50" t="n"/>
      <c r="E132" s="50" t="n">
        <v>26.8</v>
      </c>
      <c r="F132" s="50" t="n">
        <v>7.631</v>
      </c>
      <c r="G132" s="50" t="n"/>
      <c r="H132" s="50" t="n"/>
      <c r="I132" s="50" t="n"/>
      <c r="J132" s="50" t="n"/>
      <c r="K132" s="50" t="n"/>
      <c r="L132" s="50" t="n"/>
      <c r="M132" s="50" t="n"/>
      <c r="N132" s="50" t="n"/>
      <c r="O132" s="50" t="n"/>
      <c r="P132" s="50" t="n"/>
      <c r="Q132" s="50" t="n"/>
      <c r="R132" s="50" t="n"/>
      <c r="S132" s="50" t="n"/>
    </row>
    <row r="133">
      <c r="A133" s="50" t="inlineStr">
        <is>
          <t>1961-08</t>
        </is>
      </c>
      <c r="B133" s="50" t="n">
        <v>27</v>
      </c>
      <c r="C133" s="50" t="n">
        <v>10.204</v>
      </c>
      <c r="D133" s="50" t="n"/>
      <c r="E133" s="50" t="n">
        <v>27.5</v>
      </c>
      <c r="F133" s="50" t="n">
        <v>10</v>
      </c>
      <c r="G133" s="50" t="n"/>
      <c r="H133" s="50" t="n"/>
      <c r="I133" s="50" t="n"/>
      <c r="J133" s="50" t="n"/>
      <c r="K133" s="50" t="n"/>
      <c r="L133" s="50" t="n"/>
      <c r="M133" s="50" t="n"/>
      <c r="N133" s="50" t="n"/>
      <c r="O133" s="50" t="n"/>
      <c r="P133" s="50" t="n"/>
      <c r="Q133" s="50" t="n"/>
      <c r="R133" s="50" t="n"/>
      <c r="S133" s="50" t="n"/>
    </row>
    <row r="134">
      <c r="A134" s="50" t="inlineStr">
        <is>
          <t>1961-09</t>
        </is>
      </c>
      <c r="B134" s="50" t="n">
        <v>27.1</v>
      </c>
      <c r="C134" s="50" t="n">
        <v>14.831</v>
      </c>
      <c r="D134" s="50" t="n"/>
      <c r="E134" s="50" t="n">
        <v>27.7</v>
      </c>
      <c r="F134" s="50" t="n">
        <v>14.463</v>
      </c>
      <c r="G134" s="50" t="n"/>
      <c r="H134" s="50" t="n"/>
      <c r="I134" s="50" t="n"/>
      <c r="J134" s="50" t="n"/>
      <c r="K134" s="50" t="n">
        <v>27.3</v>
      </c>
      <c r="L134" s="50" t="n">
        <v>2.632</v>
      </c>
      <c r="M134" s="50" t="n"/>
      <c r="N134" s="50" t="n"/>
      <c r="O134" s="50" t="n"/>
      <c r="P134" s="50" t="n"/>
      <c r="Q134" s="50" t="n">
        <v>25.9</v>
      </c>
      <c r="R134" s="50" t="n">
        <v>0.778</v>
      </c>
      <c r="S134" s="50" t="n"/>
    </row>
    <row r="135">
      <c r="A135" s="50" t="inlineStr">
        <is>
          <t>1961-10</t>
        </is>
      </c>
      <c r="B135" s="50" t="n">
        <v>27.4</v>
      </c>
      <c r="C135" s="50" t="n">
        <v>15.612</v>
      </c>
      <c r="D135" s="50" t="n"/>
      <c r="E135" s="50" t="n">
        <v>27.8</v>
      </c>
      <c r="F135" s="50" t="n">
        <v>15.833</v>
      </c>
      <c r="G135" s="50" t="n"/>
      <c r="H135" s="50" t="n"/>
      <c r="I135" s="50" t="n"/>
      <c r="J135" s="50" t="n"/>
      <c r="K135" s="50" t="n"/>
      <c r="L135" s="50" t="n"/>
      <c r="M135" s="50" t="n"/>
      <c r="N135" s="50" t="n"/>
      <c r="O135" s="50" t="n"/>
      <c r="P135" s="50" t="n"/>
      <c r="Q135" s="50" t="n"/>
      <c r="R135" s="50" t="n"/>
      <c r="S135" s="50" t="n"/>
    </row>
    <row r="136">
      <c r="A136" s="50" t="inlineStr">
        <is>
          <t>1961-11</t>
        </is>
      </c>
      <c r="B136" s="50" t="n">
        <v>27.5</v>
      </c>
      <c r="C136" s="50" t="n">
        <v>19.048</v>
      </c>
      <c r="D136" s="50" t="n"/>
      <c r="E136" s="50" t="n">
        <v>27.7</v>
      </c>
      <c r="F136" s="50" t="n">
        <v>18.376</v>
      </c>
      <c r="G136" s="50" t="n"/>
      <c r="H136" s="50" t="n"/>
      <c r="I136" s="50" t="n"/>
      <c r="J136" s="50" t="n"/>
      <c r="K136" s="50" t="n"/>
      <c r="L136" s="50" t="n"/>
      <c r="M136" s="50" t="n"/>
      <c r="N136" s="50" t="n"/>
      <c r="O136" s="50" t="n"/>
      <c r="P136" s="50" t="n"/>
      <c r="Q136" s="50" t="n"/>
      <c r="R136" s="50" t="n"/>
      <c r="S136" s="50" t="n"/>
    </row>
    <row r="137">
      <c r="A137" s="50" t="inlineStr">
        <is>
          <t>1961-12</t>
        </is>
      </c>
      <c r="B137" s="50" t="n">
        <v>27</v>
      </c>
      <c r="C137" s="50" t="n">
        <v>13.924</v>
      </c>
      <c r="D137" s="50" t="n"/>
      <c r="E137" s="50" t="n">
        <v>27</v>
      </c>
      <c r="F137" s="50" t="n">
        <v>13.924</v>
      </c>
      <c r="G137" s="50" t="n"/>
      <c r="H137" s="50" t="n"/>
      <c r="I137" s="50" t="n"/>
      <c r="J137" s="50" t="n"/>
      <c r="K137" s="50" t="n">
        <v>27.3</v>
      </c>
      <c r="L137" s="50" t="n">
        <v>1.866</v>
      </c>
      <c r="M137" s="50" t="n"/>
      <c r="N137" s="50" t="n"/>
      <c r="O137" s="50" t="n"/>
      <c r="P137" s="50" t="n"/>
      <c r="Q137" s="50" t="n">
        <v>26</v>
      </c>
      <c r="R137" s="50" t="n">
        <v>0.386</v>
      </c>
      <c r="S137" s="50" t="n"/>
    </row>
    <row r="138">
      <c r="A138" s="50" t="inlineStr">
        <is>
          <t>1962-01</t>
        </is>
      </c>
      <c r="B138" s="50" t="n">
        <v>27.1</v>
      </c>
      <c r="C138" s="50" t="n">
        <v>14.831</v>
      </c>
      <c r="D138" s="50" t="n"/>
      <c r="E138" s="50" t="n">
        <v>26.7</v>
      </c>
      <c r="F138" s="50" t="n">
        <v>15.584</v>
      </c>
      <c r="G138" s="50" t="n"/>
      <c r="H138" s="50" t="n"/>
      <c r="I138" s="50" t="n"/>
      <c r="J138" s="50" t="n"/>
      <c r="K138" s="50" t="n"/>
      <c r="L138" s="50" t="n"/>
      <c r="M138" s="50" t="n"/>
      <c r="N138" s="50" t="n"/>
      <c r="O138" s="50" t="n"/>
      <c r="P138" s="50" t="n"/>
      <c r="Q138" s="50" t="n"/>
      <c r="R138" s="50" t="n"/>
      <c r="S138" s="50" t="n"/>
    </row>
    <row r="139">
      <c r="A139" s="50" t="inlineStr">
        <is>
          <t>1962-02</t>
        </is>
      </c>
      <c r="B139" s="50" t="n">
        <v>27.3</v>
      </c>
      <c r="C139" s="50" t="n">
        <v>10.526</v>
      </c>
      <c r="D139" s="50" t="n"/>
      <c r="E139" s="50" t="n">
        <v>26.5</v>
      </c>
      <c r="F139" s="50" t="n">
        <v>10.417</v>
      </c>
      <c r="G139" s="50" t="n"/>
      <c r="H139" s="50" t="n"/>
      <c r="I139" s="50" t="n"/>
      <c r="J139" s="50" t="n"/>
      <c r="K139" s="50" t="n"/>
      <c r="L139" s="50" t="n"/>
      <c r="M139" s="50" t="n"/>
      <c r="N139" s="50" t="n"/>
      <c r="O139" s="50" t="n"/>
      <c r="P139" s="50" t="n"/>
      <c r="Q139" s="50" t="n"/>
      <c r="R139" s="50" t="n"/>
      <c r="S139" s="50" t="n"/>
    </row>
    <row r="140">
      <c r="A140" s="50" t="inlineStr">
        <is>
          <t>1962-03</t>
        </is>
      </c>
      <c r="B140" s="50" t="n">
        <v>27.3</v>
      </c>
      <c r="C140" s="50" t="n">
        <v>13.75</v>
      </c>
      <c r="D140" s="50" t="n"/>
      <c r="E140" s="50" t="n">
        <v>26.8</v>
      </c>
      <c r="F140" s="50" t="n">
        <v>14.043</v>
      </c>
      <c r="G140" s="50" t="n"/>
      <c r="H140" s="50" t="n"/>
      <c r="I140" s="50" t="n"/>
      <c r="J140" s="50" t="n"/>
      <c r="K140" s="50" t="n">
        <v>27.3</v>
      </c>
      <c r="L140" s="50" t="n">
        <v>1.487</v>
      </c>
      <c r="M140" s="50" t="n"/>
      <c r="N140" s="50" t="n"/>
      <c r="O140" s="50" t="n"/>
      <c r="P140" s="50" t="n"/>
      <c r="Q140" s="50" t="n">
        <v>26.2</v>
      </c>
      <c r="R140" s="50" t="n">
        <v>1.158</v>
      </c>
      <c r="S140" s="50" t="n"/>
    </row>
    <row r="141">
      <c r="A141" s="50" t="inlineStr">
        <is>
          <t>1962-04</t>
        </is>
      </c>
      <c r="B141" s="50" t="n">
        <v>28.2</v>
      </c>
      <c r="C141" s="50" t="n">
        <v>11.462</v>
      </c>
      <c r="D141" s="50" t="n"/>
      <c r="E141" s="50" t="n">
        <v>27.9</v>
      </c>
      <c r="F141" s="50" t="n">
        <v>11.155</v>
      </c>
      <c r="G141" s="50" t="n"/>
      <c r="H141" s="50" t="n"/>
      <c r="I141" s="50" t="n"/>
      <c r="J141" s="50" t="n"/>
      <c r="K141" s="50" t="n"/>
      <c r="L141" s="50" t="n"/>
      <c r="M141" s="50" t="n"/>
      <c r="N141" s="50" t="n"/>
      <c r="O141" s="50" t="n"/>
      <c r="P141" s="50" t="n"/>
      <c r="Q141" s="50" t="n"/>
      <c r="R141" s="50" t="n"/>
      <c r="S141" s="50" t="n"/>
    </row>
    <row r="142">
      <c r="A142" s="50" t="inlineStr">
        <is>
          <t>1962-05</t>
        </is>
      </c>
      <c r="B142" s="50" t="n">
        <v>28.6</v>
      </c>
      <c r="C142" s="50" t="n">
        <v>11.284</v>
      </c>
      <c r="D142" s="50" t="n"/>
      <c r="E142" s="50" t="n">
        <v>28.4</v>
      </c>
      <c r="F142" s="50" t="n">
        <v>10.937</v>
      </c>
      <c r="G142" s="50" t="n"/>
      <c r="H142" s="50" t="n"/>
      <c r="I142" s="50" t="n"/>
      <c r="J142" s="50" t="n"/>
      <c r="K142" s="50" t="n"/>
      <c r="L142" s="50" t="n"/>
      <c r="M142" s="50" t="n"/>
      <c r="N142" s="50" t="n"/>
      <c r="O142" s="50" t="n"/>
      <c r="P142" s="50" t="n"/>
      <c r="Q142" s="50" t="n"/>
      <c r="R142" s="50" t="n"/>
      <c r="S142" s="50" t="n"/>
    </row>
    <row r="143">
      <c r="A143" s="50" t="inlineStr">
        <is>
          <t>1962-06</t>
        </is>
      </c>
      <c r="B143" s="50" t="n">
        <v>28.6</v>
      </c>
      <c r="C143" s="50" t="n">
        <v>8.744999999999999</v>
      </c>
      <c r="D143" s="50" t="n"/>
      <c r="E143" s="50" t="n">
        <v>28.9</v>
      </c>
      <c r="F143" s="50" t="n">
        <v>9.470000000000001</v>
      </c>
      <c r="G143" s="50" t="n"/>
      <c r="H143" s="50" t="n"/>
      <c r="I143" s="50" t="n"/>
      <c r="J143" s="50" t="n"/>
      <c r="K143" s="50" t="n">
        <v>27.4</v>
      </c>
      <c r="L143" s="50" t="n">
        <v>0.366</v>
      </c>
      <c r="M143" s="50" t="n"/>
      <c r="N143" s="50" t="n"/>
      <c r="O143" s="50" t="n"/>
      <c r="P143" s="50" t="n"/>
      <c r="Q143" s="50" t="n">
        <v>26.1</v>
      </c>
      <c r="R143" s="50" t="n">
        <v>0.385</v>
      </c>
      <c r="S143" s="50" t="n"/>
    </row>
    <row r="144">
      <c r="A144" s="50" t="inlineStr">
        <is>
          <t>1962-07</t>
        </is>
      </c>
      <c r="B144" s="50" t="n">
        <v>28.5</v>
      </c>
      <c r="C144" s="50" t="n">
        <v>7.547</v>
      </c>
      <c r="D144" s="50" t="n"/>
      <c r="E144" s="50" t="n">
        <v>28.9</v>
      </c>
      <c r="F144" s="50" t="n">
        <v>7.836</v>
      </c>
      <c r="G144" s="50" t="n"/>
      <c r="H144" s="50" t="n"/>
      <c r="I144" s="50" t="n"/>
      <c r="J144" s="50" t="n"/>
      <c r="K144" s="50" t="n"/>
      <c r="L144" s="50" t="n"/>
      <c r="M144" s="50" t="n"/>
      <c r="N144" s="50" t="n"/>
      <c r="O144" s="50" t="n"/>
      <c r="P144" s="50" t="n"/>
      <c r="Q144" s="50" t="n"/>
      <c r="R144" s="50" t="n"/>
      <c r="S144" s="50" t="n"/>
    </row>
    <row r="145">
      <c r="A145" s="50" t="inlineStr">
        <is>
          <t>1962-08</t>
        </is>
      </c>
      <c r="B145" s="50" t="n">
        <v>28.8</v>
      </c>
      <c r="C145" s="50" t="n">
        <v>6.667</v>
      </c>
      <c r="D145" s="50" t="n"/>
      <c r="E145" s="50" t="n">
        <v>29.3</v>
      </c>
      <c r="F145" s="50" t="n">
        <v>6.545</v>
      </c>
      <c r="G145" s="50" t="n"/>
      <c r="H145" s="50" t="n"/>
      <c r="I145" s="50" t="n"/>
      <c r="J145" s="50" t="n"/>
      <c r="K145" s="50" t="n"/>
      <c r="L145" s="50" t="n"/>
      <c r="M145" s="50" t="n"/>
      <c r="N145" s="50" t="n"/>
      <c r="O145" s="50" t="n"/>
      <c r="P145" s="50" t="n"/>
      <c r="Q145" s="50" t="n"/>
      <c r="R145" s="50" t="n"/>
      <c r="S145" s="50" t="n"/>
    </row>
    <row r="146">
      <c r="A146" s="50" t="inlineStr">
        <is>
          <t>1962-09</t>
        </is>
      </c>
      <c r="B146" s="50" t="n">
        <v>29.2</v>
      </c>
      <c r="C146" s="50" t="n">
        <v>7.749</v>
      </c>
      <c r="D146" s="50" t="n"/>
      <c r="E146" s="50" t="n">
        <v>29.7</v>
      </c>
      <c r="F146" s="50" t="n">
        <v>7.22</v>
      </c>
      <c r="G146" s="50" t="n"/>
      <c r="H146" s="50" t="n"/>
      <c r="I146" s="50" t="n"/>
      <c r="J146" s="50" t="n"/>
      <c r="K146" s="50" t="n">
        <v>27.5</v>
      </c>
      <c r="L146" s="50" t="n">
        <v>0.733</v>
      </c>
      <c r="M146" s="50" t="n"/>
      <c r="N146" s="50" t="n"/>
      <c r="O146" s="50" t="n"/>
      <c r="P146" s="50" t="n"/>
      <c r="Q146" s="50" t="n">
        <v>25.1</v>
      </c>
      <c r="R146" s="50" t="n">
        <v>-3.089</v>
      </c>
      <c r="S146" s="50" t="n"/>
    </row>
    <row r="147">
      <c r="A147" s="50" t="inlineStr">
        <is>
          <t>1962-10</t>
        </is>
      </c>
      <c r="B147" s="50" t="n">
        <v>29</v>
      </c>
      <c r="C147" s="50" t="n">
        <v>5.839</v>
      </c>
      <c r="D147" s="50" t="n"/>
      <c r="E147" s="50" t="n">
        <v>29.4</v>
      </c>
      <c r="F147" s="50" t="n">
        <v>5.755</v>
      </c>
      <c r="G147" s="50" t="n"/>
      <c r="H147" s="50" t="n"/>
      <c r="I147" s="50" t="n"/>
      <c r="J147" s="50" t="n"/>
      <c r="K147" s="50" t="n"/>
      <c r="L147" s="50" t="n"/>
      <c r="M147" s="50" t="n"/>
      <c r="N147" s="50" t="n"/>
      <c r="O147" s="50" t="n"/>
      <c r="P147" s="50" t="n"/>
      <c r="Q147" s="50" t="n"/>
      <c r="R147" s="50" t="n"/>
      <c r="S147" s="50" t="n"/>
    </row>
    <row r="148">
      <c r="A148" s="50" t="inlineStr">
        <is>
          <t>1962-11</t>
        </is>
      </c>
      <c r="B148" s="50" t="n">
        <v>29.2</v>
      </c>
      <c r="C148" s="50" t="n">
        <v>6.182</v>
      </c>
      <c r="D148" s="50" t="n"/>
      <c r="E148" s="50" t="n">
        <v>29.4</v>
      </c>
      <c r="F148" s="50" t="n">
        <v>6.137</v>
      </c>
      <c r="G148" s="50" t="n"/>
      <c r="H148" s="50" t="n"/>
      <c r="I148" s="50" t="n"/>
      <c r="J148" s="50" t="n"/>
      <c r="K148" s="50" t="n"/>
      <c r="L148" s="50" t="n"/>
      <c r="M148" s="50" t="n"/>
      <c r="N148" s="50" t="n"/>
      <c r="O148" s="50" t="n"/>
      <c r="P148" s="50" t="n"/>
      <c r="Q148" s="50" t="n"/>
      <c r="R148" s="50" t="n"/>
      <c r="S148" s="50" t="n"/>
    </row>
    <row r="149">
      <c r="A149" s="50" t="inlineStr">
        <is>
          <t>1962-12</t>
        </is>
      </c>
      <c r="B149" s="50" t="n">
        <v>28.7</v>
      </c>
      <c r="C149" s="50" t="n">
        <v>6.296</v>
      </c>
      <c r="D149" s="50" t="n"/>
      <c r="E149" s="50" t="n">
        <v>28.7</v>
      </c>
      <c r="F149" s="50" t="n">
        <v>6.296</v>
      </c>
      <c r="G149" s="50" t="n"/>
      <c r="H149" s="50" t="n"/>
      <c r="I149" s="50" t="n"/>
      <c r="J149" s="50" t="n"/>
      <c r="K149" s="50" t="n">
        <v>27.6</v>
      </c>
      <c r="L149" s="50" t="n">
        <v>1.099</v>
      </c>
      <c r="M149" s="50" t="n"/>
      <c r="N149" s="50" t="n"/>
      <c r="O149" s="50" t="n"/>
      <c r="P149" s="50" t="n"/>
      <c r="Q149" s="50" t="n">
        <v>25.4</v>
      </c>
      <c r="R149" s="50" t="n">
        <v>-2.308</v>
      </c>
      <c r="S149" s="50" t="n"/>
    </row>
    <row r="150">
      <c r="A150" s="50" t="inlineStr">
        <is>
          <t>1963-01</t>
        </is>
      </c>
      <c r="B150" s="50" t="n">
        <v>27.2</v>
      </c>
      <c r="C150" s="50" t="n">
        <v>0.369</v>
      </c>
      <c r="D150" s="50" t="n"/>
      <c r="E150" s="50" t="n">
        <v>26.7</v>
      </c>
      <c r="F150" s="50" t="n">
        <v>0</v>
      </c>
      <c r="G150" s="50" t="n"/>
      <c r="H150" s="50" t="n"/>
      <c r="I150" s="50" t="n"/>
      <c r="J150" s="50" t="n"/>
      <c r="K150" s="50" t="n"/>
      <c r="L150" s="50" t="n"/>
      <c r="M150" s="50" t="n"/>
      <c r="N150" s="50" t="n"/>
      <c r="O150" s="50" t="n"/>
      <c r="P150" s="50" t="n"/>
      <c r="Q150" s="50" t="n"/>
      <c r="R150" s="50" t="n"/>
      <c r="S150" s="50" t="n"/>
    </row>
    <row r="151">
      <c r="A151" s="50" t="inlineStr">
        <is>
          <t>1963-02</t>
        </is>
      </c>
      <c r="B151" s="50" t="n">
        <v>28.1</v>
      </c>
      <c r="C151" s="50" t="n">
        <v>2.93</v>
      </c>
      <c r="D151" s="50" t="n"/>
      <c r="E151" s="50" t="n">
        <v>27.3</v>
      </c>
      <c r="F151" s="50" t="n">
        <v>3.019</v>
      </c>
      <c r="G151" s="50" t="n"/>
      <c r="H151" s="50" t="n"/>
      <c r="I151" s="50" t="n"/>
      <c r="J151" s="50" t="n"/>
      <c r="K151" s="50" t="n"/>
      <c r="L151" s="50" t="n"/>
      <c r="M151" s="50" t="n"/>
      <c r="N151" s="50" t="n"/>
      <c r="O151" s="50" t="n"/>
      <c r="P151" s="50" t="n"/>
      <c r="Q151" s="50" t="n"/>
      <c r="R151" s="50" t="n"/>
      <c r="S151" s="50" t="n"/>
    </row>
    <row r="152">
      <c r="A152" s="50" t="inlineStr">
        <is>
          <t>1963-03</t>
        </is>
      </c>
      <c r="B152" s="50" t="n">
        <v>28.5</v>
      </c>
      <c r="C152" s="50" t="n">
        <v>4.396</v>
      </c>
      <c r="D152" s="50" t="n"/>
      <c r="E152" s="50" t="n">
        <v>27.9</v>
      </c>
      <c r="F152" s="50" t="n">
        <v>4.104</v>
      </c>
      <c r="G152" s="50" t="n"/>
      <c r="H152" s="50" t="n"/>
      <c r="I152" s="50" t="n"/>
      <c r="J152" s="50" t="n"/>
      <c r="K152" s="50" t="n">
        <v>27.7</v>
      </c>
      <c r="L152" s="50" t="n">
        <v>1.465</v>
      </c>
      <c r="M152" s="50" t="n"/>
      <c r="N152" s="50" t="n"/>
      <c r="O152" s="50" t="n"/>
      <c r="P152" s="50" t="n"/>
      <c r="Q152" s="50" t="n">
        <v>25.9</v>
      </c>
      <c r="R152" s="50" t="n">
        <v>-1.145</v>
      </c>
      <c r="S152" s="50" t="n"/>
    </row>
    <row r="153">
      <c r="A153" s="50" t="inlineStr">
        <is>
          <t>1963-04</t>
        </is>
      </c>
      <c r="B153" s="50" t="n">
        <v>28.7</v>
      </c>
      <c r="C153" s="50" t="n">
        <v>1.773</v>
      </c>
      <c r="D153" s="50" t="n"/>
      <c r="E153" s="50" t="n">
        <v>28.4</v>
      </c>
      <c r="F153" s="50" t="n">
        <v>1.792</v>
      </c>
      <c r="G153" s="50" t="n"/>
      <c r="H153" s="50" t="n"/>
      <c r="I153" s="50" t="n"/>
      <c r="J153" s="50" t="n"/>
      <c r="K153" s="50" t="n"/>
      <c r="L153" s="50" t="n"/>
      <c r="M153" s="50" t="n"/>
      <c r="N153" s="50" t="n"/>
      <c r="O153" s="50" t="n"/>
      <c r="P153" s="50" t="n"/>
      <c r="Q153" s="50" t="n"/>
      <c r="R153" s="50" t="n"/>
      <c r="S153" s="50" t="n"/>
    </row>
    <row r="154">
      <c r="A154" s="50" t="inlineStr">
        <is>
          <t>1963-05</t>
        </is>
      </c>
      <c r="B154" s="50" t="n">
        <v>28.6</v>
      </c>
      <c r="C154" s="50" t="n">
        <v>0</v>
      </c>
      <c r="D154" s="50" t="n"/>
      <c r="E154" s="50" t="n">
        <v>28.5</v>
      </c>
      <c r="F154" s="50" t="n">
        <v>0.352</v>
      </c>
      <c r="G154" s="50" t="n"/>
      <c r="H154" s="50" t="n"/>
      <c r="I154" s="50" t="n"/>
      <c r="J154" s="50" t="n"/>
      <c r="K154" s="50" t="n"/>
      <c r="L154" s="50" t="n"/>
      <c r="M154" s="50" t="n"/>
      <c r="N154" s="50" t="n"/>
      <c r="O154" s="50" t="n"/>
      <c r="P154" s="50" t="n"/>
      <c r="Q154" s="50" t="n"/>
      <c r="R154" s="50" t="n"/>
      <c r="S154" s="50" t="n"/>
    </row>
    <row r="155">
      <c r="A155" s="50" t="inlineStr">
        <is>
          <t>1963-06</t>
        </is>
      </c>
      <c r="B155" s="50" t="n">
        <v>28.7</v>
      </c>
      <c r="C155" s="50" t="n">
        <v>0.35</v>
      </c>
      <c r="D155" s="50" t="n"/>
      <c r="E155" s="50" t="n">
        <v>29</v>
      </c>
      <c r="F155" s="50" t="n">
        <v>0.346</v>
      </c>
      <c r="G155" s="50" t="n"/>
      <c r="H155" s="50" t="n"/>
      <c r="I155" s="50" t="n"/>
      <c r="J155" s="50" t="n"/>
      <c r="K155" s="50" t="n">
        <v>27.7</v>
      </c>
      <c r="L155" s="50" t="n">
        <v>1.095</v>
      </c>
      <c r="M155" s="50" t="n"/>
      <c r="N155" s="50" t="n"/>
      <c r="O155" s="50" t="n"/>
      <c r="P155" s="50" t="n"/>
      <c r="Q155" s="50" t="n">
        <v>26.2</v>
      </c>
      <c r="R155" s="50" t="n">
        <v>0.383</v>
      </c>
      <c r="S155" s="50" t="n"/>
    </row>
    <row r="156">
      <c r="A156" s="50" t="inlineStr">
        <is>
          <t>1963-07</t>
        </is>
      </c>
      <c r="B156" s="50" t="n">
        <v>28.7</v>
      </c>
      <c r="C156" s="50" t="n">
        <v>0.702</v>
      </c>
      <c r="D156" s="50" t="n"/>
      <c r="E156" s="50" t="n">
        <v>29.1</v>
      </c>
      <c r="F156" s="50" t="n">
        <v>0.6919999999999999</v>
      </c>
      <c r="G156" s="50" t="n"/>
      <c r="H156" s="50" t="n"/>
      <c r="I156" s="50" t="n"/>
      <c r="J156" s="50" t="n"/>
      <c r="K156" s="50" t="n"/>
      <c r="L156" s="50" t="n"/>
      <c r="M156" s="50" t="n"/>
      <c r="N156" s="50" t="n"/>
      <c r="O156" s="50" t="n"/>
      <c r="P156" s="50" t="n"/>
      <c r="Q156" s="50" t="n"/>
      <c r="R156" s="50" t="n"/>
      <c r="S156" s="50" t="n"/>
    </row>
    <row r="157">
      <c r="A157" s="50" t="inlineStr">
        <is>
          <t>1963-08</t>
        </is>
      </c>
      <c r="B157" s="50" t="n">
        <v>28.8</v>
      </c>
      <c r="C157" s="50" t="n">
        <v>0</v>
      </c>
      <c r="D157" s="50" t="n"/>
      <c r="E157" s="50" t="n">
        <v>29.3</v>
      </c>
      <c r="F157" s="50" t="n">
        <v>0</v>
      </c>
      <c r="G157" s="50" t="n"/>
      <c r="H157" s="50" t="n"/>
      <c r="I157" s="50" t="n"/>
      <c r="J157" s="50" t="n"/>
      <c r="K157" s="50" t="n"/>
      <c r="L157" s="50" t="n"/>
      <c r="M157" s="50" t="n"/>
      <c r="N157" s="50" t="n"/>
      <c r="O157" s="50" t="n"/>
      <c r="P157" s="50" t="n"/>
      <c r="Q157" s="50" t="n"/>
      <c r="R157" s="50" t="n"/>
      <c r="S157" s="50" t="n"/>
    </row>
    <row r="158">
      <c r="A158" s="50" t="inlineStr">
        <is>
          <t>1963-09</t>
        </is>
      </c>
      <c r="B158" s="50" t="n">
        <v>29.2</v>
      </c>
      <c r="C158" s="50" t="n">
        <v>0</v>
      </c>
      <c r="D158" s="50" t="n"/>
      <c r="E158" s="50" t="n">
        <v>29.6</v>
      </c>
      <c r="F158" s="50" t="n">
        <v>-0.337</v>
      </c>
      <c r="G158" s="50" t="n"/>
      <c r="H158" s="50" t="n"/>
      <c r="I158" s="50" t="n"/>
      <c r="J158" s="50" t="n"/>
      <c r="K158" s="50" t="n">
        <v>28</v>
      </c>
      <c r="L158" s="50" t="n">
        <v>1.818</v>
      </c>
      <c r="M158" s="50" t="n"/>
      <c r="N158" s="50" t="n"/>
      <c r="O158" s="50" t="n"/>
      <c r="P158" s="50" t="n"/>
      <c r="Q158" s="50" t="n">
        <v>26.4</v>
      </c>
      <c r="R158" s="50" t="n">
        <v>5.179</v>
      </c>
      <c r="S158" s="50" t="n"/>
    </row>
    <row r="159">
      <c r="A159" s="50" t="inlineStr">
        <is>
          <t>1963-10</t>
        </is>
      </c>
      <c r="B159" s="50" t="n">
        <v>29.2</v>
      </c>
      <c r="C159" s="50" t="n">
        <v>0.6899999999999999</v>
      </c>
      <c r="D159" s="50" t="n"/>
      <c r="E159" s="50" t="n">
        <v>29.6</v>
      </c>
      <c r="F159" s="50" t="n">
        <v>0.68</v>
      </c>
      <c r="G159" s="50" t="n"/>
      <c r="H159" s="50" t="n"/>
      <c r="I159" s="50" t="n"/>
      <c r="J159" s="50" t="n"/>
      <c r="K159" s="50" t="n"/>
      <c r="L159" s="50" t="n"/>
      <c r="M159" s="50" t="n"/>
      <c r="N159" s="50" t="n"/>
      <c r="O159" s="50" t="n"/>
      <c r="P159" s="50" t="n"/>
      <c r="Q159" s="50" t="n"/>
      <c r="R159" s="50" t="n"/>
      <c r="S159" s="50" t="n"/>
    </row>
    <row r="160">
      <c r="A160" s="50" t="inlineStr">
        <is>
          <t>1963-11</t>
        </is>
      </c>
      <c r="B160" s="50" t="n">
        <v>29.5</v>
      </c>
      <c r="C160" s="50" t="n">
        <v>1.027</v>
      </c>
      <c r="D160" s="50" t="n"/>
      <c r="E160" s="50" t="n">
        <v>29.8</v>
      </c>
      <c r="F160" s="50" t="n">
        <v>1.361</v>
      </c>
      <c r="G160" s="50" t="n"/>
      <c r="H160" s="50" t="n"/>
      <c r="I160" s="50" t="n"/>
      <c r="J160" s="50" t="n"/>
      <c r="K160" s="50" t="n"/>
      <c r="L160" s="50" t="n"/>
      <c r="M160" s="50" t="n"/>
      <c r="N160" s="50" t="n"/>
      <c r="O160" s="50" t="n"/>
      <c r="P160" s="50" t="n"/>
      <c r="Q160" s="50" t="n"/>
      <c r="R160" s="50" t="n"/>
      <c r="S160" s="50" t="n"/>
    </row>
    <row r="161">
      <c r="A161" s="50" t="inlineStr">
        <is>
          <t>1963-12</t>
        </is>
      </c>
      <c r="B161" s="50" t="n">
        <v>29.7</v>
      </c>
      <c r="C161" s="50" t="n">
        <v>3.484</v>
      </c>
      <c r="D161" s="50" t="n"/>
      <c r="E161" s="50" t="n">
        <v>29.6</v>
      </c>
      <c r="F161" s="50" t="n">
        <v>3.136</v>
      </c>
      <c r="G161" s="50" t="n"/>
      <c r="H161" s="50" t="n"/>
      <c r="I161" s="50" t="n"/>
      <c r="J161" s="50" t="n"/>
      <c r="K161" s="50" t="n">
        <v>28.1</v>
      </c>
      <c r="L161" s="50" t="n">
        <v>1.812</v>
      </c>
      <c r="M161" s="50" t="n"/>
      <c r="N161" s="50" t="n"/>
      <c r="O161" s="50" t="n"/>
      <c r="P161" s="50" t="n"/>
      <c r="Q161" s="50" t="n">
        <v>26.5</v>
      </c>
      <c r="R161" s="50" t="n">
        <v>4.331</v>
      </c>
      <c r="S161" s="50" t="n"/>
    </row>
    <row r="162">
      <c r="A162" s="50" t="inlineStr">
        <is>
          <t>1964-01</t>
        </is>
      </c>
      <c r="B162" s="50" t="n">
        <v>30.2</v>
      </c>
      <c r="C162" s="50" t="n">
        <v>11.029</v>
      </c>
      <c r="D162" s="50" t="n"/>
      <c r="E162" s="50" t="n">
        <v>29.5</v>
      </c>
      <c r="F162" s="50" t="n">
        <v>10.487</v>
      </c>
      <c r="G162" s="50" t="n"/>
      <c r="H162" s="50" t="n"/>
      <c r="I162" s="50" t="n"/>
      <c r="J162" s="50" t="n"/>
      <c r="K162" s="50" t="n"/>
      <c r="L162" s="50" t="n"/>
      <c r="M162" s="50" t="n"/>
      <c r="N162" s="50" t="n"/>
      <c r="O162" s="50" t="n"/>
      <c r="P162" s="50" t="n"/>
      <c r="Q162" s="50" t="n"/>
      <c r="R162" s="50" t="n"/>
      <c r="S162" s="50" t="n"/>
    </row>
    <row r="163">
      <c r="A163" s="50" t="inlineStr">
        <is>
          <t>1964-02</t>
        </is>
      </c>
      <c r="B163" s="50" t="n">
        <v>30.2</v>
      </c>
      <c r="C163" s="50" t="n">
        <v>7.473</v>
      </c>
      <c r="D163" s="50" t="n"/>
      <c r="E163" s="50" t="n">
        <v>29.3</v>
      </c>
      <c r="F163" s="50" t="n">
        <v>7.326</v>
      </c>
      <c r="G163" s="50" t="n"/>
      <c r="H163" s="50" t="n"/>
      <c r="I163" s="50" t="n"/>
      <c r="J163" s="50" t="n"/>
      <c r="K163" s="50" t="n"/>
      <c r="L163" s="50" t="n"/>
      <c r="M163" s="50" t="n"/>
      <c r="N163" s="50" t="n"/>
      <c r="O163" s="50" t="n"/>
      <c r="P163" s="50" t="n"/>
      <c r="Q163" s="50" t="n"/>
      <c r="R163" s="50" t="n"/>
      <c r="S163" s="50" t="n"/>
    </row>
    <row r="164">
      <c r="A164" s="50" t="inlineStr">
        <is>
          <t>1964-03</t>
        </is>
      </c>
      <c r="B164" s="50" t="n">
        <v>30.1</v>
      </c>
      <c r="C164" s="50" t="n">
        <v>5.614</v>
      </c>
      <c r="D164" s="50" t="n"/>
      <c r="E164" s="50" t="n">
        <v>29.5</v>
      </c>
      <c r="F164" s="50" t="n">
        <v>5.735</v>
      </c>
      <c r="G164" s="50" t="n"/>
      <c r="H164" s="50" t="n"/>
      <c r="I164" s="50" t="n"/>
      <c r="J164" s="50" t="n"/>
      <c r="K164" s="50" t="n"/>
      <c r="L164" s="50" t="n"/>
      <c r="M164" s="50" t="n"/>
      <c r="N164" s="50" t="n"/>
      <c r="O164" s="50" t="n"/>
      <c r="P164" s="50" t="n"/>
      <c r="Q164" s="50" t="n"/>
      <c r="R164" s="50" t="n"/>
      <c r="S164" s="50" t="n"/>
    </row>
    <row r="165">
      <c r="A165" s="50" t="inlineStr">
        <is>
          <t>1964-04</t>
        </is>
      </c>
      <c r="B165" s="50" t="n">
        <v>29.9</v>
      </c>
      <c r="C165" s="50" t="n">
        <v>4.181</v>
      </c>
      <c r="D165" s="50" t="n"/>
      <c r="E165" s="50" t="n">
        <v>29.8</v>
      </c>
      <c r="F165" s="50" t="n">
        <v>4.93</v>
      </c>
      <c r="G165" s="50" t="n"/>
      <c r="H165" s="50" t="n"/>
      <c r="I165" s="50" t="n"/>
      <c r="J165" s="50" t="n"/>
      <c r="K165" s="50" t="n"/>
      <c r="L165" s="50" t="n"/>
      <c r="M165" s="50" t="n"/>
      <c r="N165" s="50" t="n"/>
      <c r="O165" s="50" t="n"/>
      <c r="P165" s="50" t="n"/>
      <c r="Q165" s="50" t="n"/>
      <c r="R165" s="50" t="n"/>
      <c r="S165" s="50" t="n"/>
    </row>
    <row r="166">
      <c r="A166" s="50" t="inlineStr">
        <is>
          <t>1964-05</t>
        </is>
      </c>
      <c r="B166" s="50" t="n">
        <v>30</v>
      </c>
      <c r="C166" s="50" t="n">
        <v>4.895</v>
      </c>
      <c r="D166" s="50" t="n"/>
      <c r="E166" s="50" t="n">
        <v>30</v>
      </c>
      <c r="F166" s="50" t="n">
        <v>5.263</v>
      </c>
      <c r="G166" s="50" t="n"/>
      <c r="H166" s="50" t="n"/>
      <c r="I166" s="50" t="n"/>
      <c r="J166" s="50" t="n"/>
      <c r="K166" s="50" t="n"/>
      <c r="L166" s="50" t="n"/>
      <c r="M166" s="50" t="n"/>
      <c r="N166" s="50" t="n"/>
      <c r="O166" s="50" t="n"/>
      <c r="P166" s="50" t="n"/>
      <c r="Q166" s="50" t="n"/>
      <c r="R166" s="50" t="n"/>
      <c r="S166" s="50" t="n"/>
    </row>
    <row r="167">
      <c r="A167" s="50" t="inlineStr">
        <is>
          <t>1964-06</t>
        </is>
      </c>
      <c r="B167" s="50" t="n">
        <v>29.9</v>
      </c>
      <c r="C167" s="50" t="n">
        <v>4.181</v>
      </c>
      <c r="D167" s="50" t="n"/>
      <c r="E167" s="50" t="n">
        <v>30.2</v>
      </c>
      <c r="F167" s="50" t="n">
        <v>4.138</v>
      </c>
      <c r="G167" s="50" t="n"/>
      <c r="H167" s="50" t="n"/>
      <c r="I167" s="50" t="n"/>
      <c r="J167" s="50" t="n"/>
      <c r="K167" s="50" t="n">
        <v>28.2</v>
      </c>
      <c r="L167" s="50" t="n">
        <v>1.805</v>
      </c>
      <c r="M167" s="50" t="n"/>
      <c r="N167" s="50" t="n"/>
      <c r="O167" s="50" t="n"/>
      <c r="P167" s="50" t="n"/>
      <c r="Q167" s="50" t="n">
        <v>27.1</v>
      </c>
      <c r="R167" s="50" t="n">
        <v>3.435</v>
      </c>
      <c r="S167" s="50" t="n"/>
    </row>
    <row r="168">
      <c r="A168" s="50" t="inlineStr">
        <is>
          <t>1964-07</t>
        </is>
      </c>
      <c r="B168" s="50" t="n">
        <v>29.8</v>
      </c>
      <c r="C168" s="50" t="n">
        <v>3.833</v>
      </c>
      <c r="D168" s="50" t="n"/>
      <c r="E168" s="50" t="n">
        <v>30.2</v>
      </c>
      <c r="F168" s="50" t="n">
        <v>3.78</v>
      </c>
      <c r="G168" s="50" t="n"/>
      <c r="H168" s="50" t="n"/>
      <c r="I168" s="50" t="n"/>
      <c r="J168" s="50" t="n"/>
      <c r="K168" s="50" t="n"/>
      <c r="L168" s="50" t="n"/>
      <c r="M168" s="50" t="n"/>
      <c r="N168" s="50" t="n"/>
      <c r="O168" s="50" t="n"/>
      <c r="P168" s="50" t="n"/>
      <c r="Q168" s="50" t="n"/>
      <c r="R168" s="50" t="n"/>
      <c r="S168" s="50" t="n"/>
    </row>
    <row r="169">
      <c r="A169" s="50" t="inlineStr">
        <is>
          <t>1964-08</t>
        </is>
      </c>
      <c r="B169" s="50" t="n">
        <v>29.6</v>
      </c>
      <c r="C169" s="50" t="n">
        <v>2.778</v>
      </c>
      <c r="D169" s="50" t="n"/>
      <c r="E169" s="50" t="n">
        <v>30.1</v>
      </c>
      <c r="F169" s="50" t="n">
        <v>2.73</v>
      </c>
      <c r="G169" s="50" t="n"/>
      <c r="H169" s="50" t="n"/>
      <c r="I169" s="50" t="n"/>
      <c r="J169" s="50" t="n"/>
      <c r="K169" s="50" t="n"/>
      <c r="L169" s="50" t="n"/>
      <c r="M169" s="50" t="n"/>
      <c r="N169" s="50" t="n"/>
      <c r="O169" s="50" t="n"/>
      <c r="P169" s="50" t="n"/>
      <c r="Q169" s="50" t="n"/>
      <c r="R169" s="50" t="n"/>
      <c r="S169" s="50" t="n"/>
    </row>
    <row r="170">
      <c r="A170" s="50" t="inlineStr">
        <is>
          <t>1964-09</t>
        </is>
      </c>
      <c r="B170" s="50" t="n">
        <v>29.6</v>
      </c>
      <c r="C170" s="50" t="n">
        <v>1.37</v>
      </c>
      <c r="D170" s="50" t="n"/>
      <c r="E170" s="50" t="n">
        <v>30</v>
      </c>
      <c r="F170" s="50" t="n">
        <v>1.351</v>
      </c>
      <c r="G170" s="50" t="n"/>
      <c r="H170" s="50" t="n"/>
      <c r="I170" s="50" t="n"/>
      <c r="J170" s="50" t="n"/>
      <c r="K170" s="50" t="n"/>
      <c r="L170" s="50" t="n"/>
      <c r="M170" s="50" t="n"/>
      <c r="N170" s="50" t="n"/>
      <c r="O170" s="50" t="n"/>
      <c r="P170" s="50" t="n"/>
      <c r="Q170" s="50" t="n"/>
      <c r="R170" s="50" t="n"/>
      <c r="S170" s="50" t="n"/>
    </row>
    <row r="171">
      <c r="A171" s="50" t="inlineStr">
        <is>
          <t>1964-10</t>
        </is>
      </c>
      <c r="B171" s="50" t="n">
        <v>29.6</v>
      </c>
      <c r="C171" s="50" t="n">
        <v>1.37</v>
      </c>
      <c r="D171" s="50" t="n"/>
      <c r="E171" s="50" t="n">
        <v>30</v>
      </c>
      <c r="F171" s="50" t="n">
        <v>1.351</v>
      </c>
      <c r="G171" s="50" t="n"/>
      <c r="H171" s="50" t="n"/>
      <c r="I171" s="50" t="n"/>
      <c r="J171" s="50" t="n"/>
      <c r="K171" s="50" t="n"/>
      <c r="L171" s="50" t="n"/>
      <c r="M171" s="50" t="n"/>
      <c r="N171" s="50" t="n"/>
      <c r="O171" s="50" t="n"/>
      <c r="P171" s="50" t="n"/>
      <c r="Q171" s="50" t="n"/>
      <c r="R171" s="50" t="n"/>
      <c r="S171" s="50" t="n"/>
    </row>
    <row r="172">
      <c r="A172" s="50" t="inlineStr">
        <is>
          <t>1964-11</t>
        </is>
      </c>
      <c r="B172" s="50" t="n">
        <v>30</v>
      </c>
      <c r="C172" s="50" t="n">
        <v>1.695</v>
      </c>
      <c r="D172" s="50" t="n"/>
      <c r="E172" s="50" t="n">
        <v>30.3</v>
      </c>
      <c r="F172" s="50" t="n">
        <v>1.678</v>
      </c>
      <c r="G172" s="50" t="n"/>
      <c r="H172" s="50" t="n"/>
      <c r="I172" s="50" t="n"/>
      <c r="J172" s="50" t="n"/>
      <c r="K172" s="50" t="n"/>
      <c r="L172" s="50" t="n"/>
      <c r="M172" s="50" t="n"/>
      <c r="N172" s="50" t="n"/>
      <c r="O172" s="50" t="n"/>
      <c r="P172" s="50" t="n"/>
      <c r="Q172" s="50" t="n"/>
      <c r="R172" s="50" t="n"/>
      <c r="S172" s="50" t="n"/>
    </row>
    <row r="173">
      <c r="A173" s="50" t="inlineStr">
        <is>
          <t>1964-12</t>
        </is>
      </c>
      <c r="B173" s="50" t="n">
        <v>30.6</v>
      </c>
      <c r="C173" s="50" t="n">
        <v>3.03</v>
      </c>
      <c r="D173" s="50" t="n"/>
      <c r="E173" s="50" t="n">
        <v>30.5</v>
      </c>
      <c r="F173" s="50" t="n">
        <v>3.041</v>
      </c>
      <c r="G173" s="50" t="n"/>
      <c r="H173" s="50" t="n"/>
      <c r="I173" s="50" t="n"/>
      <c r="J173" s="50" t="n"/>
      <c r="K173" s="50" t="n">
        <v>28.3</v>
      </c>
      <c r="L173" s="50" t="n">
        <v>0.712</v>
      </c>
      <c r="M173" s="50" t="n"/>
      <c r="N173" s="50" t="n"/>
      <c r="O173" s="50" t="n"/>
      <c r="P173" s="50" t="n"/>
      <c r="Q173" s="50" t="n">
        <v>28.4</v>
      </c>
      <c r="R173" s="50" t="n">
        <v>7.17</v>
      </c>
      <c r="S173" s="50" t="n"/>
    </row>
    <row r="174">
      <c r="A174" s="50" t="inlineStr">
        <is>
          <t>1965-01</t>
        </is>
      </c>
      <c r="B174" s="50" t="n">
        <v>31.1</v>
      </c>
      <c r="C174" s="50" t="n">
        <v>2.98</v>
      </c>
      <c r="D174" s="50" t="n"/>
      <c r="E174" s="50" t="n">
        <v>30.5</v>
      </c>
      <c r="F174" s="50" t="n">
        <v>3.39</v>
      </c>
      <c r="G174" s="50" t="n"/>
      <c r="H174" s="50" t="n"/>
      <c r="I174" s="50" t="n"/>
      <c r="J174" s="50" t="n"/>
      <c r="K174" s="50" t="n"/>
      <c r="L174" s="50" t="n"/>
      <c r="M174" s="50" t="n"/>
      <c r="N174" s="50" t="n"/>
      <c r="O174" s="50" t="n"/>
      <c r="P174" s="50" t="n"/>
      <c r="Q174" s="50" t="n"/>
      <c r="R174" s="50" t="n"/>
      <c r="S174" s="50" t="n"/>
    </row>
    <row r="175">
      <c r="A175" s="50" t="inlineStr">
        <is>
          <t>1965-02</t>
        </is>
      </c>
      <c r="B175" s="50" t="n">
        <v>30.9</v>
      </c>
      <c r="C175" s="50" t="n">
        <v>2.318</v>
      </c>
      <c r="D175" s="50" t="n"/>
      <c r="E175" s="50" t="n">
        <v>30</v>
      </c>
      <c r="F175" s="50" t="n">
        <v>2.389</v>
      </c>
      <c r="G175" s="50" t="n"/>
      <c r="H175" s="50" t="n"/>
      <c r="I175" s="50" t="n"/>
      <c r="J175" s="50" t="n"/>
      <c r="K175" s="50" t="n"/>
      <c r="L175" s="50" t="n"/>
      <c r="M175" s="50" t="n"/>
      <c r="N175" s="50" t="n"/>
      <c r="O175" s="50" t="n"/>
      <c r="P175" s="50" t="n"/>
      <c r="Q175" s="50" t="n"/>
      <c r="R175" s="50" t="n"/>
      <c r="S175" s="50" t="n"/>
    </row>
    <row r="176">
      <c r="A176" s="50" t="inlineStr">
        <is>
          <t>1965-03</t>
        </is>
      </c>
      <c r="B176" s="50" t="n">
        <v>30.6</v>
      </c>
      <c r="C176" s="50" t="n">
        <v>1.661</v>
      </c>
      <c r="D176" s="50" t="n"/>
      <c r="E176" s="50" t="n">
        <v>30</v>
      </c>
      <c r="F176" s="50" t="n">
        <v>1.695</v>
      </c>
      <c r="G176" s="50" t="n"/>
      <c r="H176" s="50" t="n"/>
      <c r="I176" s="50" t="n"/>
      <c r="J176" s="50" t="n"/>
      <c r="K176" s="50" t="n"/>
      <c r="L176" s="50" t="n"/>
      <c r="M176" s="50" t="n"/>
      <c r="N176" s="50" t="n"/>
      <c r="O176" s="50" t="n"/>
      <c r="P176" s="50" t="n"/>
      <c r="Q176" s="50" t="n"/>
      <c r="R176" s="50" t="n"/>
      <c r="S176" s="50" t="n"/>
    </row>
    <row r="177">
      <c r="A177" s="50" t="inlineStr">
        <is>
          <t>1965-04</t>
        </is>
      </c>
      <c r="B177" s="50" t="n">
        <v>29.9</v>
      </c>
      <c r="C177" s="50" t="n">
        <v>0</v>
      </c>
      <c r="D177" s="50" t="n"/>
      <c r="E177" s="50" t="n">
        <v>29.7</v>
      </c>
      <c r="F177" s="50" t="n">
        <v>-0.336</v>
      </c>
      <c r="G177" s="50" t="n"/>
      <c r="H177" s="50" t="n"/>
      <c r="I177" s="50" t="n"/>
      <c r="J177" s="50" t="n"/>
      <c r="K177" s="50" t="n"/>
      <c r="L177" s="50" t="n"/>
      <c r="M177" s="50" t="n"/>
      <c r="N177" s="50" t="n"/>
      <c r="O177" s="50" t="n"/>
      <c r="P177" s="50" t="n"/>
      <c r="Q177" s="50" t="n"/>
      <c r="R177" s="50" t="n"/>
      <c r="S177" s="50" t="n"/>
    </row>
    <row r="178">
      <c r="A178" s="50" t="inlineStr">
        <is>
          <t>1965-05</t>
        </is>
      </c>
      <c r="B178" s="50" t="n">
        <v>29.8</v>
      </c>
      <c r="C178" s="50" t="n">
        <v>-0.667</v>
      </c>
      <c r="D178" s="50" t="n"/>
      <c r="E178" s="50" t="n">
        <v>29.9</v>
      </c>
      <c r="F178" s="50" t="n">
        <v>-0.333</v>
      </c>
      <c r="G178" s="50" t="n"/>
      <c r="H178" s="50" t="n"/>
      <c r="I178" s="50" t="n"/>
      <c r="J178" s="50" t="n"/>
      <c r="K178" s="50" t="n"/>
      <c r="L178" s="50" t="n"/>
      <c r="M178" s="50" t="n"/>
      <c r="N178" s="50" t="n"/>
      <c r="O178" s="50" t="n"/>
      <c r="P178" s="50" t="n"/>
      <c r="Q178" s="50" t="n"/>
      <c r="R178" s="50" t="n"/>
      <c r="S178" s="50" t="n"/>
    </row>
    <row r="179">
      <c r="A179" s="50" t="inlineStr">
        <is>
          <t>1965-06</t>
        </is>
      </c>
      <c r="B179" s="50" t="n">
        <v>29.9</v>
      </c>
      <c r="C179" s="50" t="n">
        <v>0</v>
      </c>
      <c r="D179" s="50" t="n"/>
      <c r="E179" s="50" t="n">
        <v>30.2</v>
      </c>
      <c r="F179" s="50" t="n">
        <v>0</v>
      </c>
      <c r="G179" s="50" t="n"/>
      <c r="H179" s="50" t="n"/>
      <c r="I179" s="50" t="n"/>
      <c r="J179" s="50" t="n"/>
      <c r="K179" s="50" t="n">
        <v>28.7</v>
      </c>
      <c r="L179" s="50" t="n">
        <v>1.773</v>
      </c>
      <c r="M179" s="50" t="n"/>
      <c r="N179" s="50" t="n"/>
      <c r="O179" s="50" t="n"/>
      <c r="P179" s="50" t="n"/>
      <c r="Q179" s="50" t="n">
        <v>29.6</v>
      </c>
      <c r="R179" s="50" t="n">
        <v>9.225</v>
      </c>
      <c r="S179" s="50" t="n"/>
    </row>
    <row r="180">
      <c r="A180" s="50" t="inlineStr">
        <is>
          <t>1965-07</t>
        </is>
      </c>
      <c r="B180" s="50" t="n">
        <v>29.8</v>
      </c>
      <c r="C180" s="50" t="n">
        <v>0</v>
      </c>
      <c r="D180" s="50" t="n"/>
      <c r="E180" s="50" t="n">
        <v>30.3</v>
      </c>
      <c r="F180" s="50" t="n">
        <v>0.331</v>
      </c>
      <c r="G180" s="50" t="n"/>
      <c r="H180" s="50" t="n"/>
      <c r="I180" s="50" t="n"/>
      <c r="J180" s="50" t="n"/>
      <c r="K180" s="50" t="n"/>
      <c r="L180" s="50" t="n"/>
      <c r="M180" s="50" t="n"/>
      <c r="N180" s="50" t="n"/>
      <c r="O180" s="50" t="n"/>
      <c r="P180" s="50" t="n"/>
      <c r="Q180" s="50" t="n"/>
      <c r="R180" s="50" t="n"/>
      <c r="S180" s="50" t="n"/>
    </row>
    <row r="181">
      <c r="A181" s="50" t="inlineStr">
        <is>
          <t>1965-08</t>
        </is>
      </c>
      <c r="B181" s="50" t="n">
        <v>29.2</v>
      </c>
      <c r="C181" s="50" t="n">
        <v>-1.351</v>
      </c>
      <c r="D181" s="50" t="n"/>
      <c r="E181" s="50" t="n">
        <v>29.6</v>
      </c>
      <c r="F181" s="50" t="n">
        <v>-1.661</v>
      </c>
      <c r="G181" s="50" t="n"/>
      <c r="H181" s="50" t="n"/>
      <c r="I181" s="50" t="n"/>
      <c r="J181" s="50" t="n"/>
      <c r="K181" s="50" t="n"/>
      <c r="L181" s="50" t="n"/>
      <c r="M181" s="50" t="n"/>
      <c r="N181" s="50" t="n"/>
      <c r="O181" s="50" t="n"/>
      <c r="P181" s="50" t="n"/>
      <c r="Q181" s="50" t="n"/>
      <c r="R181" s="50" t="n"/>
      <c r="S181" s="50" t="n"/>
    </row>
    <row r="182">
      <c r="A182" s="50" t="inlineStr">
        <is>
          <t>1965-09</t>
        </is>
      </c>
      <c r="B182" s="50" t="n">
        <v>29</v>
      </c>
      <c r="C182" s="50" t="n">
        <v>-2.027</v>
      </c>
      <c r="D182" s="50" t="n"/>
      <c r="E182" s="50" t="n">
        <v>29.3</v>
      </c>
      <c r="F182" s="50" t="n">
        <v>-2.333</v>
      </c>
      <c r="G182" s="50" t="n"/>
      <c r="H182" s="50" t="n"/>
      <c r="I182" s="50" t="n"/>
      <c r="J182" s="50" t="n"/>
      <c r="K182" s="50" t="n"/>
      <c r="L182" s="50" t="n"/>
      <c r="M182" s="50" t="n"/>
      <c r="N182" s="50" t="n"/>
      <c r="O182" s="50" t="n"/>
      <c r="P182" s="50" t="n"/>
      <c r="Q182" s="50" t="n"/>
      <c r="R182" s="50" t="n"/>
      <c r="S182" s="50" t="n"/>
    </row>
    <row r="183">
      <c r="A183" s="50" t="inlineStr">
        <is>
          <t>1965-10</t>
        </is>
      </c>
      <c r="B183" s="50" t="n">
        <v>29.1</v>
      </c>
      <c r="C183" s="50" t="n">
        <v>-1.689</v>
      </c>
      <c r="D183" s="50" t="n"/>
      <c r="E183" s="50" t="n">
        <v>29.4</v>
      </c>
      <c r="F183" s="50" t="n">
        <v>-2</v>
      </c>
      <c r="G183" s="50" t="n"/>
      <c r="H183" s="50" t="n"/>
      <c r="I183" s="50" t="n"/>
      <c r="J183" s="50" t="n"/>
      <c r="K183" s="50" t="n"/>
      <c r="L183" s="50" t="n"/>
      <c r="M183" s="50" t="n"/>
      <c r="N183" s="50" t="n"/>
      <c r="O183" s="50" t="n"/>
      <c r="P183" s="50" t="n"/>
      <c r="Q183" s="50" t="n"/>
      <c r="R183" s="50" t="n"/>
      <c r="S183" s="50" t="n"/>
    </row>
    <row r="184">
      <c r="A184" s="50" t="inlineStr">
        <is>
          <t>1965-11</t>
        </is>
      </c>
      <c r="B184" s="50" t="n">
        <v>29</v>
      </c>
      <c r="C184" s="50" t="n">
        <v>-3.333</v>
      </c>
      <c r="D184" s="50" t="n"/>
      <c r="E184" s="50" t="n">
        <v>29.3</v>
      </c>
      <c r="F184" s="50" t="n">
        <v>-3.3</v>
      </c>
      <c r="G184" s="50" t="n"/>
      <c r="H184" s="50" t="n"/>
      <c r="I184" s="50" t="n"/>
      <c r="J184" s="50" t="n"/>
      <c r="K184" s="50" t="n"/>
      <c r="L184" s="50" t="n"/>
      <c r="M184" s="50" t="n"/>
      <c r="N184" s="50" t="n"/>
      <c r="O184" s="50" t="n"/>
      <c r="P184" s="50" t="n"/>
      <c r="Q184" s="50" t="n"/>
      <c r="R184" s="50" t="n"/>
      <c r="S184" s="50" t="n"/>
    </row>
    <row r="185">
      <c r="A185" s="50" t="inlineStr">
        <is>
          <t>1965-12</t>
        </is>
      </c>
      <c r="B185" s="50" t="n">
        <v>29.3</v>
      </c>
      <c r="C185" s="50" t="n">
        <v>-4.248</v>
      </c>
      <c r="D185" s="50" t="n"/>
      <c r="E185" s="50" t="n">
        <v>29.1</v>
      </c>
      <c r="F185" s="50" t="n">
        <v>-4.59</v>
      </c>
      <c r="G185" s="50" t="n"/>
      <c r="H185" s="50" t="n"/>
      <c r="I185" s="50" t="n"/>
      <c r="J185" s="50" t="n"/>
      <c r="K185" s="50" t="n">
        <v>29</v>
      </c>
      <c r="L185" s="50" t="n">
        <v>2.473</v>
      </c>
      <c r="M185" s="50" t="n"/>
      <c r="N185" s="50" t="n"/>
      <c r="O185" s="50" t="n"/>
      <c r="P185" s="50" t="n"/>
      <c r="Q185" s="50" t="n">
        <v>31.5</v>
      </c>
      <c r="R185" s="50" t="n">
        <v>10.915</v>
      </c>
      <c r="S185" s="50" t="n"/>
    </row>
    <row r="186">
      <c r="A186" s="50" t="inlineStr">
        <is>
          <t>1966-01</t>
        </is>
      </c>
      <c r="B186" s="50" t="n">
        <v>28.9</v>
      </c>
      <c r="C186" s="50" t="n">
        <v>-7.074</v>
      </c>
      <c r="D186" s="50" t="n"/>
      <c r="E186" s="50" t="n">
        <v>28.3</v>
      </c>
      <c r="F186" s="50" t="n">
        <v>-7.213</v>
      </c>
      <c r="G186" s="50" t="n"/>
      <c r="H186" s="50" t="n"/>
      <c r="I186" s="50" t="n"/>
      <c r="J186" s="50" t="n"/>
      <c r="K186" s="50" t="n"/>
      <c r="L186" s="50" t="n"/>
      <c r="M186" s="50" t="n"/>
      <c r="N186" s="50" t="n"/>
      <c r="O186" s="50" t="n"/>
      <c r="P186" s="50" t="n"/>
      <c r="Q186" s="50" t="n"/>
      <c r="R186" s="50" t="n"/>
      <c r="S186" s="50" t="n"/>
    </row>
    <row r="187">
      <c r="A187" s="50" t="inlineStr">
        <is>
          <t>1966-02</t>
        </is>
      </c>
      <c r="B187" s="50" t="n">
        <v>29</v>
      </c>
      <c r="C187" s="50" t="n">
        <v>-6.149</v>
      </c>
      <c r="D187" s="50" t="n"/>
      <c r="E187" s="50" t="n">
        <v>28.1</v>
      </c>
      <c r="F187" s="50" t="n">
        <v>-6.333</v>
      </c>
      <c r="G187" s="50" t="n"/>
      <c r="H187" s="50" t="n"/>
      <c r="I187" s="50" t="n"/>
      <c r="J187" s="50" t="n"/>
      <c r="K187" s="50" t="n"/>
      <c r="L187" s="50" t="n"/>
      <c r="M187" s="50" t="n"/>
      <c r="N187" s="50" t="n"/>
      <c r="O187" s="50" t="n"/>
      <c r="P187" s="50" t="n"/>
      <c r="Q187" s="50" t="n"/>
      <c r="R187" s="50" t="n"/>
      <c r="S187" s="50" t="n"/>
    </row>
    <row r="188">
      <c r="A188" s="50" t="inlineStr">
        <is>
          <t>1966-03</t>
        </is>
      </c>
      <c r="B188" s="50" t="n">
        <v>29</v>
      </c>
      <c r="C188" s="50" t="n">
        <v>-5.229</v>
      </c>
      <c r="D188" s="50" t="n"/>
      <c r="E188" s="50" t="n">
        <v>28.4</v>
      </c>
      <c r="F188" s="50" t="n">
        <v>-5.333</v>
      </c>
      <c r="G188" s="50" t="n"/>
      <c r="H188" s="50" t="n"/>
      <c r="I188" s="50" t="n"/>
      <c r="J188" s="50" t="n"/>
      <c r="K188" s="50" t="n">
        <v>29</v>
      </c>
      <c r="L188" s="50" t="n"/>
      <c r="M188" s="50" t="n"/>
      <c r="N188" s="50" t="n"/>
      <c r="O188" s="50" t="n"/>
      <c r="P188" s="50" t="n"/>
      <c r="Q188" s="50" t="n">
        <v>31.9</v>
      </c>
      <c r="R188" s="50" t="n"/>
      <c r="S188" s="50" t="n"/>
    </row>
    <row r="189">
      <c r="A189" s="50" t="inlineStr">
        <is>
          <t>1966-04</t>
        </is>
      </c>
      <c r="B189" s="50" t="n">
        <v>29.1</v>
      </c>
      <c r="C189" s="50" t="n">
        <v>-2.676</v>
      </c>
      <c r="D189" s="50" t="n"/>
      <c r="E189" s="50" t="n">
        <v>28.9</v>
      </c>
      <c r="F189" s="50" t="n">
        <v>-2.694</v>
      </c>
      <c r="G189" s="50" t="n"/>
      <c r="H189" s="50" t="n"/>
      <c r="I189" s="50" t="n"/>
      <c r="J189" s="50" t="n"/>
      <c r="K189" s="50" t="n"/>
      <c r="L189" s="50" t="n"/>
      <c r="M189" s="50" t="n"/>
      <c r="N189" s="50" t="n"/>
      <c r="O189" s="50" t="n"/>
      <c r="P189" s="50" t="n"/>
      <c r="Q189" s="50" t="n"/>
      <c r="R189" s="50" t="n"/>
      <c r="S189" s="50" t="n"/>
    </row>
    <row r="190">
      <c r="A190" s="50" t="inlineStr">
        <is>
          <t>1966-05</t>
        </is>
      </c>
      <c r="B190" s="50" t="n">
        <v>28.9</v>
      </c>
      <c r="C190" s="50" t="n">
        <v>-3.02</v>
      </c>
      <c r="D190" s="50" t="n"/>
      <c r="E190" s="50" t="n">
        <v>29</v>
      </c>
      <c r="F190" s="50" t="n">
        <v>-3.01</v>
      </c>
      <c r="G190" s="50" t="n"/>
      <c r="H190" s="50" t="n"/>
      <c r="I190" s="50" t="n"/>
      <c r="J190" s="50" t="n"/>
      <c r="K190" s="50" t="n"/>
      <c r="L190" s="50" t="n"/>
      <c r="M190" s="50" t="n"/>
      <c r="N190" s="50" t="n"/>
      <c r="O190" s="50" t="n"/>
      <c r="P190" s="50" t="n"/>
      <c r="Q190" s="50" t="n"/>
      <c r="R190" s="50" t="n"/>
      <c r="S190" s="50" t="n"/>
    </row>
    <row r="191">
      <c r="A191" s="50" t="inlineStr">
        <is>
          <t>1966-06</t>
        </is>
      </c>
      <c r="B191" s="50" t="n">
        <v>28.8</v>
      </c>
      <c r="C191" s="50" t="n">
        <v>-3.679</v>
      </c>
      <c r="D191" s="50" t="n"/>
      <c r="E191" s="50" t="n">
        <v>29.1</v>
      </c>
      <c r="F191" s="50" t="n">
        <v>-3.642</v>
      </c>
      <c r="G191" s="50" t="n"/>
      <c r="H191" s="50" t="n"/>
      <c r="I191" s="50" t="n"/>
      <c r="J191" s="50" t="n"/>
      <c r="K191" s="50" t="n">
        <v>29.1</v>
      </c>
      <c r="L191" s="50" t="n">
        <v>1.394</v>
      </c>
      <c r="M191" s="50" t="n"/>
      <c r="N191" s="50" t="n"/>
      <c r="O191" s="50" t="n"/>
      <c r="P191" s="50" t="n"/>
      <c r="Q191" s="50" t="n">
        <v>32.1</v>
      </c>
      <c r="R191" s="50" t="n">
        <v>8.446</v>
      </c>
      <c r="S191" s="50" t="n"/>
    </row>
    <row r="192">
      <c r="A192" s="50" t="inlineStr">
        <is>
          <t>1966-07</t>
        </is>
      </c>
      <c r="B192" s="50" t="n">
        <v>29.1</v>
      </c>
      <c r="C192" s="50" t="n">
        <v>-2.349</v>
      </c>
      <c r="D192" s="50" t="n"/>
      <c r="E192" s="50" t="n">
        <v>29.6</v>
      </c>
      <c r="F192" s="50" t="n">
        <v>-2.31</v>
      </c>
      <c r="G192" s="50" t="n"/>
      <c r="H192" s="50" t="n"/>
      <c r="I192" s="50" t="n"/>
      <c r="J192" s="50" t="n"/>
      <c r="K192" s="50" t="n"/>
      <c r="L192" s="50" t="n"/>
      <c r="M192" s="50" t="n"/>
      <c r="N192" s="50" t="n"/>
      <c r="O192" s="50" t="n"/>
      <c r="P192" s="50" t="n"/>
      <c r="Q192" s="50" t="n"/>
      <c r="R192" s="50" t="n"/>
      <c r="S192" s="50" t="n"/>
    </row>
    <row r="193">
      <c r="A193" s="50" t="inlineStr">
        <is>
          <t>1966-08</t>
        </is>
      </c>
      <c r="B193" s="50" t="n">
        <v>29.6</v>
      </c>
      <c r="C193" s="50" t="n">
        <v>1.37</v>
      </c>
      <c r="D193" s="50" t="n"/>
      <c r="E193" s="50" t="n">
        <v>30.1</v>
      </c>
      <c r="F193" s="50" t="n">
        <v>1.689</v>
      </c>
      <c r="G193" s="50" t="n"/>
      <c r="H193" s="50" t="n"/>
      <c r="I193" s="50" t="n"/>
      <c r="J193" s="50" t="n"/>
      <c r="K193" s="50" t="n"/>
      <c r="L193" s="50" t="n"/>
      <c r="M193" s="50" t="n"/>
      <c r="N193" s="50" t="n"/>
      <c r="O193" s="50" t="n"/>
      <c r="P193" s="50" t="n"/>
      <c r="Q193" s="50" t="n"/>
      <c r="R193" s="50" t="n"/>
      <c r="S193" s="50" t="n"/>
    </row>
    <row r="194">
      <c r="A194" s="50" t="inlineStr">
        <is>
          <t>1966-09</t>
        </is>
      </c>
      <c r="B194" s="50" t="n">
        <v>29.3</v>
      </c>
      <c r="C194" s="50" t="n">
        <v>1.034</v>
      </c>
      <c r="D194" s="50" t="n"/>
      <c r="E194" s="50" t="n">
        <v>29.6</v>
      </c>
      <c r="F194" s="50" t="n">
        <v>1.024</v>
      </c>
      <c r="G194" s="50" t="n"/>
      <c r="H194" s="50" t="n"/>
      <c r="I194" s="50" t="n"/>
      <c r="J194" s="50" t="n"/>
      <c r="K194" s="50" t="n">
        <v>29.4</v>
      </c>
      <c r="L194" s="50" t="n"/>
      <c r="M194" s="50" t="n"/>
      <c r="N194" s="50" t="n"/>
      <c r="O194" s="50" t="n"/>
      <c r="P194" s="50" t="n"/>
      <c r="Q194" s="50" t="n">
        <v>32.7</v>
      </c>
      <c r="R194" s="50" t="n"/>
      <c r="S194" s="50" t="n"/>
    </row>
    <row r="195">
      <c r="A195" s="50" t="inlineStr">
        <is>
          <t>1966-10</t>
        </is>
      </c>
      <c r="B195" s="50" t="n">
        <v>29.4</v>
      </c>
      <c r="C195" s="50" t="n">
        <v>1.031</v>
      </c>
      <c r="D195" s="50" t="n"/>
      <c r="E195" s="50" t="n">
        <v>29.8</v>
      </c>
      <c r="F195" s="50" t="n">
        <v>1.361</v>
      </c>
      <c r="G195" s="50" t="n"/>
      <c r="H195" s="50" t="n"/>
      <c r="I195" s="50" t="n"/>
      <c r="J195" s="50" t="n"/>
      <c r="K195" s="50" t="n"/>
      <c r="L195" s="50" t="n"/>
      <c r="M195" s="50" t="n"/>
      <c r="N195" s="50" t="n"/>
      <c r="O195" s="50" t="n"/>
      <c r="P195" s="50" t="n"/>
      <c r="Q195" s="50" t="n"/>
      <c r="R195" s="50" t="n"/>
      <c r="S195" s="50" t="n"/>
    </row>
    <row r="196">
      <c r="A196" s="50" t="inlineStr">
        <is>
          <t>1966-11</t>
        </is>
      </c>
      <c r="B196" s="50" t="n">
        <v>29.2</v>
      </c>
      <c r="C196" s="50" t="n">
        <v>0.6899999999999999</v>
      </c>
      <c r="D196" s="50" t="n"/>
      <c r="E196" s="50" t="n">
        <v>29.4</v>
      </c>
      <c r="F196" s="50" t="n">
        <v>0.341</v>
      </c>
      <c r="G196" s="50" t="n"/>
      <c r="H196" s="50" t="n"/>
      <c r="I196" s="50" t="n"/>
      <c r="J196" s="50" t="n"/>
      <c r="K196" s="50" t="n"/>
      <c r="L196" s="50" t="n"/>
      <c r="M196" s="50" t="n"/>
      <c r="N196" s="50" t="n"/>
      <c r="O196" s="50" t="n"/>
      <c r="P196" s="50" t="n"/>
      <c r="Q196" s="50" t="n"/>
      <c r="R196" s="50" t="n"/>
      <c r="S196" s="50" t="n"/>
    </row>
    <row r="197">
      <c r="A197" s="50" t="inlineStr">
        <is>
          <t>1966-12</t>
        </is>
      </c>
      <c r="B197" s="50" t="n">
        <v>28.2</v>
      </c>
      <c r="C197" s="50" t="n">
        <v>-3.754</v>
      </c>
      <c r="D197" s="50" t="n"/>
      <c r="E197" s="50" t="n">
        <v>28.1</v>
      </c>
      <c r="F197" s="50" t="n">
        <v>-3.436</v>
      </c>
      <c r="G197" s="50" t="n"/>
      <c r="H197" s="50" t="n"/>
      <c r="I197" s="50" t="n"/>
      <c r="J197" s="50" t="n"/>
      <c r="K197" s="50" t="n">
        <v>29.7</v>
      </c>
      <c r="L197" s="50" t="n">
        <v>2.414</v>
      </c>
      <c r="M197" s="50" t="n"/>
      <c r="N197" s="50" t="n"/>
      <c r="O197" s="50" t="n"/>
      <c r="P197" s="50" t="n"/>
      <c r="Q197" s="50" t="n">
        <v>32.8</v>
      </c>
      <c r="R197" s="50" t="n">
        <v>4.127</v>
      </c>
      <c r="S197" s="50" t="n"/>
    </row>
    <row r="198">
      <c r="A198" s="50" t="inlineStr">
        <is>
          <t>1967-01</t>
        </is>
      </c>
      <c r="B198" s="50" t="n">
        <v>28.6</v>
      </c>
      <c r="C198" s="50" t="n">
        <v>-1.038</v>
      </c>
      <c r="D198" s="50" t="n"/>
      <c r="E198" s="50" t="n">
        <v>27.8</v>
      </c>
      <c r="F198" s="50" t="n">
        <v>-1.767</v>
      </c>
      <c r="G198" s="50" t="n"/>
      <c r="H198" s="50" t="n">
        <v>29.8</v>
      </c>
      <c r="I198" s="50" t="n"/>
      <c r="J198" s="50" t="n"/>
      <c r="K198" s="50" t="n">
        <v>29.8</v>
      </c>
      <c r="L198" s="50" t="n"/>
      <c r="M198" s="50" t="n"/>
      <c r="N198" s="50" t="n"/>
      <c r="O198" s="50" t="n"/>
      <c r="P198" s="50" t="n"/>
      <c r="Q198" s="50" t="n"/>
      <c r="R198" s="50" t="n"/>
      <c r="S198" s="50" t="n"/>
    </row>
    <row r="199">
      <c r="A199" s="50" t="inlineStr">
        <is>
          <t>1967-02</t>
        </is>
      </c>
      <c r="B199" s="50" t="n">
        <v>29</v>
      </c>
      <c r="C199" s="50" t="n">
        <v>0</v>
      </c>
      <c r="D199" s="50" t="n"/>
      <c r="E199" s="50" t="n">
        <v>28.1</v>
      </c>
      <c r="F199" s="50" t="n">
        <v>0</v>
      </c>
      <c r="G199" s="50" t="n"/>
      <c r="H199" s="50" t="n">
        <v>29.9</v>
      </c>
      <c r="I199" s="50" t="n"/>
      <c r="J199" s="50" t="n"/>
      <c r="K199" s="50" t="n">
        <v>30</v>
      </c>
      <c r="L199" s="50" t="n"/>
      <c r="M199" s="50" t="n"/>
      <c r="N199" s="50" t="n"/>
      <c r="O199" s="50" t="n"/>
      <c r="P199" s="50" t="n"/>
      <c r="Q199" s="50" t="n"/>
      <c r="R199" s="50" t="n"/>
      <c r="S199" s="50" t="n"/>
    </row>
    <row r="200">
      <c r="A200" s="50" t="inlineStr">
        <is>
          <t>1967-03</t>
        </is>
      </c>
      <c r="B200" s="50" t="n">
        <v>29.2</v>
      </c>
      <c r="C200" s="50" t="n">
        <v>0.6899999999999999</v>
      </c>
      <c r="D200" s="50" t="n"/>
      <c r="E200" s="50" t="n">
        <v>28.6</v>
      </c>
      <c r="F200" s="50" t="n">
        <v>0.704</v>
      </c>
      <c r="G200" s="50" t="n"/>
      <c r="H200" s="50" t="n">
        <v>30</v>
      </c>
      <c r="I200" s="50" t="n"/>
      <c r="J200" s="50" t="n"/>
      <c r="K200" s="50" t="n">
        <v>30.1</v>
      </c>
      <c r="L200" s="50" t="n">
        <v>3.793</v>
      </c>
      <c r="M200" s="50" t="n"/>
      <c r="N200" s="50" t="n"/>
      <c r="O200" s="50" t="n"/>
      <c r="P200" s="50" t="n"/>
      <c r="Q200" s="50" t="n">
        <v>33</v>
      </c>
      <c r="R200" s="50" t="n">
        <v>3.448</v>
      </c>
      <c r="S200" s="50" t="n"/>
    </row>
    <row r="201">
      <c r="A201" s="50" t="inlineStr">
        <is>
          <t>1967-04</t>
        </is>
      </c>
      <c r="B201" s="50" t="n">
        <v>29.3</v>
      </c>
      <c r="C201" s="50" t="n">
        <v>0.6870000000000001</v>
      </c>
      <c r="D201" s="50" t="n"/>
      <c r="E201" s="50" t="n">
        <v>29.3</v>
      </c>
      <c r="F201" s="50" t="n">
        <v>1.384</v>
      </c>
      <c r="G201" s="50" t="n"/>
      <c r="H201" s="50" t="n">
        <v>30.1</v>
      </c>
      <c r="I201" s="50" t="n"/>
      <c r="J201" s="50" t="n"/>
      <c r="K201" s="50" t="n">
        <v>30.2</v>
      </c>
      <c r="L201" s="50" t="n"/>
      <c r="M201" s="50" t="n"/>
      <c r="N201" s="50" t="n"/>
      <c r="O201" s="50" t="n"/>
      <c r="P201" s="50" t="n"/>
      <c r="Q201" s="50" t="n"/>
      <c r="R201" s="50" t="n"/>
      <c r="S201" s="50" t="n"/>
    </row>
    <row r="202">
      <c r="A202" s="50" t="inlineStr">
        <is>
          <t>1967-05</t>
        </is>
      </c>
      <c r="B202" s="50" t="n">
        <v>29.4</v>
      </c>
      <c r="C202" s="50" t="n">
        <v>1.73</v>
      </c>
      <c r="D202" s="50" t="n"/>
      <c r="E202" s="50" t="n">
        <v>29.9</v>
      </c>
      <c r="F202" s="50" t="n">
        <v>3.103</v>
      </c>
      <c r="G202" s="50" t="n"/>
      <c r="H202" s="50" t="n">
        <v>30.2</v>
      </c>
      <c r="I202" s="50" t="n"/>
      <c r="J202" s="50" t="n"/>
      <c r="K202" s="50" t="n">
        <v>30.3</v>
      </c>
      <c r="L202" s="50" t="n"/>
      <c r="M202" s="50" t="n"/>
      <c r="N202" s="50" t="n"/>
      <c r="O202" s="50" t="n"/>
      <c r="P202" s="50" t="n"/>
      <c r="Q202" s="50" t="n"/>
      <c r="R202" s="50" t="n"/>
      <c r="S202" s="50" t="n"/>
    </row>
    <row r="203">
      <c r="A203" s="50" t="inlineStr">
        <is>
          <t>1967-06</t>
        </is>
      </c>
      <c r="B203" s="50" t="n">
        <v>29.6</v>
      </c>
      <c r="C203" s="50" t="n">
        <v>2.778</v>
      </c>
      <c r="D203" s="50" t="n"/>
      <c r="E203" s="50" t="n">
        <v>30.2</v>
      </c>
      <c r="F203" s="50" t="n">
        <v>3.78</v>
      </c>
      <c r="G203" s="50" t="n"/>
      <c r="H203" s="50" t="n">
        <v>30.3</v>
      </c>
      <c r="I203" s="50" t="n"/>
      <c r="J203" s="50" t="n"/>
      <c r="K203" s="50" t="n">
        <v>30.3</v>
      </c>
      <c r="L203" s="50" t="n">
        <v>4.124</v>
      </c>
      <c r="M203" s="50" t="n"/>
      <c r="N203" s="50" t="n"/>
      <c r="O203" s="50" t="n"/>
      <c r="P203" s="50" t="n"/>
      <c r="Q203" s="50" t="n">
        <v>33.1</v>
      </c>
      <c r="R203" s="50" t="n">
        <v>3.115</v>
      </c>
      <c r="S203" s="50" t="n"/>
    </row>
    <row r="204">
      <c r="A204" s="50" t="inlineStr">
        <is>
          <t>1967-07</t>
        </is>
      </c>
      <c r="B204" s="50" t="n">
        <v>30.1</v>
      </c>
      <c r="C204" s="50" t="n">
        <v>3.436</v>
      </c>
      <c r="D204" s="50" t="n"/>
      <c r="E204" s="50" t="n">
        <v>30.8</v>
      </c>
      <c r="F204" s="50" t="n">
        <v>4.054</v>
      </c>
      <c r="G204" s="50" t="n"/>
      <c r="H204" s="50" t="n">
        <v>30.4</v>
      </c>
      <c r="I204" s="50" t="n"/>
      <c r="J204" s="50" t="n"/>
      <c r="K204" s="50" t="n">
        <v>30.4</v>
      </c>
      <c r="L204" s="50" t="n"/>
      <c r="M204" s="50" t="n"/>
      <c r="N204" s="50" t="n"/>
      <c r="O204" s="50" t="n"/>
      <c r="P204" s="50" t="n"/>
      <c r="Q204" s="50" t="n"/>
      <c r="R204" s="50" t="n"/>
      <c r="S204" s="50" t="n"/>
    </row>
    <row r="205">
      <c r="A205" s="50" t="inlineStr">
        <is>
          <t>1967-08</t>
        </is>
      </c>
      <c r="B205" s="50" t="n">
        <v>30.5</v>
      </c>
      <c r="C205" s="50" t="n">
        <v>3.041</v>
      </c>
      <c r="D205" s="50" t="n"/>
      <c r="E205" s="50" t="n">
        <v>30.8</v>
      </c>
      <c r="F205" s="50" t="n">
        <v>2.326</v>
      </c>
      <c r="G205" s="50" t="n"/>
      <c r="H205" s="50" t="n">
        <v>30.6</v>
      </c>
      <c r="I205" s="50" t="n"/>
      <c r="J205" s="50" t="n"/>
      <c r="K205" s="50" t="n">
        <v>30.5</v>
      </c>
      <c r="L205" s="50" t="n"/>
      <c r="M205" s="50" t="n"/>
      <c r="N205" s="50" t="n"/>
      <c r="O205" s="50" t="n"/>
      <c r="P205" s="50" t="n"/>
      <c r="Q205" s="50" t="n"/>
      <c r="R205" s="50" t="n"/>
      <c r="S205" s="50" t="n"/>
    </row>
    <row r="206">
      <c r="A206" s="50" t="inlineStr">
        <is>
          <t>1967-09</t>
        </is>
      </c>
      <c r="B206" s="50" t="n">
        <v>30.9</v>
      </c>
      <c r="C206" s="50" t="n">
        <v>5.461</v>
      </c>
      <c r="D206" s="50" t="n"/>
      <c r="E206" s="50" t="n">
        <v>31.1</v>
      </c>
      <c r="F206" s="50" t="n">
        <v>5.068</v>
      </c>
      <c r="G206" s="50" t="n"/>
      <c r="H206" s="50" t="n">
        <v>30.7</v>
      </c>
      <c r="I206" s="50" t="n"/>
      <c r="J206" s="50" t="n"/>
      <c r="K206" s="50" t="n">
        <v>30.6</v>
      </c>
      <c r="L206" s="50" t="n">
        <v>4.082</v>
      </c>
      <c r="M206" s="50" t="n"/>
      <c r="N206" s="50" t="n"/>
      <c r="O206" s="50" t="n"/>
      <c r="P206" s="50" t="n"/>
      <c r="Q206" s="50" t="n">
        <v>33.3</v>
      </c>
      <c r="R206" s="50" t="n">
        <v>1.835</v>
      </c>
      <c r="S206" s="50" t="n"/>
    </row>
    <row r="207">
      <c r="A207" s="50" t="inlineStr">
        <is>
          <t>1967-10</t>
        </is>
      </c>
      <c r="B207" s="50" t="n">
        <v>30.8</v>
      </c>
      <c r="C207" s="50" t="n">
        <v>4.762</v>
      </c>
      <c r="D207" s="50" t="n"/>
      <c r="E207" s="50" t="n">
        <v>31.1</v>
      </c>
      <c r="F207" s="50" t="n">
        <v>4.362</v>
      </c>
      <c r="G207" s="50" t="n"/>
      <c r="H207" s="50" t="n">
        <v>30.8</v>
      </c>
      <c r="I207" s="50" t="n"/>
      <c r="J207" s="50" t="n"/>
      <c r="K207" s="50" t="n">
        <v>30.8</v>
      </c>
      <c r="L207" s="50" t="n"/>
      <c r="M207" s="50" t="n"/>
      <c r="N207" s="50" t="n"/>
      <c r="O207" s="50" t="n"/>
      <c r="P207" s="50" t="n"/>
      <c r="Q207" s="50" t="n"/>
      <c r="R207" s="50" t="n"/>
      <c r="S207" s="50" t="n"/>
    </row>
    <row r="208">
      <c r="A208" s="50" t="inlineStr">
        <is>
          <t>1967-11</t>
        </is>
      </c>
      <c r="B208" s="50" t="n">
        <v>30.9</v>
      </c>
      <c r="C208" s="50" t="n">
        <v>5.822</v>
      </c>
      <c r="D208" s="50" t="n"/>
      <c r="E208" s="50" t="n">
        <v>31</v>
      </c>
      <c r="F208" s="50" t="n">
        <v>5.442</v>
      </c>
      <c r="G208" s="50" t="n"/>
      <c r="H208" s="50" t="n">
        <v>31</v>
      </c>
      <c r="I208" s="50" t="n"/>
      <c r="J208" s="50" t="n"/>
      <c r="K208" s="50" t="n">
        <v>30.8</v>
      </c>
      <c r="L208" s="50" t="n"/>
      <c r="M208" s="50" t="n"/>
      <c r="N208" s="50" t="n"/>
      <c r="O208" s="50" t="n"/>
      <c r="P208" s="50" t="n"/>
      <c r="Q208" s="50" t="n"/>
      <c r="R208" s="50" t="n"/>
      <c r="S208" s="50" t="n"/>
    </row>
    <row r="209">
      <c r="A209" s="50" t="inlineStr">
        <is>
          <t>1967-12</t>
        </is>
      </c>
      <c r="B209" s="50" t="n">
        <v>31.1</v>
      </c>
      <c r="C209" s="50" t="n">
        <v>10.284</v>
      </c>
      <c r="D209" s="50" t="n"/>
      <c r="E209" s="50" t="n">
        <v>30.8</v>
      </c>
      <c r="F209" s="50" t="n">
        <v>9.609</v>
      </c>
      <c r="G209" s="50" t="n"/>
      <c r="H209" s="50" t="n">
        <v>31.1</v>
      </c>
      <c r="I209" s="50" t="n"/>
      <c r="J209" s="50" t="n"/>
      <c r="K209" s="50" t="n">
        <v>30.9</v>
      </c>
      <c r="L209" s="50" t="n">
        <v>4.04</v>
      </c>
      <c r="M209" s="50" t="n"/>
      <c r="N209" s="50" t="n"/>
      <c r="O209" s="50" t="n"/>
      <c r="P209" s="50" t="n"/>
      <c r="Q209" s="50" t="n">
        <v>33.5</v>
      </c>
      <c r="R209" s="50" t="n">
        <v>2.134</v>
      </c>
      <c r="S209" s="50" t="n"/>
    </row>
    <row r="210">
      <c r="A210" s="50" t="inlineStr">
        <is>
          <t>1968-01</t>
        </is>
      </c>
      <c r="B210" s="50" t="n">
        <v>31.7</v>
      </c>
      <c r="C210" s="50" t="n">
        <v>10.839</v>
      </c>
      <c r="D210" s="50" t="n"/>
      <c r="E210" s="50" t="n">
        <v>31</v>
      </c>
      <c r="F210" s="50" t="n">
        <v>11.511</v>
      </c>
      <c r="G210" s="50" t="n"/>
      <c r="H210" s="50" t="n">
        <v>31.1</v>
      </c>
      <c r="I210" s="50" t="n">
        <v>4.362</v>
      </c>
      <c r="J210" s="50" t="n"/>
      <c r="K210" s="50" t="n">
        <v>31.1</v>
      </c>
      <c r="L210" s="50" t="n">
        <v>4.362</v>
      </c>
      <c r="M210" s="50" t="n"/>
      <c r="N210" s="50" t="n"/>
      <c r="O210" s="50" t="n"/>
      <c r="P210" s="50" t="n"/>
      <c r="Q210" s="50" t="n"/>
      <c r="R210" s="50" t="n"/>
      <c r="S210" s="50" t="n"/>
    </row>
    <row r="211">
      <c r="A211" s="50" t="inlineStr">
        <is>
          <t>1968-02</t>
        </is>
      </c>
      <c r="B211" s="50" t="n">
        <v>31.4</v>
      </c>
      <c r="C211" s="50" t="n">
        <v>8.276</v>
      </c>
      <c r="D211" s="50" t="n"/>
      <c r="E211" s="50" t="n">
        <v>30.5</v>
      </c>
      <c r="F211" s="50" t="n">
        <v>8.541</v>
      </c>
      <c r="G211" s="50" t="n"/>
      <c r="H211" s="50" t="n">
        <v>31.3</v>
      </c>
      <c r="I211" s="50" t="n">
        <v>4.682</v>
      </c>
      <c r="J211" s="50" t="n"/>
      <c r="K211" s="50" t="n">
        <v>31.5</v>
      </c>
      <c r="L211" s="50" t="n">
        <v>5</v>
      </c>
      <c r="M211" s="50" t="n"/>
      <c r="N211" s="50" t="n"/>
      <c r="O211" s="50" t="n"/>
      <c r="P211" s="50" t="n"/>
      <c r="Q211" s="50" t="n"/>
      <c r="R211" s="50" t="n"/>
      <c r="S211" s="50" t="n"/>
    </row>
    <row r="212">
      <c r="A212" s="50" t="inlineStr">
        <is>
          <t>1968-03</t>
        </is>
      </c>
      <c r="B212" s="50" t="n">
        <v>31.4</v>
      </c>
      <c r="C212" s="50" t="n">
        <v>7.534</v>
      </c>
      <c r="D212" s="50" t="n"/>
      <c r="E212" s="50" t="n"/>
      <c r="F212" s="50" t="n"/>
      <c r="G212" s="50" t="n"/>
      <c r="H212" s="50" t="n">
        <v>31.5</v>
      </c>
      <c r="I212" s="50" t="n">
        <v>5</v>
      </c>
      <c r="J212" s="50" t="n"/>
      <c r="K212" s="50" t="n">
        <v>31.7</v>
      </c>
      <c r="L212" s="50" t="n">
        <v>5.316</v>
      </c>
      <c r="M212" s="50" t="n"/>
      <c r="N212" s="50" t="n"/>
      <c r="O212" s="50" t="n"/>
      <c r="P212" s="50" t="n"/>
      <c r="Q212" s="50" t="n">
        <v>33.7</v>
      </c>
      <c r="R212" s="50" t="n">
        <v>2.121</v>
      </c>
      <c r="S212" s="50" t="n"/>
    </row>
    <row r="213">
      <c r="A213" s="50" t="inlineStr">
        <is>
          <t>1968-04</t>
        </is>
      </c>
      <c r="B213" s="50" t="n">
        <v>31.2</v>
      </c>
      <c r="C213" s="50" t="n">
        <v>6.485</v>
      </c>
      <c r="D213" s="50" t="n"/>
      <c r="E213" s="50" t="n">
        <v>31.1</v>
      </c>
      <c r="F213" s="50" t="n">
        <v>6.143</v>
      </c>
      <c r="G213" s="50" t="n"/>
      <c r="H213" s="50" t="n">
        <v>31.7</v>
      </c>
      <c r="I213" s="50" t="n">
        <v>5.316</v>
      </c>
      <c r="J213" s="50" t="n"/>
      <c r="K213" s="50" t="n">
        <v>31.8</v>
      </c>
      <c r="L213" s="50" t="n">
        <v>5.298</v>
      </c>
      <c r="M213" s="50" t="n"/>
      <c r="N213" s="50" t="n"/>
      <c r="O213" s="50" t="n"/>
      <c r="P213" s="50" t="n"/>
      <c r="Q213" s="50" t="n"/>
      <c r="R213" s="50" t="n"/>
      <c r="S213" s="50" t="n"/>
    </row>
    <row r="214">
      <c r="A214" s="50" t="inlineStr">
        <is>
          <t>1968-05</t>
        </is>
      </c>
      <c r="B214" s="50" t="n">
        <v>30.7</v>
      </c>
      <c r="C214" s="50" t="n">
        <v>4.422</v>
      </c>
      <c r="D214" s="50" t="n"/>
      <c r="E214" s="50" t="n">
        <v>31.2</v>
      </c>
      <c r="F214" s="50" t="n">
        <v>4.348</v>
      </c>
      <c r="G214" s="50" t="n"/>
      <c r="H214" s="50" t="n">
        <v>31.8</v>
      </c>
      <c r="I214" s="50" t="n">
        <v>5.298</v>
      </c>
      <c r="J214" s="50" t="n"/>
      <c r="K214" s="50" t="n">
        <v>31.8</v>
      </c>
      <c r="L214" s="50" t="n">
        <v>4.95</v>
      </c>
      <c r="M214" s="50" t="n"/>
      <c r="N214" s="50" t="n"/>
      <c r="O214" s="50" t="n"/>
      <c r="P214" s="50" t="n"/>
      <c r="Q214" s="50" t="n"/>
      <c r="R214" s="50" t="n"/>
      <c r="S214" s="50" t="n"/>
    </row>
    <row r="215">
      <c r="A215" s="50" t="inlineStr">
        <is>
          <t>1968-06</t>
        </is>
      </c>
      <c r="B215" s="50" t="n">
        <v>31</v>
      </c>
      <c r="C215" s="50" t="n">
        <v>4.73</v>
      </c>
      <c r="D215" s="50" t="n"/>
      <c r="E215" s="50" t="n"/>
      <c r="F215" s="50" t="n"/>
      <c r="G215" s="50" t="n"/>
      <c r="H215" s="50" t="n">
        <v>31.9</v>
      </c>
      <c r="I215" s="50" t="n">
        <v>5.281</v>
      </c>
      <c r="J215" s="50" t="n"/>
      <c r="K215" s="50" t="n">
        <v>31.9</v>
      </c>
      <c r="L215" s="50" t="n">
        <v>5.281</v>
      </c>
      <c r="M215" s="50" t="n"/>
      <c r="N215" s="50" t="n"/>
      <c r="O215" s="50" t="n"/>
      <c r="P215" s="50" t="n"/>
      <c r="Q215" s="50" t="n">
        <v>33.8</v>
      </c>
      <c r="R215" s="50" t="n">
        <v>2.115</v>
      </c>
      <c r="S215" s="50" t="n"/>
    </row>
    <row r="216">
      <c r="A216" s="50" t="inlineStr">
        <is>
          <t>1968-07</t>
        </is>
      </c>
      <c r="B216" s="50" t="n">
        <v>31.1</v>
      </c>
      <c r="C216" s="50" t="n">
        <v>3.322</v>
      </c>
      <c r="D216" s="50" t="n"/>
      <c r="E216" s="50" t="n"/>
      <c r="F216" s="50" t="n"/>
      <c r="G216" s="50" t="n"/>
      <c r="H216" s="50" t="n">
        <v>32</v>
      </c>
      <c r="I216" s="50" t="n">
        <v>5.263</v>
      </c>
      <c r="J216" s="50" t="n"/>
      <c r="K216" s="50" t="n">
        <v>32</v>
      </c>
      <c r="L216" s="50" t="n">
        <v>5.263</v>
      </c>
      <c r="M216" s="50" t="n"/>
      <c r="N216" s="50" t="n"/>
      <c r="O216" s="50" t="n"/>
      <c r="P216" s="50" t="n"/>
      <c r="Q216" s="50" t="n"/>
      <c r="R216" s="50" t="n"/>
      <c r="S216" s="50" t="n"/>
    </row>
    <row r="217">
      <c r="A217" s="50" t="inlineStr">
        <is>
          <t>1968-08</t>
        </is>
      </c>
      <c r="B217" s="50" t="n">
        <v>31.3</v>
      </c>
      <c r="C217" s="50" t="n">
        <v>2.623</v>
      </c>
      <c r="D217" s="50" t="n"/>
      <c r="E217" s="50" t="n"/>
      <c r="F217" s="50" t="n"/>
      <c r="G217" s="50" t="n"/>
      <c r="H217" s="50" t="n">
        <v>32.2</v>
      </c>
      <c r="I217" s="50" t="n">
        <v>5.229</v>
      </c>
      <c r="J217" s="50" t="n"/>
      <c r="K217" s="50" t="n">
        <v>32.1</v>
      </c>
      <c r="L217" s="50" t="n">
        <v>5.246</v>
      </c>
      <c r="M217" s="50" t="n"/>
      <c r="N217" s="50" t="n"/>
      <c r="O217" s="50" t="n"/>
      <c r="P217" s="50" t="n"/>
      <c r="Q217" s="50" t="n"/>
      <c r="R217" s="50" t="n"/>
      <c r="S217" s="50" t="n"/>
    </row>
    <row r="218">
      <c r="A218" s="50" t="inlineStr">
        <is>
          <t>1968-09</t>
        </is>
      </c>
      <c r="B218" s="50" t="n">
        <v>31</v>
      </c>
      <c r="C218" s="50" t="n">
        <v>0.324</v>
      </c>
      <c r="D218" s="50" t="n"/>
      <c r="E218" s="50" t="n">
        <v>31.2</v>
      </c>
      <c r="F218" s="50" t="n">
        <v>0.322</v>
      </c>
      <c r="G218" s="50" t="n"/>
      <c r="H218" s="50" t="n">
        <v>32.4</v>
      </c>
      <c r="I218" s="50" t="n">
        <v>5.537</v>
      </c>
      <c r="J218" s="50" t="n"/>
      <c r="K218" s="50" t="n">
        <v>32.4</v>
      </c>
      <c r="L218" s="50" t="n">
        <v>5.882</v>
      </c>
      <c r="M218" s="50" t="n"/>
      <c r="N218" s="50" t="n"/>
      <c r="O218" s="50" t="n"/>
      <c r="P218" s="50" t="n"/>
      <c r="Q218" s="50" t="n">
        <v>34</v>
      </c>
      <c r="R218" s="50" t="n">
        <v>2.102</v>
      </c>
      <c r="S218" s="50" t="n"/>
    </row>
    <row r="219">
      <c r="A219" s="50" t="inlineStr">
        <is>
          <t>1968-10</t>
        </is>
      </c>
      <c r="B219" s="50" t="n">
        <v>30.9</v>
      </c>
      <c r="C219" s="50" t="n">
        <v>0.325</v>
      </c>
      <c r="D219" s="50" t="n"/>
      <c r="E219" s="50" t="n"/>
      <c r="F219" s="50" t="n"/>
      <c r="G219" s="50" t="n"/>
      <c r="H219" s="50" t="n">
        <v>32.6</v>
      </c>
      <c r="I219" s="50" t="n">
        <v>5.844</v>
      </c>
      <c r="J219" s="50" t="n"/>
      <c r="K219" s="50" t="n">
        <v>32.5</v>
      </c>
      <c r="L219" s="50" t="n">
        <v>5.519</v>
      </c>
      <c r="M219" s="50" t="n"/>
      <c r="N219" s="50" t="n"/>
      <c r="O219" s="50" t="n"/>
      <c r="P219" s="50" t="n"/>
      <c r="Q219" s="50" t="n"/>
      <c r="R219" s="50" t="n"/>
      <c r="S219" s="50" t="n"/>
    </row>
    <row r="220">
      <c r="A220" s="50" t="inlineStr">
        <is>
          <t>1968-11</t>
        </is>
      </c>
      <c r="B220" s="50" t="n">
        <v>31</v>
      </c>
      <c r="C220" s="50" t="n">
        <v>0.324</v>
      </c>
      <c r="D220" s="50" t="n"/>
      <c r="E220" s="50" t="n"/>
      <c r="F220" s="50" t="n"/>
      <c r="G220" s="50" t="n"/>
      <c r="H220" s="50" t="n">
        <v>32.8</v>
      </c>
      <c r="I220" s="50" t="n">
        <v>5.806</v>
      </c>
      <c r="J220" s="50" t="n"/>
      <c r="K220" s="50" t="n">
        <v>32.7</v>
      </c>
      <c r="L220" s="50" t="n">
        <v>6.169</v>
      </c>
      <c r="M220" s="50" t="n"/>
      <c r="N220" s="50" t="n"/>
      <c r="O220" s="50" t="n"/>
      <c r="P220" s="50" t="n"/>
      <c r="Q220" s="50" t="n"/>
      <c r="R220" s="50" t="n"/>
      <c r="S220" s="50" t="n"/>
    </row>
    <row r="221">
      <c r="A221" s="50" t="inlineStr">
        <is>
          <t>1968-12</t>
        </is>
      </c>
      <c r="B221" s="50" t="n">
        <v>29.6</v>
      </c>
      <c r="C221" s="50" t="n">
        <v>-4.823</v>
      </c>
      <c r="D221" s="50" t="n"/>
      <c r="E221" s="50" t="n">
        <v>29.3</v>
      </c>
      <c r="F221" s="50" t="n">
        <v>-4.87</v>
      </c>
      <c r="G221" s="50" t="n"/>
      <c r="H221" s="50" t="n">
        <v>33</v>
      </c>
      <c r="I221" s="50" t="n">
        <v>6.109</v>
      </c>
      <c r="J221" s="50" t="n"/>
      <c r="K221" s="50" t="n">
        <v>32.8</v>
      </c>
      <c r="L221" s="50" t="n">
        <v>6.149</v>
      </c>
      <c r="M221" s="50" t="n"/>
      <c r="N221" s="50" t="n"/>
      <c r="O221" s="50" t="n"/>
      <c r="P221" s="50" t="n"/>
      <c r="Q221" s="50" t="n">
        <v>34.6</v>
      </c>
      <c r="R221" s="50" t="n">
        <v>3.284</v>
      </c>
      <c r="S221" s="50" t="n"/>
    </row>
    <row r="222">
      <c r="A222" s="50" t="inlineStr">
        <is>
          <t>1969-01</t>
        </is>
      </c>
      <c r="B222" s="50" t="n">
        <v>29.2</v>
      </c>
      <c r="C222" s="50" t="n">
        <v>-7.886</v>
      </c>
      <c r="D222" s="50" t="n"/>
      <c r="E222" s="50" t="n">
        <v>28.5</v>
      </c>
      <c r="F222" s="50" t="n">
        <v>-8.065</v>
      </c>
      <c r="G222" s="50" t="n"/>
      <c r="H222" s="50" t="n">
        <v>33.2</v>
      </c>
      <c r="I222" s="50" t="n">
        <v>6.752</v>
      </c>
      <c r="J222" s="50" t="n"/>
      <c r="K222" s="50" t="n">
        <v>33.2</v>
      </c>
      <c r="L222" s="50" t="n">
        <v>6.752</v>
      </c>
      <c r="M222" s="50" t="n"/>
      <c r="N222" s="50" t="n"/>
      <c r="O222" s="50" t="n"/>
      <c r="P222" s="50" t="n"/>
      <c r="Q222" s="50" t="n">
        <v>35.7</v>
      </c>
      <c r="R222" s="50" t="n"/>
      <c r="S222" s="50" t="n"/>
    </row>
    <row r="223">
      <c r="A223" s="50" t="inlineStr">
        <is>
          <t>1969-02</t>
        </is>
      </c>
      <c r="B223" s="50" t="n">
        <v>31.3</v>
      </c>
      <c r="C223" s="50" t="n">
        <v>-0.318</v>
      </c>
      <c r="D223" s="50" t="n"/>
      <c r="E223" s="50" t="n">
        <v>30.2</v>
      </c>
      <c r="F223" s="50" t="n">
        <v>-0.984</v>
      </c>
      <c r="G223" s="50" t="n"/>
      <c r="H223" s="50" t="n">
        <v>33.3</v>
      </c>
      <c r="I223" s="50" t="n">
        <v>6.39</v>
      </c>
      <c r="J223" s="50" t="n"/>
      <c r="K223" s="50" t="n">
        <v>33.4</v>
      </c>
      <c r="L223" s="50" t="n">
        <v>6.032</v>
      </c>
      <c r="M223" s="50" t="n"/>
      <c r="N223" s="50" t="n"/>
      <c r="O223" s="50" t="n"/>
      <c r="P223" s="50" t="n"/>
      <c r="Q223" s="50" t="n">
        <v>35.9</v>
      </c>
      <c r="R223" s="50" t="n"/>
      <c r="S223" s="50" t="n"/>
    </row>
    <row r="224">
      <c r="A224" s="50" t="inlineStr">
        <is>
          <t>1969-03</t>
        </is>
      </c>
      <c r="B224" s="50" t="n">
        <v>33</v>
      </c>
      <c r="C224" s="50" t="n">
        <v>5.096</v>
      </c>
      <c r="D224" s="50" t="n"/>
      <c r="E224" s="50" t="n">
        <v>32.2</v>
      </c>
      <c r="F224" s="50" t="n"/>
      <c r="G224" s="50" t="n"/>
      <c r="H224" s="50" t="n">
        <v>33.5</v>
      </c>
      <c r="I224" s="50" t="n">
        <v>6.349</v>
      </c>
      <c r="J224" s="50" t="n"/>
      <c r="K224" s="50" t="n">
        <v>33.6</v>
      </c>
      <c r="L224" s="50" t="n">
        <v>5.994</v>
      </c>
      <c r="M224" s="50" t="n"/>
      <c r="N224" s="50" t="n"/>
      <c r="O224" s="50" t="n"/>
      <c r="P224" s="50" t="n"/>
      <c r="Q224" s="50" t="n">
        <v>36</v>
      </c>
      <c r="R224" s="50" t="n">
        <v>6.825</v>
      </c>
      <c r="S224" s="50" t="n"/>
    </row>
    <row r="225">
      <c r="A225" s="50" t="inlineStr">
        <is>
          <t>1969-04</t>
        </is>
      </c>
      <c r="B225" s="50" t="n">
        <v>32.5</v>
      </c>
      <c r="C225" s="50" t="n">
        <v>4.167</v>
      </c>
      <c r="D225" s="50" t="n"/>
      <c r="E225" s="50" t="n">
        <v>32.3</v>
      </c>
      <c r="F225" s="50" t="n">
        <v>3.859</v>
      </c>
      <c r="G225" s="50" t="n"/>
      <c r="H225" s="50" t="n">
        <v>33.6</v>
      </c>
      <c r="I225" s="50" t="n">
        <v>5.994</v>
      </c>
      <c r="J225" s="50" t="n"/>
      <c r="K225" s="50" t="n">
        <v>33.7</v>
      </c>
      <c r="L225" s="50" t="n">
        <v>5.975</v>
      </c>
      <c r="M225" s="50" t="n"/>
      <c r="N225" s="50" t="n"/>
      <c r="O225" s="50" t="n"/>
      <c r="P225" s="50" t="n"/>
      <c r="Q225" s="50" t="n">
        <v>36.2</v>
      </c>
      <c r="R225" s="50" t="n"/>
      <c r="S225" s="50" t="n"/>
    </row>
    <row r="226">
      <c r="A226" s="50" t="inlineStr">
        <is>
          <t>1969-05</t>
        </is>
      </c>
      <c r="B226" s="50" t="n">
        <v>30.8</v>
      </c>
      <c r="C226" s="50" t="n">
        <v>0.326</v>
      </c>
      <c r="D226" s="50" t="n"/>
      <c r="E226" s="50" t="n">
        <v>31.3</v>
      </c>
      <c r="F226" s="50" t="n">
        <v>0.321</v>
      </c>
      <c r="G226" s="50" t="n"/>
      <c r="H226" s="50" t="n">
        <v>33.8</v>
      </c>
      <c r="I226" s="50" t="n">
        <v>6.289</v>
      </c>
      <c r="J226" s="50" t="n"/>
      <c r="K226" s="50" t="n">
        <v>33.9</v>
      </c>
      <c r="L226" s="50" t="n">
        <v>6.604</v>
      </c>
      <c r="M226" s="50" t="n"/>
      <c r="N226" s="50" t="n"/>
      <c r="O226" s="50" t="n"/>
      <c r="P226" s="50" t="n"/>
      <c r="Q226" s="50" t="n">
        <v>36.4</v>
      </c>
      <c r="R226" s="50" t="n"/>
      <c r="S226" s="50" t="n"/>
    </row>
    <row r="227">
      <c r="A227" s="50" t="inlineStr">
        <is>
          <t>1969-06</t>
        </is>
      </c>
      <c r="B227" s="50" t="n">
        <v>31</v>
      </c>
      <c r="C227" s="50" t="n">
        <v>0</v>
      </c>
      <c r="D227" s="50" t="n"/>
      <c r="E227" s="50" t="n">
        <v>31.6</v>
      </c>
      <c r="F227" s="50" t="n"/>
      <c r="G227" s="50" t="n"/>
      <c r="H227" s="50" t="n">
        <v>33.9</v>
      </c>
      <c r="I227" s="50" t="n">
        <v>6.27</v>
      </c>
      <c r="J227" s="50" t="n"/>
      <c r="K227" s="50" t="n">
        <v>34</v>
      </c>
      <c r="L227" s="50" t="n">
        <v>6.583</v>
      </c>
      <c r="M227" s="50" t="n"/>
      <c r="N227" s="50" t="n"/>
      <c r="O227" s="50" t="n"/>
      <c r="P227" s="50" t="n"/>
      <c r="Q227" s="50" t="n">
        <v>36.6</v>
      </c>
      <c r="R227" s="50" t="n">
        <v>8.284000000000001</v>
      </c>
      <c r="S227" s="50" t="n"/>
    </row>
    <row r="228">
      <c r="A228" s="50" t="inlineStr">
        <is>
          <t>1969-07</t>
        </is>
      </c>
      <c r="B228" s="50" t="n">
        <v>30.5</v>
      </c>
      <c r="C228" s="50" t="n">
        <v>-1.929</v>
      </c>
      <c r="D228" s="50" t="n"/>
      <c r="E228" s="50" t="n">
        <v>31.3</v>
      </c>
      <c r="F228" s="50" t="n"/>
      <c r="G228" s="50" t="n"/>
      <c r="H228" s="50" t="n">
        <v>34.1</v>
      </c>
      <c r="I228" s="50" t="n">
        <v>6.563</v>
      </c>
      <c r="J228" s="50" t="n"/>
      <c r="K228" s="50" t="n">
        <v>34.1</v>
      </c>
      <c r="L228" s="50" t="n">
        <v>6.563</v>
      </c>
      <c r="M228" s="50" t="n"/>
      <c r="N228" s="50" t="n"/>
      <c r="O228" s="50" t="n"/>
      <c r="P228" s="50" t="n"/>
      <c r="Q228" s="50" t="n">
        <v>36.7</v>
      </c>
      <c r="R228" s="50" t="n"/>
      <c r="S228" s="50" t="n"/>
    </row>
    <row r="229">
      <c r="A229" s="50" t="inlineStr">
        <is>
          <t>1969-08</t>
        </is>
      </c>
      <c r="B229" s="50" t="n">
        <v>30.5</v>
      </c>
      <c r="C229" s="50" t="n">
        <v>-2.556</v>
      </c>
      <c r="D229" s="50" t="n"/>
      <c r="E229" s="50" t="n">
        <v>30.9</v>
      </c>
      <c r="F229" s="50" t="n"/>
      <c r="G229" s="50" t="n"/>
      <c r="H229" s="50" t="n">
        <v>34.3</v>
      </c>
      <c r="I229" s="50" t="n">
        <v>6.522</v>
      </c>
      <c r="J229" s="50" t="n"/>
      <c r="K229" s="50" t="n">
        <v>34.3</v>
      </c>
      <c r="L229" s="50" t="n">
        <v>6.854</v>
      </c>
      <c r="M229" s="50" t="n"/>
      <c r="N229" s="50" t="n"/>
      <c r="O229" s="50" t="n"/>
      <c r="P229" s="50" t="n"/>
      <c r="Q229" s="50" t="n">
        <v>37</v>
      </c>
      <c r="R229" s="50" t="n"/>
      <c r="S229" s="50" t="n"/>
    </row>
    <row r="230">
      <c r="A230" s="50" t="inlineStr">
        <is>
          <t>1969-09</t>
        </is>
      </c>
      <c r="B230" s="50" t="n">
        <v>29.6</v>
      </c>
      <c r="C230" s="50" t="n">
        <v>-4.516</v>
      </c>
      <c r="D230" s="50" t="n"/>
      <c r="E230" s="50" t="n">
        <v>29.9</v>
      </c>
      <c r="F230" s="50" t="n">
        <v>-4.167</v>
      </c>
      <c r="G230" s="50" t="n"/>
      <c r="H230" s="50" t="n">
        <v>34.5</v>
      </c>
      <c r="I230" s="50" t="n">
        <v>6.481</v>
      </c>
      <c r="J230" s="50" t="n"/>
      <c r="K230" s="50" t="n">
        <v>34.5</v>
      </c>
      <c r="L230" s="50" t="n">
        <v>6.481</v>
      </c>
      <c r="M230" s="50" t="n"/>
      <c r="N230" s="50" t="n"/>
      <c r="O230" s="50" t="n"/>
      <c r="P230" s="50" t="n"/>
      <c r="Q230" s="50" t="n">
        <v>37.6</v>
      </c>
      <c r="R230" s="50" t="n">
        <v>10.588</v>
      </c>
      <c r="S230" s="50" t="n"/>
    </row>
    <row r="231">
      <c r="A231" s="50" t="inlineStr">
        <is>
          <t>1969-10</t>
        </is>
      </c>
      <c r="B231" s="50" t="n">
        <v>30.6</v>
      </c>
      <c r="C231" s="50" t="n">
        <v>-0.971</v>
      </c>
      <c r="D231" s="50" t="n"/>
      <c r="E231" s="50" t="n">
        <v>31</v>
      </c>
      <c r="F231" s="50" t="n"/>
      <c r="G231" s="50" t="n"/>
      <c r="H231" s="50" t="n">
        <v>34.8</v>
      </c>
      <c r="I231" s="50" t="n">
        <v>6.748</v>
      </c>
      <c r="J231" s="50" t="n"/>
      <c r="K231" s="50" t="n">
        <v>34.7</v>
      </c>
      <c r="L231" s="50" t="n">
        <v>6.769</v>
      </c>
      <c r="M231" s="50" t="n"/>
      <c r="N231" s="50" t="n"/>
      <c r="O231" s="50" t="n"/>
      <c r="P231" s="50" t="n"/>
      <c r="Q231" s="50" t="n">
        <v>37.7</v>
      </c>
      <c r="R231" s="50" t="n"/>
      <c r="S231" s="50" t="n"/>
    </row>
    <row r="232">
      <c r="A232" s="50" t="inlineStr">
        <is>
          <t>1969-11</t>
        </is>
      </c>
      <c r="B232" s="50" t="n">
        <v>30.6</v>
      </c>
      <c r="C232" s="50" t="n">
        <v>-1.29</v>
      </c>
      <c r="D232" s="50" t="n"/>
      <c r="E232" s="50" t="n">
        <v>30.8</v>
      </c>
      <c r="F232" s="50" t="n"/>
      <c r="G232" s="50" t="n"/>
      <c r="H232" s="50" t="n">
        <v>34.9</v>
      </c>
      <c r="I232" s="50" t="n">
        <v>6.402</v>
      </c>
      <c r="J232" s="50" t="n"/>
      <c r="K232" s="50" t="n">
        <v>34.8</v>
      </c>
      <c r="L232" s="50" t="n">
        <v>6.422</v>
      </c>
      <c r="M232" s="50" t="n"/>
      <c r="N232" s="50" t="n"/>
      <c r="O232" s="50" t="n"/>
      <c r="P232" s="50" t="n"/>
      <c r="Q232" s="50" t="n">
        <v>38</v>
      </c>
      <c r="R232" s="50" t="n"/>
      <c r="S232" s="50" t="n"/>
    </row>
    <row r="233">
      <c r="A233" s="50" t="inlineStr">
        <is>
          <t>1969-12</t>
        </is>
      </c>
      <c r="B233" s="50" t="n">
        <v>30.8</v>
      </c>
      <c r="C233" s="50" t="n">
        <v>4.054</v>
      </c>
      <c r="D233" s="50" t="n"/>
      <c r="E233" s="50" t="n">
        <v>30.5</v>
      </c>
      <c r="F233" s="50" t="n">
        <v>4.096</v>
      </c>
      <c r="G233" s="50" t="n"/>
      <c r="H233" s="50" t="n">
        <v>35.1</v>
      </c>
      <c r="I233" s="50" t="n">
        <v>6.364</v>
      </c>
      <c r="J233" s="50" t="n"/>
      <c r="K233" s="50" t="n">
        <v>35</v>
      </c>
      <c r="L233" s="50" t="n">
        <v>6.707</v>
      </c>
      <c r="M233" s="50" t="n"/>
      <c r="N233" s="50" t="n"/>
      <c r="O233" s="50" t="n"/>
      <c r="P233" s="50" t="n"/>
      <c r="Q233" s="50" t="n">
        <v>39.6</v>
      </c>
      <c r="R233" s="50" t="n">
        <v>14.451</v>
      </c>
      <c r="S233" s="50" t="n"/>
    </row>
    <row r="234">
      <c r="A234" s="50" t="inlineStr">
        <is>
          <t>1970-01</t>
        </is>
      </c>
      <c r="B234" s="50" t="n">
        <v>30.5</v>
      </c>
      <c r="C234" s="50" t="n">
        <v>4.452</v>
      </c>
      <c r="D234" s="50" t="n"/>
      <c r="E234" s="50" t="n">
        <v>29.7</v>
      </c>
      <c r="F234" s="50" t="n">
        <v>4.211</v>
      </c>
      <c r="G234" s="50" t="n"/>
      <c r="H234" s="50" t="n">
        <v>35.5</v>
      </c>
      <c r="I234" s="50" t="n">
        <v>6.928</v>
      </c>
      <c r="J234" s="50" t="n"/>
      <c r="K234" s="50" t="n">
        <v>35.5</v>
      </c>
      <c r="L234" s="50" t="n">
        <v>6.928</v>
      </c>
      <c r="M234" s="50" t="n"/>
      <c r="N234" s="50" t="n"/>
      <c r="O234" s="50" t="n"/>
      <c r="P234" s="50" t="n"/>
      <c r="Q234" s="50" t="n">
        <v>40</v>
      </c>
      <c r="R234" s="50" t="n">
        <v>12.045</v>
      </c>
      <c r="S234" s="50" t="n"/>
    </row>
    <row r="235">
      <c r="A235" s="50" t="inlineStr">
        <is>
          <t>1970-02</t>
        </is>
      </c>
      <c r="B235" s="50" t="n">
        <v>30.2</v>
      </c>
      <c r="C235" s="50" t="n">
        <v>-3.514</v>
      </c>
      <c r="D235" s="50" t="n"/>
      <c r="E235" s="50" t="n">
        <v>29</v>
      </c>
      <c r="F235" s="50" t="n">
        <v>-3.974</v>
      </c>
      <c r="G235" s="50" t="n"/>
      <c r="H235" s="50" t="n">
        <v>35.7</v>
      </c>
      <c r="I235" s="50" t="n">
        <v>7.207</v>
      </c>
      <c r="J235" s="50" t="n"/>
      <c r="K235" s="50" t="n">
        <v>35.7</v>
      </c>
      <c r="L235" s="50" t="n">
        <v>6.886</v>
      </c>
      <c r="M235" s="50" t="n"/>
      <c r="N235" s="50" t="n"/>
      <c r="O235" s="50" t="n"/>
      <c r="P235" s="50" t="n"/>
      <c r="Q235" s="50" t="n">
        <v>40.6</v>
      </c>
      <c r="R235" s="50" t="n">
        <v>13.092</v>
      </c>
      <c r="S235" s="50" t="n"/>
    </row>
    <row r="236">
      <c r="A236" s="50" t="inlineStr">
        <is>
          <t>1970-03</t>
        </is>
      </c>
      <c r="B236" s="50" t="n">
        <v>29.9</v>
      </c>
      <c r="C236" s="50" t="n">
        <v>-9.394</v>
      </c>
      <c r="D236" s="50" t="n"/>
      <c r="E236" s="50" t="n">
        <v>29</v>
      </c>
      <c r="F236" s="50" t="n">
        <v>-9.938000000000001</v>
      </c>
      <c r="G236" s="50" t="n"/>
      <c r="H236" s="50" t="n">
        <v>35.9</v>
      </c>
      <c r="I236" s="50" t="n">
        <v>7.164</v>
      </c>
      <c r="J236" s="50" t="n"/>
      <c r="K236" s="50" t="n">
        <v>36.1</v>
      </c>
      <c r="L236" s="50" t="n">
        <v>7.44</v>
      </c>
      <c r="M236" s="50" t="n"/>
      <c r="N236" s="50" t="n"/>
      <c r="O236" s="50" t="n"/>
      <c r="P236" s="50" t="n"/>
      <c r="Q236" s="50" t="n">
        <v>40.7</v>
      </c>
      <c r="R236" s="50" t="n">
        <v>13.056</v>
      </c>
      <c r="S236" s="50" t="n"/>
    </row>
    <row r="237">
      <c r="A237" s="50" t="inlineStr">
        <is>
          <t>1970-04</t>
        </is>
      </c>
      <c r="B237" s="50" t="n">
        <v>30.1</v>
      </c>
      <c r="C237" s="50" t="n">
        <v>-7.385</v>
      </c>
      <c r="D237" s="50" t="n"/>
      <c r="E237" s="50" t="n">
        <v>29.9</v>
      </c>
      <c r="F237" s="50" t="n">
        <v>-7.43</v>
      </c>
      <c r="G237" s="50" t="n"/>
      <c r="H237" s="50" t="n">
        <v>36.1</v>
      </c>
      <c r="I237" s="50" t="n">
        <v>7.44</v>
      </c>
      <c r="J237" s="50" t="n"/>
      <c r="K237" s="50" t="n">
        <v>36.2</v>
      </c>
      <c r="L237" s="50" t="n">
        <v>7.418</v>
      </c>
      <c r="M237" s="50" t="n"/>
      <c r="N237" s="50" t="n"/>
      <c r="O237" s="50" t="n"/>
      <c r="P237" s="50" t="n"/>
      <c r="Q237" s="50" t="n">
        <v>41.2</v>
      </c>
      <c r="R237" s="50" t="n">
        <v>13.812</v>
      </c>
      <c r="S237" s="50" t="n"/>
    </row>
    <row r="238">
      <c r="A238" s="50" t="inlineStr">
        <is>
          <t>1970-05</t>
        </is>
      </c>
      <c r="B238" s="50" t="n">
        <v>30.9</v>
      </c>
      <c r="C238" s="50" t="n">
        <v>0.325</v>
      </c>
      <c r="D238" s="50" t="n"/>
      <c r="E238" s="50" t="n">
        <v>31.4</v>
      </c>
      <c r="F238" s="50" t="n">
        <v>0.319</v>
      </c>
      <c r="G238" s="50" t="n"/>
      <c r="H238" s="50" t="n">
        <v>36.4</v>
      </c>
      <c r="I238" s="50" t="n">
        <v>7.692</v>
      </c>
      <c r="J238" s="50" t="n"/>
      <c r="K238" s="50" t="n">
        <v>36.4</v>
      </c>
      <c r="L238" s="50" t="n">
        <v>7.375</v>
      </c>
      <c r="M238" s="50" t="n"/>
      <c r="N238" s="50" t="n"/>
      <c r="O238" s="50" t="n"/>
      <c r="P238" s="50" t="n"/>
      <c r="Q238" s="50" t="n">
        <v>41.4</v>
      </c>
      <c r="R238" s="50" t="n">
        <v>13.736</v>
      </c>
      <c r="S238" s="50" t="n"/>
    </row>
    <row r="239">
      <c r="A239" s="50" t="inlineStr">
        <is>
          <t>1970-06</t>
        </is>
      </c>
      <c r="B239" s="50" t="n">
        <v>31.8</v>
      </c>
      <c r="C239" s="50" t="n">
        <v>2.581</v>
      </c>
      <c r="D239" s="50" t="n"/>
      <c r="E239" s="50" t="n">
        <v>32.5</v>
      </c>
      <c r="F239" s="50" t="n">
        <v>2.848</v>
      </c>
      <c r="G239" s="50" t="n"/>
      <c r="H239" s="50" t="n">
        <v>36.6</v>
      </c>
      <c r="I239" s="50" t="n">
        <v>7.965</v>
      </c>
      <c r="J239" s="50" t="n"/>
      <c r="K239" s="50" t="n">
        <v>36.6</v>
      </c>
      <c r="L239" s="50" t="n">
        <v>7.647</v>
      </c>
      <c r="M239" s="50" t="n"/>
      <c r="N239" s="50" t="n"/>
      <c r="O239" s="50" t="n"/>
      <c r="P239" s="50" t="n"/>
      <c r="Q239" s="50" t="n">
        <v>41.9</v>
      </c>
      <c r="R239" s="50" t="n">
        <v>14.481</v>
      </c>
      <c r="S239" s="50" t="n"/>
    </row>
    <row r="240">
      <c r="A240" s="50" t="inlineStr">
        <is>
          <t>1970-07</t>
        </is>
      </c>
      <c r="B240" s="50" t="n">
        <v>31.7</v>
      </c>
      <c r="C240" s="50" t="n">
        <v>3.934</v>
      </c>
      <c r="D240" s="50" t="n"/>
      <c r="E240" s="50" t="n">
        <v>32.5</v>
      </c>
      <c r="F240" s="50" t="n">
        <v>3.834</v>
      </c>
      <c r="G240" s="50" t="n"/>
      <c r="H240" s="50" t="n">
        <v>36.8</v>
      </c>
      <c r="I240" s="50" t="n">
        <v>7.918</v>
      </c>
      <c r="J240" s="50" t="n"/>
      <c r="K240" s="50" t="n">
        <v>36.8</v>
      </c>
      <c r="L240" s="50" t="n">
        <v>7.918</v>
      </c>
      <c r="M240" s="50" t="n"/>
      <c r="N240" s="50" t="n"/>
      <c r="O240" s="50" t="n"/>
      <c r="P240" s="50" t="n"/>
      <c r="Q240" s="50" t="n">
        <v>42.3</v>
      </c>
      <c r="R240" s="50" t="n">
        <v>15.259</v>
      </c>
      <c r="S240" s="50" t="n"/>
    </row>
    <row r="241">
      <c r="A241" s="50" t="inlineStr">
        <is>
          <t>1970-08</t>
        </is>
      </c>
      <c r="B241" s="50" t="n">
        <v>31.4</v>
      </c>
      <c r="C241" s="50" t="n">
        <v>2.951</v>
      </c>
      <c r="D241" s="50" t="n"/>
      <c r="E241" s="50" t="n">
        <v>31.8</v>
      </c>
      <c r="F241" s="50" t="n">
        <v>2.913</v>
      </c>
      <c r="G241" s="50" t="n"/>
      <c r="H241" s="50" t="n">
        <v>37</v>
      </c>
      <c r="I241" s="50" t="n">
        <v>7.872</v>
      </c>
      <c r="J241" s="50" t="n"/>
      <c r="K241" s="50" t="n">
        <v>36.9</v>
      </c>
      <c r="L241" s="50" t="n">
        <v>7.58</v>
      </c>
      <c r="M241" s="50" t="n"/>
      <c r="N241" s="50" t="n"/>
      <c r="O241" s="50" t="n"/>
      <c r="P241" s="50" t="n"/>
      <c r="Q241" s="50" t="n">
        <v>42.4</v>
      </c>
      <c r="R241" s="50" t="n">
        <v>14.595</v>
      </c>
      <c r="S241" s="50" t="n"/>
    </row>
    <row r="242">
      <c r="A242" s="50" t="inlineStr">
        <is>
          <t>1970-09</t>
        </is>
      </c>
      <c r="B242" s="50" t="n">
        <v>31.1</v>
      </c>
      <c r="C242" s="50" t="n">
        <v>5.068</v>
      </c>
      <c r="D242" s="50" t="n"/>
      <c r="E242" s="50" t="n">
        <v>31.4</v>
      </c>
      <c r="F242" s="50" t="n">
        <v>5.017</v>
      </c>
      <c r="G242" s="50" t="n"/>
      <c r="H242" s="50" t="n">
        <v>37.1</v>
      </c>
      <c r="I242" s="50" t="n">
        <v>7.536</v>
      </c>
      <c r="J242" s="50" t="n"/>
      <c r="K242" s="50" t="n">
        <v>37.1</v>
      </c>
      <c r="L242" s="50" t="n">
        <v>7.536</v>
      </c>
      <c r="M242" s="50" t="n"/>
      <c r="N242" s="50" t="n"/>
      <c r="O242" s="50" t="n"/>
      <c r="P242" s="50" t="n"/>
      <c r="Q242" s="50" t="n">
        <v>43</v>
      </c>
      <c r="R242" s="50" t="n">
        <v>14.362</v>
      </c>
      <c r="S242" s="50" t="n"/>
    </row>
    <row r="243">
      <c r="A243" s="50" t="inlineStr">
        <is>
          <t>1970-10</t>
        </is>
      </c>
      <c r="B243" s="50" t="n">
        <v>31.6</v>
      </c>
      <c r="C243" s="50" t="n">
        <v>3.268</v>
      </c>
      <c r="D243" s="50" t="n"/>
      <c r="E243" s="50" t="n">
        <v>32.1</v>
      </c>
      <c r="F243" s="50" t="n">
        <v>3.548</v>
      </c>
      <c r="G243" s="50" t="n"/>
      <c r="H243" s="50" t="n">
        <v>37.3</v>
      </c>
      <c r="I243" s="50" t="n">
        <v>7.184</v>
      </c>
      <c r="J243" s="50" t="n"/>
      <c r="K243" s="50" t="n">
        <v>37.3</v>
      </c>
      <c r="L243" s="50" t="n">
        <v>7.493</v>
      </c>
      <c r="M243" s="50" t="n"/>
      <c r="N243" s="50" t="n"/>
      <c r="O243" s="50" t="n"/>
      <c r="P243" s="50" t="n"/>
      <c r="Q243" s="50" t="n">
        <v>43.2</v>
      </c>
      <c r="R243" s="50" t="n">
        <v>14.589</v>
      </c>
      <c r="S243" s="50" t="n"/>
    </row>
    <row r="244">
      <c r="A244" s="50" t="inlineStr">
        <is>
          <t>1970-11</t>
        </is>
      </c>
      <c r="B244" s="50" t="n">
        <v>32.2</v>
      </c>
      <c r="C244" s="50" t="n">
        <v>5.229</v>
      </c>
      <c r="D244" s="50" t="n"/>
      <c r="E244" s="50" t="n">
        <v>32.6</v>
      </c>
      <c r="F244" s="50" t="n">
        <v>5.844</v>
      </c>
      <c r="G244" s="50" t="n"/>
      <c r="H244" s="50" t="n">
        <v>37.6</v>
      </c>
      <c r="I244" s="50" t="n">
        <v>7.736</v>
      </c>
      <c r="J244" s="50" t="n"/>
      <c r="K244" s="50" t="n">
        <v>37.4</v>
      </c>
      <c r="L244" s="50" t="n">
        <v>7.471</v>
      </c>
      <c r="M244" s="50" t="n"/>
      <c r="N244" s="50" t="n"/>
      <c r="O244" s="50" t="n"/>
      <c r="P244" s="50" t="n"/>
      <c r="Q244" s="50" t="n">
        <v>43.7</v>
      </c>
      <c r="R244" s="50" t="n">
        <v>15</v>
      </c>
      <c r="S244" s="50" t="n"/>
    </row>
    <row r="245">
      <c r="A245" s="50" t="inlineStr">
        <is>
          <t>1970-12</t>
        </is>
      </c>
      <c r="B245" s="50" t="n">
        <v>32.9</v>
      </c>
      <c r="C245" s="50" t="n">
        <v>6.818</v>
      </c>
      <c r="D245" s="50" t="n"/>
      <c r="E245" s="50" t="n">
        <v>32.8</v>
      </c>
      <c r="F245" s="50" t="n">
        <v>7.541</v>
      </c>
      <c r="G245" s="50" t="n"/>
      <c r="H245" s="50" t="n">
        <v>37.7</v>
      </c>
      <c r="I245" s="50" t="n">
        <v>7.407</v>
      </c>
      <c r="J245" s="50" t="n"/>
      <c r="K245" s="50" t="n">
        <v>37.6</v>
      </c>
      <c r="L245" s="50" t="n">
        <v>7.429</v>
      </c>
      <c r="M245" s="50" t="n"/>
      <c r="N245" s="50" t="n"/>
      <c r="O245" s="50" t="n"/>
      <c r="P245" s="50" t="n"/>
      <c r="Q245" s="50" t="n">
        <v>43.8</v>
      </c>
      <c r="R245" s="50" t="n">
        <v>10.606</v>
      </c>
      <c r="S245" s="50" t="n"/>
    </row>
    <row r="246">
      <c r="A246" s="50" t="inlineStr">
        <is>
          <t>1971-01</t>
        </is>
      </c>
      <c r="B246" s="50" t="n">
        <v>32.9</v>
      </c>
      <c r="C246" s="50" t="n">
        <v>7.869</v>
      </c>
      <c r="D246" s="50" t="n"/>
      <c r="E246" s="50" t="n">
        <v>32</v>
      </c>
      <c r="F246" s="50" t="n">
        <v>7.744</v>
      </c>
      <c r="G246" s="50" t="n"/>
      <c r="H246" s="50" t="n">
        <v>37.8</v>
      </c>
      <c r="I246" s="50" t="n">
        <v>6.479</v>
      </c>
      <c r="J246" s="50" t="n"/>
      <c r="K246" s="50" t="n">
        <v>37.8</v>
      </c>
      <c r="L246" s="50" t="n">
        <v>6.479</v>
      </c>
      <c r="M246" s="50" t="n"/>
      <c r="N246" s="50" t="n"/>
      <c r="O246" s="50" t="n"/>
      <c r="P246" s="50" t="n"/>
      <c r="Q246" s="50" t="n">
        <v>45</v>
      </c>
      <c r="R246" s="50" t="n">
        <v>12.5</v>
      </c>
      <c r="S246" s="50" t="n"/>
    </row>
    <row r="247">
      <c r="A247" s="50" t="inlineStr">
        <is>
          <t>1971-02</t>
        </is>
      </c>
      <c r="B247" s="50" t="n">
        <v>33</v>
      </c>
      <c r="C247" s="50" t="n">
        <v>9.272</v>
      </c>
      <c r="D247" s="50" t="n"/>
      <c r="E247" s="50" t="n">
        <v>31.6</v>
      </c>
      <c r="F247" s="50" t="n">
        <v>8.965999999999999</v>
      </c>
      <c r="G247" s="50" t="n"/>
      <c r="H247" s="50" t="n">
        <v>38.2</v>
      </c>
      <c r="I247" s="50" t="n">
        <v>7.003</v>
      </c>
      <c r="J247" s="50" t="n"/>
      <c r="K247" s="50" t="n">
        <v>38.2</v>
      </c>
      <c r="L247" s="50" t="n">
        <v>7.003</v>
      </c>
      <c r="M247" s="50" t="n"/>
      <c r="N247" s="50" t="n"/>
      <c r="O247" s="50" t="n"/>
      <c r="P247" s="50" t="n"/>
      <c r="Q247" s="50" t="n">
        <v>46.4</v>
      </c>
      <c r="R247" s="50" t="n">
        <v>14.286</v>
      </c>
      <c r="S247" s="50" t="n"/>
    </row>
    <row r="248">
      <c r="A248" s="50" t="inlineStr">
        <is>
          <t>1971-03</t>
        </is>
      </c>
      <c r="B248" s="50" t="n">
        <v>33.2</v>
      </c>
      <c r="C248" s="50" t="n">
        <v>11.037</v>
      </c>
      <c r="D248" s="50" t="n"/>
      <c r="E248" s="50" t="n">
        <v>32</v>
      </c>
      <c r="F248" s="50" t="n">
        <v>10.345</v>
      </c>
      <c r="G248" s="50" t="n"/>
      <c r="H248" s="50" t="n">
        <v>38.4</v>
      </c>
      <c r="I248" s="50" t="n">
        <v>6.964</v>
      </c>
      <c r="J248" s="50" t="n"/>
      <c r="K248" s="50" t="n">
        <v>38.6</v>
      </c>
      <c r="L248" s="50" t="n">
        <v>6.925</v>
      </c>
      <c r="M248" s="50" t="n"/>
      <c r="N248" s="50" t="n"/>
      <c r="O248" s="50" t="n"/>
      <c r="P248" s="50" t="n"/>
      <c r="Q248" s="50" t="n">
        <v>46.3</v>
      </c>
      <c r="R248" s="50" t="n">
        <v>13.759</v>
      </c>
      <c r="S248" s="50" t="n"/>
    </row>
    <row r="249">
      <c r="A249" s="50" t="inlineStr">
        <is>
          <t>1971-04</t>
        </is>
      </c>
      <c r="B249" s="50" t="n">
        <v>33.4</v>
      </c>
      <c r="C249" s="50" t="n">
        <v>10.963</v>
      </c>
      <c r="D249" s="50" t="n"/>
      <c r="E249" s="50" t="n">
        <v>32.9</v>
      </c>
      <c r="F249" s="50" t="n">
        <v>10.033</v>
      </c>
      <c r="G249" s="50" t="n"/>
      <c r="H249" s="50" t="n">
        <v>38.8</v>
      </c>
      <c r="I249" s="50" t="n">
        <v>7.479</v>
      </c>
      <c r="J249" s="50" t="n"/>
      <c r="K249" s="50" t="n">
        <v>38.9</v>
      </c>
      <c r="L249" s="50" t="n">
        <v>7.459</v>
      </c>
      <c r="M249" s="50" t="n"/>
      <c r="N249" s="50" t="n"/>
      <c r="O249" s="50" t="n"/>
      <c r="P249" s="50" t="n"/>
      <c r="Q249" s="50" t="n">
        <v>46.9</v>
      </c>
      <c r="R249" s="50" t="n">
        <v>13.835</v>
      </c>
      <c r="S249" s="50" t="n"/>
    </row>
    <row r="250">
      <c r="A250" s="50" t="inlineStr">
        <is>
          <t>1971-05</t>
        </is>
      </c>
      <c r="B250" s="50" t="n">
        <v>33.4</v>
      </c>
      <c r="C250" s="50" t="n">
        <v>8.090999999999999</v>
      </c>
      <c r="D250" s="50" t="n"/>
      <c r="E250" s="50" t="n">
        <v>33.8</v>
      </c>
      <c r="F250" s="50" t="n">
        <v>7.643</v>
      </c>
      <c r="G250" s="50" t="n"/>
      <c r="H250" s="50" t="n">
        <v>39</v>
      </c>
      <c r="I250" s="50" t="n">
        <v>7.143</v>
      </c>
      <c r="J250" s="50" t="n"/>
      <c r="K250" s="50" t="n">
        <v>39</v>
      </c>
      <c r="L250" s="50" t="n">
        <v>7.143</v>
      </c>
      <c r="M250" s="50" t="n"/>
      <c r="N250" s="50" t="n"/>
      <c r="O250" s="50" t="n"/>
      <c r="P250" s="50" t="n"/>
      <c r="Q250" s="50" t="n">
        <v>47</v>
      </c>
      <c r="R250" s="50" t="n">
        <v>13.527</v>
      </c>
      <c r="S250" s="50" t="n"/>
    </row>
    <row r="251">
      <c r="A251" s="50" t="inlineStr">
        <is>
          <t>1971-06</t>
        </is>
      </c>
      <c r="B251" s="50" t="n">
        <v>33.4</v>
      </c>
      <c r="C251" s="50" t="n">
        <v>5.031</v>
      </c>
      <c r="D251" s="50" t="n"/>
      <c r="E251" s="50" t="n">
        <v>34.2</v>
      </c>
      <c r="F251" s="50" t="n">
        <v>5.231</v>
      </c>
      <c r="G251" s="50" t="n"/>
      <c r="H251" s="50" t="n">
        <v>39.3</v>
      </c>
      <c r="I251" s="50" t="n">
        <v>7.377</v>
      </c>
      <c r="J251" s="50" t="n"/>
      <c r="K251" s="50" t="n">
        <v>39.3</v>
      </c>
      <c r="L251" s="50" t="n">
        <v>7.377</v>
      </c>
      <c r="M251" s="50" t="n"/>
      <c r="N251" s="50" t="n"/>
      <c r="O251" s="50" t="n"/>
      <c r="P251" s="50" t="n"/>
      <c r="Q251" s="50" t="n">
        <v>47.2</v>
      </c>
      <c r="R251" s="50" t="n">
        <v>12.649</v>
      </c>
      <c r="S251" s="50" t="n"/>
    </row>
    <row r="252">
      <c r="A252" s="50" t="inlineStr">
        <is>
          <t>1971-07</t>
        </is>
      </c>
      <c r="B252" s="50" t="n">
        <v>33.1</v>
      </c>
      <c r="C252" s="50" t="n">
        <v>4.416</v>
      </c>
      <c r="D252" s="50" t="n"/>
      <c r="E252" s="50" t="n">
        <v>34</v>
      </c>
      <c r="F252" s="50" t="n">
        <v>4.615</v>
      </c>
      <c r="G252" s="50" t="n"/>
      <c r="H252" s="50" t="n">
        <v>39.6</v>
      </c>
      <c r="I252" s="50" t="n">
        <v>7.609</v>
      </c>
      <c r="J252" s="50" t="n"/>
      <c r="K252" s="50" t="n">
        <v>39.6</v>
      </c>
      <c r="L252" s="50" t="n">
        <v>7.609</v>
      </c>
      <c r="M252" s="50" t="n"/>
      <c r="N252" s="50" t="n"/>
      <c r="O252" s="50" t="n"/>
      <c r="P252" s="50" t="n"/>
      <c r="Q252" s="50" t="n">
        <v>47.2</v>
      </c>
      <c r="R252" s="50" t="n">
        <v>11.584</v>
      </c>
      <c r="S252" s="50" t="n"/>
    </row>
    <row r="253">
      <c r="A253" s="50" t="inlineStr">
        <is>
          <t>1971-08</t>
        </is>
      </c>
      <c r="B253" s="50" t="n">
        <v>33.1</v>
      </c>
      <c r="C253" s="50" t="n">
        <v>5.414</v>
      </c>
      <c r="D253" s="50" t="n"/>
      <c r="E253" s="50" t="n">
        <v>33.7</v>
      </c>
      <c r="F253" s="50" t="n">
        <v>5.975</v>
      </c>
      <c r="G253" s="50" t="n"/>
      <c r="H253" s="50" t="n">
        <v>39.8</v>
      </c>
      <c r="I253" s="50" t="n">
        <v>7.568</v>
      </c>
      <c r="J253" s="50" t="n"/>
      <c r="K253" s="50" t="n">
        <v>39.8</v>
      </c>
      <c r="L253" s="50" t="n">
        <v>7.859</v>
      </c>
      <c r="M253" s="50" t="n"/>
      <c r="N253" s="50" t="n"/>
      <c r="O253" s="50" t="n"/>
      <c r="P253" s="50" t="n"/>
      <c r="Q253" s="50" t="n">
        <v>47.3</v>
      </c>
      <c r="R253" s="50" t="n">
        <v>11.557</v>
      </c>
      <c r="S253" s="50" t="n"/>
    </row>
    <row r="254">
      <c r="A254" s="50" t="inlineStr">
        <is>
          <t>1971-09</t>
        </is>
      </c>
      <c r="B254" s="50" t="n">
        <v>32.8</v>
      </c>
      <c r="C254" s="50" t="n">
        <v>5.466</v>
      </c>
      <c r="D254" s="50" t="n"/>
      <c r="E254" s="50" t="n">
        <v>33.4</v>
      </c>
      <c r="F254" s="50" t="n">
        <v>6.369</v>
      </c>
      <c r="G254" s="50" t="n"/>
      <c r="H254" s="50" t="n">
        <v>39.9</v>
      </c>
      <c r="I254" s="50" t="n">
        <v>7.547</v>
      </c>
      <c r="J254" s="50" t="n"/>
      <c r="K254" s="50" t="n">
        <v>39.9</v>
      </c>
      <c r="L254" s="50" t="n">
        <v>7.547</v>
      </c>
      <c r="M254" s="50" t="n"/>
      <c r="N254" s="50" t="n"/>
      <c r="O254" s="50" t="n"/>
      <c r="P254" s="50" t="n"/>
      <c r="Q254" s="50" t="n">
        <v>47.3</v>
      </c>
      <c r="R254" s="50" t="n">
        <v>10</v>
      </c>
      <c r="S254" s="50" t="n"/>
    </row>
    <row r="255">
      <c r="A255" s="50" t="inlineStr">
        <is>
          <t>1971-10</t>
        </is>
      </c>
      <c r="B255" s="50" t="n">
        <v>32.7</v>
      </c>
      <c r="C255" s="50" t="n">
        <v>3.481</v>
      </c>
      <c r="D255" s="50" t="n"/>
      <c r="E255" s="50" t="n">
        <v>33.4</v>
      </c>
      <c r="F255" s="50" t="n">
        <v>4.05</v>
      </c>
      <c r="G255" s="50" t="n"/>
      <c r="H255" s="50" t="n">
        <v>40</v>
      </c>
      <c r="I255" s="50" t="n">
        <v>7.239</v>
      </c>
      <c r="J255" s="50" t="n"/>
      <c r="K255" s="50" t="n">
        <v>39.9</v>
      </c>
      <c r="L255" s="50" t="n">
        <v>6.971</v>
      </c>
      <c r="M255" s="50" t="n"/>
      <c r="N255" s="50" t="n"/>
      <c r="O255" s="50" t="n"/>
      <c r="P255" s="50" t="n"/>
      <c r="Q255" s="50" t="n">
        <v>46.9</v>
      </c>
      <c r="R255" s="50" t="n">
        <v>8.565</v>
      </c>
      <c r="S255" s="50" t="n"/>
    </row>
    <row r="256">
      <c r="A256" s="50" t="inlineStr">
        <is>
          <t>1971-11</t>
        </is>
      </c>
      <c r="B256" s="50" t="n">
        <v>32.5</v>
      </c>
      <c r="C256" s="50" t="n">
        <v>0.9320000000000001</v>
      </c>
      <c r="D256" s="50" t="n"/>
      <c r="E256" s="50" t="n">
        <v>33</v>
      </c>
      <c r="F256" s="50" t="n">
        <v>1.227</v>
      </c>
      <c r="G256" s="50" t="n"/>
      <c r="H256" s="50" t="n">
        <v>40.1</v>
      </c>
      <c r="I256" s="50" t="n">
        <v>6.649</v>
      </c>
      <c r="J256" s="50" t="n"/>
      <c r="K256" s="50" t="n">
        <v>40</v>
      </c>
      <c r="L256" s="50" t="n">
        <v>6.952</v>
      </c>
      <c r="M256" s="50" t="n"/>
      <c r="N256" s="50" t="n"/>
      <c r="O256" s="50" t="n"/>
      <c r="P256" s="50" t="n"/>
      <c r="Q256" s="50" t="n">
        <v>46.9</v>
      </c>
      <c r="R256" s="50" t="n">
        <v>7.323</v>
      </c>
      <c r="S256" s="50" t="n"/>
    </row>
    <row r="257">
      <c r="A257" s="50" t="inlineStr">
        <is>
          <t>1971-12</t>
        </is>
      </c>
      <c r="B257" s="50" t="n">
        <v>32.2</v>
      </c>
      <c r="C257" s="50" t="n">
        <v>-2.128</v>
      </c>
      <c r="D257" s="50" t="n"/>
      <c r="E257" s="50" t="n">
        <v>32.1</v>
      </c>
      <c r="F257" s="50" t="n">
        <v>-2.134</v>
      </c>
      <c r="G257" s="50" t="n"/>
      <c r="H257" s="50" t="n">
        <v>40.3</v>
      </c>
      <c r="I257" s="50" t="n">
        <v>6.897</v>
      </c>
      <c r="J257" s="50" t="n"/>
      <c r="K257" s="50" t="n">
        <v>40.1</v>
      </c>
      <c r="L257" s="50" t="n">
        <v>6.649</v>
      </c>
      <c r="M257" s="50" t="n"/>
      <c r="N257" s="50" t="n"/>
      <c r="O257" s="50" t="n"/>
      <c r="P257" s="50" t="n"/>
      <c r="Q257" s="50" t="n">
        <v>46.9</v>
      </c>
      <c r="R257" s="50" t="n">
        <v>7.078</v>
      </c>
      <c r="S257" s="50" t="n"/>
    </row>
    <row r="258">
      <c r="A258" s="50" t="inlineStr">
        <is>
          <t>1972-01</t>
        </is>
      </c>
      <c r="B258" s="50" t="n">
        <v>32.5</v>
      </c>
      <c r="C258" s="50" t="n">
        <v>-1.216</v>
      </c>
      <c r="D258" s="50" t="n"/>
      <c r="E258" s="50" t="n">
        <v>31.5</v>
      </c>
      <c r="F258" s="50" t="n">
        <v>-1.562</v>
      </c>
      <c r="G258" s="50" t="n"/>
      <c r="H258" s="50" t="n">
        <v>40.4</v>
      </c>
      <c r="I258" s="50" t="n">
        <v>6.878</v>
      </c>
      <c r="J258" s="50" t="n"/>
      <c r="K258" s="50" t="n">
        <v>40.4</v>
      </c>
      <c r="L258" s="50" t="n">
        <v>6.878</v>
      </c>
      <c r="M258" s="50" t="n"/>
      <c r="N258" s="50" t="n"/>
      <c r="O258" s="50" t="n"/>
      <c r="P258" s="50" t="n"/>
      <c r="Q258" s="50" t="n">
        <v>46.7</v>
      </c>
      <c r="R258" s="50" t="n">
        <v>3.778</v>
      </c>
      <c r="S258" s="50" t="n"/>
    </row>
    <row r="259">
      <c r="A259" s="50" t="inlineStr">
        <is>
          <t>1972-02</t>
        </is>
      </c>
      <c r="B259" s="50" t="n">
        <v>32.4</v>
      </c>
      <c r="C259" s="50" t="n">
        <v>-1.818</v>
      </c>
      <c r="D259" s="50" t="n"/>
      <c r="E259" s="50" t="n">
        <v>30.8</v>
      </c>
      <c r="F259" s="50" t="n">
        <v>-2.532</v>
      </c>
      <c r="G259" s="50" t="n"/>
      <c r="H259" s="50" t="n">
        <v>40.5</v>
      </c>
      <c r="I259" s="50" t="n">
        <v>6.021</v>
      </c>
      <c r="J259" s="50" t="n"/>
      <c r="K259" s="50" t="n">
        <v>40.6</v>
      </c>
      <c r="L259" s="50" t="n">
        <v>6.283</v>
      </c>
      <c r="M259" s="50" t="n"/>
      <c r="N259" s="50" t="n"/>
      <c r="O259" s="50" t="n"/>
      <c r="P259" s="50" t="n"/>
      <c r="Q259" s="50" t="n">
        <v>46.6</v>
      </c>
      <c r="R259" s="50" t="n">
        <v>0.431</v>
      </c>
      <c r="S259" s="50" t="n"/>
    </row>
    <row r="260">
      <c r="A260" s="50" t="inlineStr">
        <is>
          <t>1972-03</t>
        </is>
      </c>
      <c r="B260" s="50" t="n">
        <v>32.5</v>
      </c>
      <c r="C260" s="50" t="n">
        <v>-2.108</v>
      </c>
      <c r="D260" s="50" t="n"/>
      <c r="E260" s="50" t="n">
        <v>31.1</v>
      </c>
      <c r="F260" s="50" t="n">
        <v>-2.812</v>
      </c>
      <c r="G260" s="50" t="n"/>
      <c r="H260" s="50" t="n">
        <v>40.6</v>
      </c>
      <c r="I260" s="50" t="n">
        <v>5.729</v>
      </c>
      <c r="J260" s="50" t="n"/>
      <c r="K260" s="50" t="n">
        <v>40.7</v>
      </c>
      <c r="L260" s="50" t="n">
        <v>5.44</v>
      </c>
      <c r="M260" s="50" t="n"/>
      <c r="N260" s="50" t="n"/>
      <c r="O260" s="50" t="n"/>
      <c r="P260" s="50" t="n"/>
      <c r="Q260" s="50" t="n">
        <v>46.7</v>
      </c>
      <c r="R260" s="50" t="n">
        <v>0.864</v>
      </c>
      <c r="S260" s="50" t="n"/>
    </row>
    <row r="261">
      <c r="A261" s="50" t="inlineStr">
        <is>
          <t>1972-04</t>
        </is>
      </c>
      <c r="B261" s="50" t="n">
        <v>32.6</v>
      </c>
      <c r="C261" s="50" t="n">
        <v>-2.395</v>
      </c>
      <c r="D261" s="50" t="n"/>
      <c r="E261" s="50" t="n">
        <v>31.9</v>
      </c>
      <c r="F261" s="50" t="n">
        <v>-3.04</v>
      </c>
      <c r="G261" s="50" t="n"/>
      <c r="H261" s="50" t="n">
        <v>40.7</v>
      </c>
      <c r="I261" s="50" t="n">
        <v>4.897</v>
      </c>
      <c r="J261" s="50" t="n"/>
      <c r="K261" s="50" t="n">
        <v>40.8</v>
      </c>
      <c r="L261" s="50" t="n">
        <v>4.884</v>
      </c>
      <c r="M261" s="50" t="n"/>
      <c r="N261" s="50" t="n"/>
      <c r="O261" s="50" t="n"/>
      <c r="P261" s="50" t="n"/>
      <c r="Q261" s="50" t="n">
        <v>46.6</v>
      </c>
      <c r="R261" s="50" t="n">
        <v>-0.64</v>
      </c>
      <c r="S261" s="50" t="n"/>
    </row>
    <row r="262">
      <c r="A262" s="50" t="inlineStr">
        <is>
          <t>1972-05</t>
        </is>
      </c>
      <c r="B262" s="50" t="n">
        <v>32.7</v>
      </c>
      <c r="C262" s="50" t="n">
        <v>-2.096</v>
      </c>
      <c r="D262" s="50" t="n"/>
      <c r="E262" s="50" t="n">
        <v>32.9</v>
      </c>
      <c r="F262" s="50" t="n">
        <v>-2.663</v>
      </c>
      <c r="G262" s="50" t="n"/>
      <c r="H262" s="50" t="n">
        <v>40.8</v>
      </c>
      <c r="I262" s="50" t="n">
        <v>4.615</v>
      </c>
      <c r="J262" s="50" t="n"/>
      <c r="K262" s="50" t="n">
        <v>40.9</v>
      </c>
      <c r="L262" s="50" t="n">
        <v>4.872</v>
      </c>
      <c r="M262" s="50" t="n"/>
      <c r="N262" s="50" t="n"/>
      <c r="O262" s="50" t="n"/>
      <c r="P262" s="50" t="n"/>
      <c r="Q262" s="50" t="n">
        <v>46.6</v>
      </c>
      <c r="R262" s="50" t="n">
        <v>-0.851</v>
      </c>
      <c r="S262" s="50" t="n"/>
    </row>
    <row r="263">
      <c r="A263" s="50" t="inlineStr">
        <is>
          <t>1972-06</t>
        </is>
      </c>
      <c r="B263" s="50" t="n">
        <v>32.8</v>
      </c>
      <c r="C263" s="50" t="n">
        <v>-1.796</v>
      </c>
      <c r="D263" s="50" t="n"/>
      <c r="E263" s="50" t="n">
        <v>33.5</v>
      </c>
      <c r="F263" s="50" t="n">
        <v>-2.047</v>
      </c>
      <c r="G263" s="50" t="n"/>
      <c r="H263" s="50" t="n">
        <v>41</v>
      </c>
      <c r="I263" s="50" t="n">
        <v>4.326</v>
      </c>
      <c r="J263" s="50" t="n"/>
      <c r="K263" s="50" t="n">
        <v>41</v>
      </c>
      <c r="L263" s="50" t="n">
        <v>4.326</v>
      </c>
      <c r="M263" s="50" t="n"/>
      <c r="N263" s="50" t="n"/>
      <c r="O263" s="50" t="n"/>
      <c r="P263" s="50" t="n"/>
      <c r="Q263" s="50" t="n">
        <v>46.7</v>
      </c>
      <c r="R263" s="50" t="n">
        <v>-1.059</v>
      </c>
      <c r="S263" s="50" t="n"/>
    </row>
    <row r="264">
      <c r="A264" s="50" t="inlineStr">
        <is>
          <t>1972-07</t>
        </is>
      </c>
      <c r="B264" s="50" t="n">
        <v>32.7</v>
      </c>
      <c r="C264" s="50" t="n">
        <v>-1.208</v>
      </c>
      <c r="D264" s="50" t="n"/>
      <c r="E264" s="50" t="n">
        <v>33.7</v>
      </c>
      <c r="F264" s="50" t="n">
        <v>-0.882</v>
      </c>
      <c r="G264" s="50" t="n"/>
      <c r="H264" s="50" t="n">
        <v>41.1</v>
      </c>
      <c r="I264" s="50" t="n">
        <v>3.788</v>
      </c>
      <c r="J264" s="50" t="n"/>
      <c r="K264" s="50" t="n">
        <v>41.1</v>
      </c>
      <c r="L264" s="50" t="n">
        <v>3.788</v>
      </c>
      <c r="M264" s="50" t="n"/>
      <c r="N264" s="50" t="n"/>
      <c r="O264" s="50" t="n"/>
      <c r="P264" s="50" t="n"/>
      <c r="Q264" s="50" t="n">
        <v>46.8</v>
      </c>
      <c r="R264" s="50" t="n">
        <v>-0.847</v>
      </c>
      <c r="S264" s="50" t="n"/>
    </row>
    <row r="265">
      <c r="A265" s="50" t="inlineStr">
        <is>
          <t>1972-08</t>
        </is>
      </c>
      <c r="B265" s="50" t="n">
        <v>32.8</v>
      </c>
      <c r="C265" s="50" t="n">
        <v>-0.906</v>
      </c>
      <c r="D265" s="50" t="n"/>
      <c r="E265" s="50" t="n">
        <v>33.7</v>
      </c>
      <c r="F265" s="50" t="n">
        <v>0</v>
      </c>
      <c r="G265" s="50" t="n"/>
      <c r="H265" s="50" t="n">
        <v>41.3</v>
      </c>
      <c r="I265" s="50" t="n">
        <v>3.769</v>
      </c>
      <c r="J265" s="50" t="n"/>
      <c r="K265" s="50" t="n">
        <v>41.2</v>
      </c>
      <c r="L265" s="50" t="n">
        <v>3.518</v>
      </c>
      <c r="M265" s="50" t="n"/>
      <c r="N265" s="50" t="n"/>
      <c r="O265" s="50" t="n"/>
      <c r="P265" s="50" t="n"/>
      <c r="Q265" s="50" t="n">
        <v>46.8</v>
      </c>
      <c r="R265" s="50" t="n">
        <v>-1.057</v>
      </c>
      <c r="S265" s="50" t="n"/>
    </row>
    <row r="266">
      <c r="A266" s="50" t="inlineStr">
        <is>
          <t>1972-09</t>
        </is>
      </c>
      <c r="B266" s="50" t="n">
        <v>33.2</v>
      </c>
      <c r="C266" s="50" t="n">
        <v>1.22</v>
      </c>
      <c r="D266" s="50" t="n"/>
      <c r="E266" s="50" t="n">
        <v>34</v>
      </c>
      <c r="F266" s="50" t="n">
        <v>1.796</v>
      </c>
      <c r="G266" s="50" t="n"/>
      <c r="H266" s="50" t="n">
        <v>41.4</v>
      </c>
      <c r="I266" s="50" t="n">
        <v>3.759</v>
      </c>
      <c r="J266" s="50" t="n"/>
      <c r="K266" s="50" t="n">
        <v>41.4</v>
      </c>
      <c r="L266" s="50" t="n">
        <v>3.759</v>
      </c>
      <c r="M266" s="50" t="n"/>
      <c r="N266" s="50" t="n"/>
      <c r="O266" s="50" t="n"/>
      <c r="P266" s="50" t="n"/>
      <c r="Q266" s="50" t="n">
        <v>46.6</v>
      </c>
      <c r="R266" s="50" t="n">
        <v>-1.48</v>
      </c>
      <c r="S266" s="50" t="n"/>
    </row>
    <row r="267">
      <c r="A267" s="50" t="inlineStr">
        <is>
          <t>1972-10</t>
        </is>
      </c>
      <c r="B267" s="50" t="n">
        <v>33.6</v>
      </c>
      <c r="C267" s="50" t="n">
        <v>2.752</v>
      </c>
      <c r="D267" s="50" t="n"/>
      <c r="E267" s="50" t="n">
        <v>34.5</v>
      </c>
      <c r="F267" s="50" t="n">
        <v>3.293</v>
      </c>
      <c r="G267" s="50" t="n"/>
      <c r="H267" s="50" t="n">
        <v>41.5</v>
      </c>
      <c r="I267" s="50" t="n">
        <v>3.75</v>
      </c>
      <c r="J267" s="50" t="n"/>
      <c r="K267" s="50" t="n">
        <v>41.4</v>
      </c>
      <c r="L267" s="50" t="n">
        <v>3.759</v>
      </c>
      <c r="M267" s="50" t="n"/>
      <c r="N267" s="50" t="n"/>
      <c r="O267" s="50" t="n"/>
      <c r="P267" s="50" t="n"/>
      <c r="Q267" s="50" t="n">
        <v>46.3</v>
      </c>
      <c r="R267" s="50" t="n">
        <v>-1.279</v>
      </c>
      <c r="S267" s="50" t="n"/>
    </row>
    <row r="268">
      <c r="A268" s="50" t="inlineStr">
        <is>
          <t>1972-11</t>
        </is>
      </c>
      <c r="B268" s="50" t="n">
        <v>34.1</v>
      </c>
      <c r="C268" s="50" t="n">
        <v>4.923</v>
      </c>
      <c r="D268" s="50" t="n"/>
      <c r="E268" s="50" t="n">
        <v>34.7</v>
      </c>
      <c r="F268" s="50" t="n">
        <v>5.152</v>
      </c>
      <c r="G268" s="50" t="n"/>
      <c r="H268" s="50" t="n">
        <v>41.7</v>
      </c>
      <c r="I268" s="50" t="n">
        <v>3.99</v>
      </c>
      <c r="J268" s="50" t="n"/>
      <c r="K268" s="50" t="n">
        <v>41.5</v>
      </c>
      <c r="L268" s="50" t="n">
        <v>3.75</v>
      </c>
      <c r="M268" s="50" t="n"/>
      <c r="N268" s="50" t="n"/>
      <c r="O268" s="50" t="n"/>
      <c r="P268" s="50" t="n"/>
      <c r="Q268" s="50" t="n">
        <v>46.4</v>
      </c>
      <c r="R268" s="50" t="n">
        <v>-1.066</v>
      </c>
      <c r="S268" s="50" t="n"/>
    </row>
    <row r="269">
      <c r="A269" s="50" t="inlineStr">
        <is>
          <t>1972-12</t>
        </is>
      </c>
      <c r="B269" s="50" t="n">
        <v>34.5</v>
      </c>
      <c r="C269" s="50" t="n">
        <v>7.143</v>
      </c>
      <c r="D269" s="50" t="n"/>
      <c r="E269" s="50" t="n">
        <v>34.4</v>
      </c>
      <c r="F269" s="50" t="n">
        <v>7.165</v>
      </c>
      <c r="G269" s="50" t="n"/>
      <c r="H269" s="50" t="n">
        <v>41.8</v>
      </c>
      <c r="I269" s="50" t="n">
        <v>3.722</v>
      </c>
      <c r="J269" s="50" t="n"/>
      <c r="K269" s="50" t="n">
        <v>41.6</v>
      </c>
      <c r="L269" s="50" t="n">
        <v>3.741</v>
      </c>
      <c r="M269" s="50" t="n"/>
      <c r="N269" s="50" t="n"/>
      <c r="O269" s="50" t="n"/>
      <c r="P269" s="50" t="n"/>
      <c r="Q269" s="50" t="n">
        <v>46.3</v>
      </c>
      <c r="R269" s="50" t="n">
        <v>-1.279</v>
      </c>
      <c r="S269" s="50" t="n"/>
    </row>
    <row r="270">
      <c r="A270" s="50" t="inlineStr">
        <is>
          <t>1973-01</t>
        </is>
      </c>
      <c r="B270" s="50" t="n">
        <v>34.9</v>
      </c>
      <c r="C270" s="50" t="n">
        <v>7.385</v>
      </c>
      <c r="D270" s="50" t="n"/>
      <c r="E270" s="50" t="n">
        <v>33.8</v>
      </c>
      <c r="F270" s="50" t="n">
        <v>7.302</v>
      </c>
      <c r="G270" s="50" t="n"/>
      <c r="H270" s="50" t="n">
        <v>42</v>
      </c>
      <c r="I270" s="50" t="n">
        <v>3.96</v>
      </c>
      <c r="J270" s="50" t="n"/>
      <c r="K270" s="50" t="n">
        <v>42.1</v>
      </c>
      <c r="L270" s="50" t="n">
        <v>4.208</v>
      </c>
      <c r="M270" s="50" t="n"/>
      <c r="N270" s="50" t="n"/>
      <c r="O270" s="50" t="n"/>
      <c r="P270" s="50" t="n"/>
      <c r="Q270" s="50" t="n">
        <v>45.9</v>
      </c>
      <c r="R270" s="50" t="n">
        <v>-1.713</v>
      </c>
      <c r="S270" s="50" t="n"/>
    </row>
    <row r="271">
      <c r="A271" s="50" t="inlineStr">
        <is>
          <t>1973-02</t>
        </is>
      </c>
      <c r="B271" s="50" t="n">
        <v>35.6</v>
      </c>
      <c r="C271" s="50" t="n">
        <v>9.877000000000001</v>
      </c>
      <c r="D271" s="50" t="n"/>
      <c r="E271" s="50" t="n">
        <v>33.7</v>
      </c>
      <c r="F271" s="50" t="n">
        <v>9.416</v>
      </c>
      <c r="G271" s="50" t="n"/>
      <c r="H271" s="50" t="n">
        <v>42.2</v>
      </c>
      <c r="I271" s="50" t="n">
        <v>4.198</v>
      </c>
      <c r="J271" s="50" t="n"/>
      <c r="K271" s="50" t="n">
        <v>42.3</v>
      </c>
      <c r="L271" s="50" t="n">
        <v>4.187</v>
      </c>
      <c r="M271" s="50" t="n"/>
      <c r="N271" s="50" t="n"/>
      <c r="O271" s="50" t="n"/>
      <c r="P271" s="50" t="n"/>
      <c r="Q271" s="50" t="n">
        <v>45.8</v>
      </c>
      <c r="R271" s="50" t="n">
        <v>-1.717</v>
      </c>
      <c r="S271" s="50" t="n"/>
    </row>
    <row r="272">
      <c r="A272" s="50" t="inlineStr">
        <is>
          <t>1973-03</t>
        </is>
      </c>
      <c r="B272" s="50" t="n">
        <v>35.8</v>
      </c>
      <c r="C272" s="50" t="n">
        <v>10.154</v>
      </c>
      <c r="D272" s="50" t="n"/>
      <c r="E272" s="50" t="n">
        <v>34</v>
      </c>
      <c r="F272" s="50" t="n">
        <v>9.324999999999999</v>
      </c>
      <c r="G272" s="50" t="n"/>
      <c r="H272" s="50" t="n">
        <v>42.4</v>
      </c>
      <c r="I272" s="50" t="n">
        <v>4.433</v>
      </c>
      <c r="J272" s="50" t="n"/>
      <c r="K272" s="50" t="n">
        <v>42.6</v>
      </c>
      <c r="L272" s="50" t="n">
        <v>4.668</v>
      </c>
      <c r="M272" s="50" t="n"/>
      <c r="N272" s="50" t="n"/>
      <c r="O272" s="50" t="n"/>
      <c r="P272" s="50" t="n"/>
      <c r="Q272" s="50" t="n">
        <v>45.8</v>
      </c>
      <c r="R272" s="50" t="n">
        <v>-1.927</v>
      </c>
      <c r="S272" s="50" t="n"/>
    </row>
    <row r="273">
      <c r="A273" s="50" t="inlineStr">
        <is>
          <t>1973-04</t>
        </is>
      </c>
      <c r="B273" s="50" t="n">
        <v>36.1</v>
      </c>
      <c r="C273" s="50" t="n">
        <v>10.736</v>
      </c>
      <c r="D273" s="50" t="n"/>
      <c r="E273" s="50" t="n">
        <v>35.1</v>
      </c>
      <c r="F273" s="50" t="n">
        <v>10.031</v>
      </c>
      <c r="G273" s="50" t="n"/>
      <c r="H273" s="50" t="n">
        <v>42.7</v>
      </c>
      <c r="I273" s="50" t="n">
        <v>4.914</v>
      </c>
      <c r="J273" s="50" t="n"/>
      <c r="K273" s="50" t="n">
        <v>42.8</v>
      </c>
      <c r="L273" s="50" t="n">
        <v>4.902</v>
      </c>
      <c r="M273" s="50" t="n"/>
      <c r="N273" s="50" t="n"/>
      <c r="O273" s="50" t="n"/>
      <c r="P273" s="50" t="n"/>
      <c r="Q273" s="50" t="n">
        <v>45.9</v>
      </c>
      <c r="R273" s="50" t="n">
        <v>-1.502</v>
      </c>
      <c r="S273" s="50" t="n"/>
    </row>
    <row r="274">
      <c r="A274" s="50" t="inlineStr">
        <is>
          <t>1973-05</t>
        </is>
      </c>
      <c r="B274" s="50" t="n">
        <v>36</v>
      </c>
      <c r="C274" s="50" t="n">
        <v>10.092</v>
      </c>
      <c r="D274" s="50" t="n"/>
      <c r="E274" s="50" t="n">
        <v>36.1</v>
      </c>
      <c r="F274" s="50" t="n">
        <v>9.726000000000001</v>
      </c>
      <c r="G274" s="50" t="n"/>
      <c r="H274" s="50" t="n">
        <v>42.9</v>
      </c>
      <c r="I274" s="50" t="n">
        <v>5.147</v>
      </c>
      <c r="J274" s="50" t="n"/>
      <c r="K274" s="50" t="n">
        <v>43</v>
      </c>
      <c r="L274" s="50" t="n">
        <v>5.134</v>
      </c>
      <c r="M274" s="50" t="n"/>
      <c r="N274" s="50" t="n"/>
      <c r="O274" s="50" t="n"/>
      <c r="P274" s="50" t="n"/>
      <c r="Q274" s="50" t="n">
        <v>45.9</v>
      </c>
      <c r="R274" s="50" t="n">
        <v>-1.502</v>
      </c>
      <c r="S274" s="50" t="n"/>
    </row>
    <row r="275">
      <c r="A275" s="50" t="inlineStr">
        <is>
          <t>1973-06</t>
        </is>
      </c>
      <c r="B275" s="50" t="n">
        <v>35.8</v>
      </c>
      <c r="C275" s="50" t="n">
        <v>9.146000000000001</v>
      </c>
      <c r="D275" s="50" t="n"/>
      <c r="E275" s="50" t="n">
        <v>36.6</v>
      </c>
      <c r="F275" s="50" t="n">
        <v>9.254</v>
      </c>
      <c r="G275" s="50" t="n"/>
      <c r="H275" s="50" t="n">
        <v>43.1</v>
      </c>
      <c r="I275" s="50" t="n">
        <v>5.122</v>
      </c>
      <c r="J275" s="50" t="n"/>
      <c r="K275" s="50" t="n">
        <v>43.2</v>
      </c>
      <c r="L275" s="50" t="n">
        <v>5.366</v>
      </c>
      <c r="M275" s="50" t="n"/>
      <c r="N275" s="50" t="n"/>
      <c r="O275" s="50" t="n"/>
      <c r="P275" s="50" t="n"/>
      <c r="Q275" s="50" t="n">
        <v>45.8</v>
      </c>
      <c r="R275" s="50" t="n">
        <v>-1.927</v>
      </c>
      <c r="S275" s="50" t="n"/>
    </row>
    <row r="276">
      <c r="A276" s="50" t="inlineStr">
        <is>
          <t>1973-07</t>
        </is>
      </c>
      <c r="B276" s="50" t="n">
        <v>35.5</v>
      </c>
      <c r="C276" s="50" t="n">
        <v>8.563000000000001</v>
      </c>
      <c r="D276" s="50" t="n"/>
      <c r="E276" s="50" t="n">
        <v>36.7</v>
      </c>
      <c r="F276" s="50" t="n">
        <v>8.901999999999999</v>
      </c>
      <c r="G276" s="50" t="n"/>
      <c r="H276" s="50" t="n">
        <v>43.3</v>
      </c>
      <c r="I276" s="50" t="n">
        <v>5.353</v>
      </c>
      <c r="J276" s="50" t="n"/>
      <c r="K276" s="50" t="n">
        <v>43.3</v>
      </c>
      <c r="L276" s="50" t="n">
        <v>5.353</v>
      </c>
      <c r="M276" s="50" t="n"/>
      <c r="N276" s="50" t="n"/>
      <c r="O276" s="50" t="n"/>
      <c r="P276" s="50" t="n"/>
      <c r="Q276" s="50" t="n">
        <v>45.8</v>
      </c>
      <c r="R276" s="50" t="n">
        <v>-2.137</v>
      </c>
      <c r="S276" s="50" t="n"/>
    </row>
    <row r="277">
      <c r="A277" s="50" t="inlineStr">
        <is>
          <t>1973-08</t>
        </is>
      </c>
      <c r="B277" s="50" t="n">
        <v>35.2</v>
      </c>
      <c r="C277" s="50" t="n">
        <v>7.317</v>
      </c>
      <c r="D277" s="50" t="n"/>
      <c r="E277" s="50" t="n">
        <v>36.3</v>
      </c>
      <c r="F277" s="50" t="n">
        <v>7.715</v>
      </c>
      <c r="G277" s="50" t="n"/>
      <c r="H277" s="50" t="n">
        <v>43.5</v>
      </c>
      <c r="I277" s="50" t="n">
        <v>5.327</v>
      </c>
      <c r="J277" s="50" t="n"/>
      <c r="K277" s="50" t="n">
        <v>43.4</v>
      </c>
      <c r="L277" s="50" t="n">
        <v>5.34</v>
      </c>
      <c r="M277" s="50" t="n"/>
      <c r="N277" s="50" t="n"/>
      <c r="O277" s="50" t="n"/>
      <c r="P277" s="50" t="n"/>
      <c r="Q277" s="50" t="n">
        <v>45.8</v>
      </c>
      <c r="R277" s="50" t="n">
        <v>-2.137</v>
      </c>
      <c r="S277" s="50" t="n"/>
    </row>
    <row r="278">
      <c r="A278" s="50" t="inlineStr">
        <is>
          <t>1973-09</t>
        </is>
      </c>
      <c r="B278" s="50" t="n">
        <v>34.9</v>
      </c>
      <c r="C278" s="50" t="n">
        <v>5.12</v>
      </c>
      <c r="D278" s="50" t="n"/>
      <c r="E278" s="50" t="n">
        <v>36</v>
      </c>
      <c r="F278" s="50" t="n">
        <v>5.882</v>
      </c>
      <c r="G278" s="50" t="n"/>
      <c r="H278" s="50" t="n">
        <v>43.7</v>
      </c>
      <c r="I278" s="50" t="n">
        <v>5.556</v>
      </c>
      <c r="J278" s="50" t="n"/>
      <c r="K278" s="50" t="n">
        <v>43.7</v>
      </c>
      <c r="L278" s="50" t="n">
        <v>5.556</v>
      </c>
      <c r="M278" s="50" t="n"/>
      <c r="N278" s="50" t="n"/>
      <c r="O278" s="50" t="n"/>
      <c r="P278" s="50" t="n"/>
      <c r="Q278" s="50" t="n">
        <v>45.8</v>
      </c>
      <c r="R278" s="50" t="n">
        <v>-1.717</v>
      </c>
      <c r="S278" s="50" t="n"/>
    </row>
    <row r="279">
      <c r="A279" s="50" t="inlineStr">
        <is>
          <t>1973-10</t>
        </is>
      </c>
      <c r="B279" s="50" t="n">
        <v>34.4</v>
      </c>
      <c r="C279" s="50" t="n">
        <v>2.381</v>
      </c>
      <c r="D279" s="50" t="n"/>
      <c r="E279" s="50" t="n">
        <v>35.5</v>
      </c>
      <c r="F279" s="50" t="n">
        <v>2.899</v>
      </c>
      <c r="G279" s="50" t="n"/>
      <c r="H279" s="50" t="n">
        <v>43.9</v>
      </c>
      <c r="I279" s="50" t="n">
        <v>5.783</v>
      </c>
      <c r="J279" s="50" t="n"/>
      <c r="K279" s="50" t="n">
        <v>43.9</v>
      </c>
      <c r="L279" s="50" t="n">
        <v>6.039</v>
      </c>
      <c r="M279" s="50" t="n"/>
      <c r="N279" s="50" t="n"/>
      <c r="O279" s="50" t="n"/>
      <c r="P279" s="50" t="n"/>
      <c r="Q279" s="50" t="n">
        <v>45.6</v>
      </c>
      <c r="R279" s="50" t="n">
        <v>-1.512</v>
      </c>
      <c r="S279" s="50" t="n"/>
    </row>
    <row r="280">
      <c r="A280" s="50" t="inlineStr">
        <is>
          <t>1973-11</t>
        </is>
      </c>
      <c r="B280" s="50" t="n">
        <v>34.2</v>
      </c>
      <c r="C280" s="50" t="n">
        <v>0.293</v>
      </c>
      <c r="D280" s="50" t="n"/>
      <c r="E280" s="50" t="n">
        <v>34.8</v>
      </c>
      <c r="F280" s="50" t="n">
        <v>0.288</v>
      </c>
      <c r="G280" s="50" t="n"/>
      <c r="H280" s="50" t="n">
        <v>44.2</v>
      </c>
      <c r="I280" s="50" t="n">
        <v>5.995</v>
      </c>
      <c r="J280" s="50" t="n"/>
      <c r="K280" s="50" t="n">
        <v>44</v>
      </c>
      <c r="L280" s="50" t="n">
        <v>6.024</v>
      </c>
      <c r="M280" s="50" t="n"/>
      <c r="N280" s="50" t="n"/>
      <c r="O280" s="50" t="n"/>
      <c r="P280" s="50" t="n"/>
      <c r="Q280" s="50" t="n">
        <v>45.6</v>
      </c>
      <c r="R280" s="50" t="n">
        <v>-1.724</v>
      </c>
      <c r="S280" s="50" t="n"/>
    </row>
    <row r="281">
      <c r="A281" s="50" t="inlineStr">
        <is>
          <t>1973-12</t>
        </is>
      </c>
      <c r="B281" s="50" t="n">
        <v>33.9</v>
      </c>
      <c r="C281" s="50" t="n">
        <v>-1.739</v>
      </c>
      <c r="D281" s="50" t="n"/>
      <c r="E281" s="50" t="n">
        <v>33.7</v>
      </c>
      <c r="F281" s="50" t="n">
        <v>-2.035</v>
      </c>
      <c r="G281" s="50" t="n"/>
      <c r="H281" s="50" t="n">
        <v>44.5</v>
      </c>
      <c r="I281" s="50" t="n">
        <v>6.459</v>
      </c>
      <c r="J281" s="50" t="n"/>
      <c r="K281" s="50" t="n">
        <v>44.3</v>
      </c>
      <c r="L281" s="50" t="n">
        <v>6.49</v>
      </c>
      <c r="M281" s="50" t="n"/>
      <c r="N281" s="50" t="n"/>
      <c r="O281" s="50" t="n"/>
      <c r="P281" s="50" t="n"/>
      <c r="Q281" s="50" t="n">
        <v>45.6</v>
      </c>
      <c r="R281" s="50" t="n">
        <v>-1.512</v>
      </c>
      <c r="S281" s="50" t="n"/>
    </row>
    <row r="282">
      <c r="A282" s="50" t="inlineStr">
        <is>
          <t>1974-01</t>
        </is>
      </c>
      <c r="B282" s="50" t="n">
        <v>33.3</v>
      </c>
      <c r="C282" s="50" t="n">
        <v>-4.585</v>
      </c>
      <c r="D282" s="50" t="n"/>
      <c r="E282" s="50" t="n">
        <v>32</v>
      </c>
      <c r="F282" s="50" t="n">
        <v>-5.325</v>
      </c>
      <c r="G282" s="50" t="n"/>
      <c r="H282" s="50" t="n">
        <v>44.7</v>
      </c>
      <c r="I282" s="50" t="n">
        <v>6.429</v>
      </c>
      <c r="J282" s="50" t="n"/>
      <c r="K282" s="50" t="n">
        <v>44.8</v>
      </c>
      <c r="L282" s="50" t="n">
        <v>6.413</v>
      </c>
      <c r="M282" s="50" t="n"/>
      <c r="N282" s="50" t="n"/>
      <c r="O282" s="50" t="n"/>
      <c r="P282" s="50" t="n"/>
      <c r="Q282" s="50" t="n">
        <v>45.7</v>
      </c>
      <c r="R282" s="50" t="n">
        <v>-0.436</v>
      </c>
      <c r="S282" s="50" t="n"/>
    </row>
    <row r="283">
      <c r="A283" s="50" t="inlineStr">
        <is>
          <t>1974-02</t>
        </is>
      </c>
      <c r="B283" s="50" t="n">
        <v>32.8</v>
      </c>
      <c r="C283" s="50" t="n">
        <v>-7.865</v>
      </c>
      <c r="D283" s="50" t="n"/>
      <c r="E283" s="50" t="n">
        <v>30.8</v>
      </c>
      <c r="F283" s="50" t="n">
        <v>-8.605</v>
      </c>
      <c r="G283" s="50" t="n"/>
      <c r="H283" s="50" t="n">
        <v>45.2</v>
      </c>
      <c r="I283" s="50" t="n">
        <v>7.109</v>
      </c>
      <c r="J283" s="50" t="n"/>
      <c r="K283" s="50" t="n">
        <v>45.2</v>
      </c>
      <c r="L283" s="50" t="n">
        <v>6.856</v>
      </c>
      <c r="M283" s="50" t="n"/>
      <c r="N283" s="50" t="n"/>
      <c r="O283" s="50" t="n"/>
      <c r="P283" s="50" t="n"/>
      <c r="Q283" s="50" t="n">
        <v>45.7</v>
      </c>
      <c r="R283" s="50" t="n">
        <v>-0.218</v>
      </c>
      <c r="S283" s="50" t="n"/>
    </row>
    <row r="284">
      <c r="A284" s="50" t="inlineStr">
        <is>
          <t>1974-03</t>
        </is>
      </c>
      <c r="B284" s="50" t="n">
        <v>32.2</v>
      </c>
      <c r="C284" s="50" t="n">
        <v>-10.056</v>
      </c>
      <c r="D284" s="50" t="n"/>
      <c r="E284" s="50" t="n">
        <v>30.6</v>
      </c>
      <c r="F284" s="50" t="n">
        <v>-10</v>
      </c>
      <c r="G284" s="50" t="n"/>
      <c r="H284" s="50" t="n">
        <v>45.6</v>
      </c>
      <c r="I284" s="50" t="n">
        <v>7.547</v>
      </c>
      <c r="J284" s="50" t="n"/>
      <c r="K284" s="50" t="n">
        <v>45.7</v>
      </c>
      <c r="L284" s="50" t="n">
        <v>7.277</v>
      </c>
      <c r="M284" s="50" t="n"/>
      <c r="N284" s="50" t="n"/>
      <c r="O284" s="50" t="n"/>
      <c r="P284" s="50" t="n"/>
      <c r="Q284" s="50" t="n">
        <v>45.8</v>
      </c>
      <c r="R284" s="50" t="n">
        <v>0</v>
      </c>
      <c r="S284" s="50" t="n"/>
    </row>
    <row r="285">
      <c r="A285" s="50" t="inlineStr">
        <is>
          <t>1974-04</t>
        </is>
      </c>
      <c r="B285" s="50" t="n">
        <v>32.9</v>
      </c>
      <c r="C285" s="50" t="n">
        <v>-8.864000000000001</v>
      </c>
      <c r="D285" s="50" t="n"/>
      <c r="E285" s="50" t="n">
        <v>32</v>
      </c>
      <c r="F285" s="50" t="n">
        <v>-8.832000000000001</v>
      </c>
      <c r="G285" s="50" t="n"/>
      <c r="H285" s="50" t="n">
        <v>46</v>
      </c>
      <c r="I285" s="50" t="n">
        <v>7.728</v>
      </c>
      <c r="J285" s="50" t="n"/>
      <c r="K285" s="50" t="n">
        <v>46.1</v>
      </c>
      <c r="L285" s="50" t="n">
        <v>7.71</v>
      </c>
      <c r="M285" s="50" t="n"/>
      <c r="N285" s="50" t="n"/>
      <c r="O285" s="50" t="n"/>
      <c r="P285" s="50" t="n"/>
      <c r="Q285" s="50" t="n">
        <v>46</v>
      </c>
      <c r="R285" s="50" t="n">
        <v>0.218</v>
      </c>
      <c r="S285" s="50" t="n"/>
    </row>
    <row r="286">
      <c r="A286" s="50" t="inlineStr">
        <is>
          <t>1974-05</t>
        </is>
      </c>
      <c r="B286" s="50" t="n">
        <v>34.1</v>
      </c>
      <c r="C286" s="50" t="n">
        <v>-5.278</v>
      </c>
      <c r="D286" s="50" t="n"/>
      <c r="E286" s="50" t="n">
        <v>34.3</v>
      </c>
      <c r="F286" s="50" t="n">
        <v>-4.986</v>
      </c>
      <c r="G286" s="50" t="n"/>
      <c r="H286" s="50" t="n">
        <v>46.5</v>
      </c>
      <c r="I286" s="50" t="n">
        <v>8.391999999999999</v>
      </c>
      <c r="J286" s="50" t="n"/>
      <c r="K286" s="50" t="n">
        <v>46.5</v>
      </c>
      <c r="L286" s="50" t="n">
        <v>8.140000000000001</v>
      </c>
      <c r="M286" s="50" t="n"/>
      <c r="N286" s="50" t="n"/>
      <c r="O286" s="50" t="n"/>
      <c r="P286" s="50" t="n"/>
      <c r="Q286" s="50" t="n">
        <v>46</v>
      </c>
      <c r="R286" s="50" t="n">
        <v>0.218</v>
      </c>
      <c r="S286" s="50" t="n"/>
    </row>
    <row r="287">
      <c r="A287" s="50" t="inlineStr">
        <is>
          <t>1974-06</t>
        </is>
      </c>
      <c r="B287" s="50" t="n">
        <v>35.7</v>
      </c>
      <c r="C287" s="50" t="n">
        <v>-0.279</v>
      </c>
      <c r="D287" s="50" t="n"/>
      <c r="E287" s="50" t="n">
        <v>36.6</v>
      </c>
      <c r="F287" s="50" t="n">
        <v>0</v>
      </c>
      <c r="G287" s="50" t="n"/>
      <c r="H287" s="50" t="n">
        <v>46.9</v>
      </c>
      <c r="I287" s="50" t="n">
        <v>8.817</v>
      </c>
      <c r="J287" s="50" t="n"/>
      <c r="K287" s="50" t="n">
        <v>46.9</v>
      </c>
      <c r="L287" s="50" t="n">
        <v>8.565</v>
      </c>
      <c r="M287" s="50" t="n"/>
      <c r="N287" s="50" t="n"/>
      <c r="O287" s="50" t="n"/>
      <c r="P287" s="50" t="n"/>
      <c r="Q287" s="50" t="n">
        <v>45.8</v>
      </c>
      <c r="R287" s="50" t="n">
        <v>0</v>
      </c>
      <c r="S287" s="50" t="n"/>
    </row>
    <row r="288">
      <c r="A288" s="50" t="inlineStr">
        <is>
          <t>1974-07</t>
        </is>
      </c>
      <c r="B288" s="50" t="n">
        <v>36.9</v>
      </c>
      <c r="C288" s="50" t="n">
        <v>3.944</v>
      </c>
      <c r="D288" s="50" t="n"/>
      <c r="E288" s="50" t="n">
        <v>38.3</v>
      </c>
      <c r="F288" s="50" t="n">
        <v>4.36</v>
      </c>
      <c r="G288" s="50" t="n"/>
      <c r="H288" s="50" t="n">
        <v>47.7</v>
      </c>
      <c r="I288" s="50" t="n">
        <v>10.162</v>
      </c>
      <c r="J288" s="50" t="n"/>
      <c r="K288" s="50" t="n">
        <v>47.7</v>
      </c>
      <c r="L288" s="50" t="n">
        <v>10.162</v>
      </c>
      <c r="M288" s="50" t="n"/>
      <c r="N288" s="50" t="n"/>
      <c r="O288" s="50" t="n"/>
      <c r="P288" s="50" t="n"/>
      <c r="Q288" s="50" t="n">
        <v>45.9</v>
      </c>
      <c r="R288" s="50" t="n">
        <v>0.218</v>
      </c>
      <c r="S288" s="50" t="n"/>
    </row>
    <row r="289">
      <c r="A289" s="50" t="inlineStr">
        <is>
          <t>1974-08</t>
        </is>
      </c>
      <c r="B289" s="50" t="n">
        <v>38.1</v>
      </c>
      <c r="C289" s="50" t="n">
        <v>8.239000000000001</v>
      </c>
      <c r="D289" s="50" t="n"/>
      <c r="E289" s="50" t="n">
        <v>39.5</v>
      </c>
      <c r="F289" s="50" t="n">
        <v>8.815</v>
      </c>
      <c r="G289" s="50" t="n"/>
      <c r="H289" s="50" t="n">
        <v>48.3</v>
      </c>
      <c r="I289" s="50" t="n">
        <v>11.034</v>
      </c>
      <c r="J289" s="50" t="n"/>
      <c r="K289" s="50" t="n">
        <v>48.3</v>
      </c>
      <c r="L289" s="50" t="n">
        <v>11.29</v>
      </c>
      <c r="M289" s="50" t="n"/>
      <c r="N289" s="50" t="n"/>
      <c r="O289" s="50" t="n"/>
      <c r="P289" s="50" t="n"/>
      <c r="Q289" s="50" t="n">
        <v>45.8</v>
      </c>
      <c r="R289" s="50" t="n">
        <v>0</v>
      </c>
      <c r="S289" s="50" t="n"/>
    </row>
    <row r="290">
      <c r="A290" s="50" t="inlineStr">
        <is>
          <t>1974-09</t>
        </is>
      </c>
      <c r="B290" s="50" t="n">
        <v>39.3</v>
      </c>
      <c r="C290" s="50" t="n">
        <v>12.607</v>
      </c>
      <c r="D290" s="50" t="n"/>
      <c r="E290" s="50" t="n">
        <v>40.7</v>
      </c>
      <c r="F290" s="50" t="n">
        <v>13.056</v>
      </c>
      <c r="G290" s="50" t="n"/>
      <c r="H290" s="50" t="n">
        <v>49.4</v>
      </c>
      <c r="I290" s="50" t="n">
        <v>13.043</v>
      </c>
      <c r="J290" s="50" t="n"/>
      <c r="K290" s="50" t="n">
        <v>49.4</v>
      </c>
      <c r="L290" s="50" t="n">
        <v>13.043</v>
      </c>
      <c r="M290" s="50" t="n"/>
      <c r="N290" s="50" t="n"/>
      <c r="O290" s="50" t="n"/>
      <c r="P290" s="50" t="n"/>
      <c r="Q290" s="50" t="n">
        <v>45.8</v>
      </c>
      <c r="R290" s="50" t="n">
        <v>0</v>
      </c>
      <c r="S290" s="50" t="n"/>
    </row>
    <row r="291">
      <c r="A291" s="50" t="inlineStr">
        <is>
          <t>1974-10</t>
        </is>
      </c>
      <c r="B291" s="50" t="n">
        <v>40.6</v>
      </c>
      <c r="C291" s="50" t="n">
        <v>18.023</v>
      </c>
      <c r="D291" s="50" t="n"/>
      <c r="E291" s="50" t="n">
        <v>41.7</v>
      </c>
      <c r="F291" s="50" t="n">
        <v>17.465</v>
      </c>
      <c r="G291" s="50" t="n"/>
      <c r="H291" s="50" t="n">
        <v>50</v>
      </c>
      <c r="I291" s="50" t="n">
        <v>13.895</v>
      </c>
      <c r="J291" s="50" t="n"/>
      <c r="K291" s="50" t="n">
        <v>50</v>
      </c>
      <c r="L291" s="50" t="n">
        <v>13.895</v>
      </c>
      <c r="M291" s="50" t="n"/>
      <c r="N291" s="50" t="n"/>
      <c r="O291" s="50" t="n"/>
      <c r="P291" s="50" t="n"/>
      <c r="Q291" s="50" t="n">
        <v>45.5</v>
      </c>
      <c r="R291" s="50" t="n">
        <v>-0.219</v>
      </c>
      <c r="S291" s="50" t="n"/>
    </row>
    <row r="292">
      <c r="A292" s="50" t="inlineStr">
        <is>
          <t>1974-11</t>
        </is>
      </c>
      <c r="B292" s="50" t="n">
        <v>41.9</v>
      </c>
      <c r="C292" s="50" t="n">
        <v>22.515</v>
      </c>
      <c r="D292" s="50" t="n"/>
      <c r="E292" s="50" t="n">
        <v>42.4</v>
      </c>
      <c r="F292" s="50" t="n">
        <v>21.839</v>
      </c>
      <c r="G292" s="50" t="n"/>
      <c r="H292" s="50" t="n">
        <v>50.6</v>
      </c>
      <c r="I292" s="50" t="n">
        <v>14.48</v>
      </c>
      <c r="J292" s="50" t="n"/>
      <c r="K292" s="50" t="n">
        <v>50.4</v>
      </c>
      <c r="L292" s="50" t="n">
        <v>14.545</v>
      </c>
      <c r="M292" s="50" t="n"/>
      <c r="N292" s="50" t="n"/>
      <c r="O292" s="50" t="n"/>
      <c r="P292" s="50" t="n"/>
      <c r="Q292" s="50" t="n">
        <v>45.7</v>
      </c>
      <c r="R292" s="50" t="n">
        <v>0.219</v>
      </c>
      <c r="S292" s="50" t="n"/>
    </row>
    <row r="293">
      <c r="A293" s="50" t="inlineStr">
        <is>
          <t>1974-12</t>
        </is>
      </c>
      <c r="B293" s="50" t="n">
        <v>42</v>
      </c>
      <c r="C293" s="50" t="n">
        <v>23.894</v>
      </c>
      <c r="D293" s="50" t="n"/>
      <c r="E293" s="50" t="n">
        <v>41.4</v>
      </c>
      <c r="F293" s="50" t="n">
        <v>22.849</v>
      </c>
      <c r="G293" s="50" t="n"/>
      <c r="H293" s="50" t="n">
        <v>50.9</v>
      </c>
      <c r="I293" s="50" t="n">
        <v>14.382</v>
      </c>
      <c r="J293" s="50" t="n"/>
      <c r="K293" s="50" t="n">
        <v>50.7</v>
      </c>
      <c r="L293" s="50" t="n">
        <v>14.447</v>
      </c>
      <c r="M293" s="50" t="n"/>
      <c r="N293" s="50" t="n"/>
      <c r="O293" s="50" t="n"/>
      <c r="P293" s="50" t="n"/>
      <c r="Q293" s="50" t="n">
        <v>45.9</v>
      </c>
      <c r="R293" s="50" t="n">
        <v>0.658</v>
      </c>
      <c r="S293" s="50" t="n"/>
    </row>
    <row r="294">
      <c r="A294" s="50" t="inlineStr">
        <is>
          <t>1975-01</t>
        </is>
      </c>
      <c r="B294" s="50" t="n">
        <v>42.4</v>
      </c>
      <c r="C294" s="50" t="n">
        <v>27.327</v>
      </c>
      <c r="D294" s="50" t="n"/>
      <c r="E294" s="50" t="n">
        <v>40.4</v>
      </c>
      <c r="F294" s="50" t="n">
        <v>26.25</v>
      </c>
      <c r="G294" s="50" t="n"/>
      <c r="H294" s="50" t="n">
        <v>51.7</v>
      </c>
      <c r="I294" s="50" t="n">
        <v>15.66</v>
      </c>
      <c r="J294" s="50" t="n"/>
      <c r="K294" s="50" t="n">
        <v>51.7</v>
      </c>
      <c r="L294" s="50" t="n">
        <v>15.402</v>
      </c>
      <c r="M294" s="50" t="n"/>
      <c r="N294" s="50" t="n"/>
      <c r="O294" s="50" t="n"/>
      <c r="P294" s="50" t="n"/>
      <c r="Q294" s="50" t="n">
        <v>45.7</v>
      </c>
      <c r="R294" s="50" t="n">
        <v>0</v>
      </c>
      <c r="S294" s="50" t="n"/>
    </row>
    <row r="295">
      <c r="A295" s="50" t="inlineStr">
        <is>
          <t>1975-02</t>
        </is>
      </c>
      <c r="B295" s="50" t="n">
        <v>42.7</v>
      </c>
      <c r="C295" s="50" t="n">
        <v>30.183</v>
      </c>
      <c r="D295" s="50" t="n"/>
      <c r="E295" s="50" t="n">
        <v>40</v>
      </c>
      <c r="F295" s="50" t="n">
        <v>29.87</v>
      </c>
      <c r="G295" s="50" t="n"/>
      <c r="H295" s="50" t="n">
        <v>52.1</v>
      </c>
      <c r="I295" s="50" t="n">
        <v>15.265</v>
      </c>
      <c r="J295" s="50" t="n"/>
      <c r="K295" s="50" t="n">
        <v>52.2</v>
      </c>
      <c r="L295" s="50" t="n">
        <v>15.487</v>
      </c>
      <c r="M295" s="50" t="n"/>
      <c r="N295" s="50" t="n"/>
      <c r="O295" s="50" t="n"/>
      <c r="P295" s="50" t="n"/>
      <c r="Q295" s="50" t="n">
        <v>45.9</v>
      </c>
      <c r="R295" s="50" t="n">
        <v>0.438</v>
      </c>
      <c r="S295" s="50" t="n"/>
    </row>
    <row r="296">
      <c r="A296" s="50" t="inlineStr">
        <is>
          <t>1975-03</t>
        </is>
      </c>
      <c r="B296" s="50" t="n">
        <v>42.8</v>
      </c>
      <c r="C296" s="50" t="n">
        <v>32.919</v>
      </c>
      <c r="D296" s="50" t="n"/>
      <c r="E296" s="50" t="n">
        <v>40.5</v>
      </c>
      <c r="F296" s="50" t="n">
        <v>32.353</v>
      </c>
      <c r="G296" s="50" t="n"/>
      <c r="H296" s="50" t="n">
        <v>52.6</v>
      </c>
      <c r="I296" s="50" t="n">
        <v>15.351</v>
      </c>
      <c r="J296" s="50" t="n"/>
      <c r="K296" s="50" t="n">
        <v>52.8</v>
      </c>
      <c r="L296" s="50" t="n">
        <v>15.536</v>
      </c>
      <c r="M296" s="50" t="n"/>
      <c r="N296" s="50" t="n"/>
      <c r="O296" s="50" t="n"/>
      <c r="P296" s="50" t="n"/>
      <c r="Q296" s="50" t="n">
        <v>46.2</v>
      </c>
      <c r="R296" s="50" t="n">
        <v>0.873</v>
      </c>
      <c r="S296" s="50" t="n"/>
    </row>
    <row r="297">
      <c r="A297" s="50" t="inlineStr">
        <is>
          <t>1975-04</t>
        </is>
      </c>
      <c r="B297" s="50" t="n">
        <v>42.5</v>
      </c>
      <c r="C297" s="50" t="n">
        <v>29.179</v>
      </c>
      <c r="D297" s="50" t="n"/>
      <c r="E297" s="50" t="n">
        <v>41.4</v>
      </c>
      <c r="F297" s="50" t="n">
        <v>29.375</v>
      </c>
      <c r="G297" s="50" t="n"/>
      <c r="H297" s="50" t="n">
        <v>53</v>
      </c>
      <c r="I297" s="50" t="n">
        <v>15.217</v>
      </c>
      <c r="J297" s="50" t="n"/>
      <c r="K297" s="50" t="n">
        <v>53.1</v>
      </c>
      <c r="L297" s="50" t="n">
        <v>15.184</v>
      </c>
      <c r="M297" s="50" t="n"/>
      <c r="N297" s="50" t="n"/>
      <c r="O297" s="50" t="n"/>
      <c r="P297" s="50" t="n"/>
      <c r="Q297" s="50" t="n">
        <v>47.1</v>
      </c>
      <c r="R297" s="50" t="n">
        <v>2.391</v>
      </c>
      <c r="S297" s="50" t="n"/>
    </row>
    <row r="298">
      <c r="A298" s="50" t="inlineStr">
        <is>
          <t>1975-05</t>
        </is>
      </c>
      <c r="B298" s="50" t="n">
        <v>42.4</v>
      </c>
      <c r="C298" s="50" t="n">
        <v>24.34</v>
      </c>
      <c r="D298" s="50" t="n"/>
      <c r="E298" s="50" t="n">
        <v>42.6</v>
      </c>
      <c r="F298" s="50" t="n">
        <v>24.198</v>
      </c>
      <c r="G298" s="50" t="n"/>
      <c r="H298" s="50" t="n">
        <v>53.2</v>
      </c>
      <c r="I298" s="50" t="n">
        <v>14.409</v>
      </c>
      <c r="J298" s="50" t="n"/>
      <c r="K298" s="50" t="n">
        <v>53.3</v>
      </c>
      <c r="L298" s="50" t="n">
        <v>14.624</v>
      </c>
      <c r="M298" s="50" t="n"/>
      <c r="N298" s="50" t="n"/>
      <c r="O298" s="50" t="n"/>
      <c r="P298" s="50" t="n"/>
      <c r="Q298" s="50" t="n">
        <v>47.1</v>
      </c>
      <c r="R298" s="50" t="n">
        <v>2.391</v>
      </c>
      <c r="S298" s="50" t="n"/>
    </row>
    <row r="299">
      <c r="A299" s="50" t="inlineStr">
        <is>
          <t>1975-06</t>
        </is>
      </c>
      <c r="B299" s="50" t="n">
        <v>42.9</v>
      </c>
      <c r="C299" s="50" t="n">
        <v>20.168</v>
      </c>
      <c r="D299" s="50" t="n"/>
      <c r="E299" s="50" t="n">
        <v>44.2</v>
      </c>
      <c r="F299" s="50" t="n">
        <v>20.765</v>
      </c>
      <c r="G299" s="50" t="n"/>
      <c r="H299" s="50" t="n">
        <v>53.5</v>
      </c>
      <c r="I299" s="50" t="n">
        <v>14.072</v>
      </c>
      <c r="J299" s="50" t="n"/>
      <c r="K299" s="50" t="n">
        <v>53.5</v>
      </c>
      <c r="L299" s="50" t="n">
        <v>14.072</v>
      </c>
      <c r="M299" s="50" t="n"/>
      <c r="N299" s="50" t="n"/>
      <c r="O299" s="50" t="n"/>
      <c r="P299" s="50" t="n"/>
      <c r="Q299" s="50" t="n">
        <v>47.4</v>
      </c>
      <c r="R299" s="50" t="n">
        <v>3.493</v>
      </c>
      <c r="S299" s="50" t="n"/>
    </row>
    <row r="300">
      <c r="A300" s="50" t="inlineStr">
        <is>
          <t>1975-07</t>
        </is>
      </c>
      <c r="B300" s="50" t="n">
        <v>43.9</v>
      </c>
      <c r="C300" s="50" t="n">
        <v>18.97</v>
      </c>
      <c r="D300" s="50" t="n"/>
      <c r="E300" s="50" t="n">
        <v>45.9</v>
      </c>
      <c r="F300" s="50" t="n">
        <v>19.843</v>
      </c>
      <c r="G300" s="50" t="n"/>
      <c r="H300" s="50" t="n">
        <v>53.9</v>
      </c>
      <c r="I300" s="50" t="n">
        <v>12.998</v>
      </c>
      <c r="J300" s="50" t="n"/>
      <c r="K300" s="50" t="n">
        <v>53.8</v>
      </c>
      <c r="L300" s="50" t="n">
        <v>12.788</v>
      </c>
      <c r="M300" s="50" t="n"/>
      <c r="N300" s="50" t="n"/>
      <c r="O300" s="50" t="n"/>
      <c r="P300" s="50" t="n"/>
      <c r="Q300" s="50" t="n">
        <v>47.6</v>
      </c>
      <c r="R300" s="50" t="n">
        <v>3.704</v>
      </c>
      <c r="S300" s="50" t="n"/>
    </row>
    <row r="301">
      <c r="A301" s="50" t="inlineStr">
        <is>
          <t>1975-08</t>
        </is>
      </c>
      <c r="B301" s="50" t="n">
        <v>44.7</v>
      </c>
      <c r="C301" s="50" t="n">
        <v>17.323</v>
      </c>
      <c r="D301" s="50" t="n"/>
      <c r="E301" s="50" t="n">
        <v>46.7</v>
      </c>
      <c r="F301" s="50" t="n">
        <v>18.228</v>
      </c>
      <c r="G301" s="50" t="n"/>
      <c r="H301" s="50" t="n">
        <v>54.1</v>
      </c>
      <c r="I301" s="50" t="n">
        <v>12.008</v>
      </c>
      <c r="J301" s="50" t="n"/>
      <c r="K301" s="50" t="n">
        <v>54.1</v>
      </c>
      <c r="L301" s="50" t="n">
        <v>12.008</v>
      </c>
      <c r="M301" s="50" t="n"/>
      <c r="N301" s="50" t="n"/>
      <c r="O301" s="50" t="n"/>
      <c r="P301" s="50" t="n"/>
      <c r="Q301" s="50" t="n">
        <v>48.2</v>
      </c>
      <c r="R301" s="50" t="n">
        <v>5.24</v>
      </c>
      <c r="S301" s="50" t="n"/>
    </row>
    <row r="302">
      <c r="A302" s="50" t="inlineStr">
        <is>
          <t>1975-09</t>
        </is>
      </c>
      <c r="B302" s="50" t="n">
        <v>45.1</v>
      </c>
      <c r="C302" s="50" t="n">
        <v>14.758</v>
      </c>
      <c r="D302" s="50" t="n"/>
      <c r="E302" s="50" t="n">
        <v>46.9</v>
      </c>
      <c r="F302" s="50" t="n">
        <v>15.233</v>
      </c>
      <c r="G302" s="50" t="n"/>
      <c r="H302" s="50" t="n">
        <v>54.4</v>
      </c>
      <c r="I302" s="50" t="n">
        <v>10.121</v>
      </c>
      <c r="J302" s="50" t="n"/>
      <c r="K302" s="50" t="n">
        <v>54.3</v>
      </c>
      <c r="L302" s="50" t="n">
        <v>9.919</v>
      </c>
      <c r="M302" s="50" t="n"/>
      <c r="N302" s="50" t="n"/>
      <c r="O302" s="50" t="n"/>
      <c r="P302" s="50" t="n"/>
      <c r="Q302" s="50" t="n">
        <v>48.5</v>
      </c>
      <c r="R302" s="50" t="n">
        <v>5.895</v>
      </c>
      <c r="S302" s="50" t="n"/>
    </row>
    <row r="303">
      <c r="A303" s="50" t="inlineStr">
        <is>
          <t>1975-10</t>
        </is>
      </c>
      <c r="B303" s="50" t="n">
        <v>45.5</v>
      </c>
      <c r="C303" s="50" t="n">
        <v>12.069</v>
      </c>
      <c r="D303" s="50" t="n"/>
      <c r="E303" s="50" t="n">
        <v>46.9</v>
      </c>
      <c r="F303" s="50" t="n">
        <v>12.47</v>
      </c>
      <c r="G303" s="50" t="n"/>
      <c r="H303" s="50" t="n">
        <v>54.6</v>
      </c>
      <c r="I303" s="50" t="n">
        <v>9.199999999999999</v>
      </c>
      <c r="J303" s="50" t="n"/>
      <c r="K303" s="50" t="n">
        <v>54.5</v>
      </c>
      <c r="L303" s="50" t="n">
        <v>9</v>
      </c>
      <c r="M303" s="50" t="n"/>
      <c r="N303" s="50" t="n"/>
      <c r="O303" s="50" t="n"/>
      <c r="P303" s="50" t="n"/>
      <c r="Q303" s="50" t="n">
        <v>49.2</v>
      </c>
      <c r="R303" s="50" t="n">
        <v>8.132</v>
      </c>
      <c r="S303" s="50" t="n"/>
    </row>
    <row r="304">
      <c r="A304" s="50" t="inlineStr">
        <is>
          <t>1975-11</t>
        </is>
      </c>
      <c r="B304" s="50" t="n">
        <v>45.8</v>
      </c>
      <c r="C304" s="50" t="n">
        <v>9.308</v>
      </c>
      <c r="D304" s="50" t="n"/>
      <c r="E304" s="50" t="n">
        <v>46</v>
      </c>
      <c r="F304" s="50" t="n">
        <v>8.491</v>
      </c>
      <c r="G304" s="50" t="n"/>
      <c r="H304" s="50" t="n">
        <v>55.2</v>
      </c>
      <c r="I304" s="50" t="n">
        <v>9.090999999999999</v>
      </c>
      <c r="J304" s="50" t="n"/>
      <c r="K304" s="50" t="n">
        <v>55.1</v>
      </c>
      <c r="L304" s="50" t="n">
        <v>9.324999999999999</v>
      </c>
      <c r="M304" s="50" t="n"/>
      <c r="N304" s="50" t="n"/>
      <c r="O304" s="50" t="n"/>
      <c r="P304" s="50" t="n"/>
      <c r="Q304" s="50" t="n">
        <v>53.4</v>
      </c>
      <c r="R304" s="50" t="n">
        <v>16.849</v>
      </c>
      <c r="S304" s="50" t="n"/>
    </row>
    <row r="305">
      <c r="A305" s="50" t="inlineStr">
        <is>
          <t>1975-12</t>
        </is>
      </c>
      <c r="B305" s="50" t="n">
        <v>45.8</v>
      </c>
      <c r="C305" s="50" t="n">
        <v>9.048</v>
      </c>
      <c r="D305" s="50" t="n"/>
      <c r="E305" s="50" t="n">
        <v>44.8</v>
      </c>
      <c r="F305" s="50" t="n">
        <v>8.212999999999999</v>
      </c>
      <c r="G305" s="50" t="n"/>
      <c r="H305" s="50" t="n">
        <v>55.6</v>
      </c>
      <c r="I305" s="50" t="n">
        <v>9.234</v>
      </c>
      <c r="J305" s="50" t="n"/>
      <c r="K305" s="50" t="n">
        <v>55.5</v>
      </c>
      <c r="L305" s="50" t="n">
        <v>9.467000000000001</v>
      </c>
      <c r="M305" s="50" t="n"/>
      <c r="N305" s="50" t="n"/>
      <c r="O305" s="50" t="n"/>
      <c r="P305" s="50" t="n"/>
      <c r="Q305" s="50" t="n">
        <v>54.1</v>
      </c>
      <c r="R305" s="50" t="n">
        <v>17.865</v>
      </c>
      <c r="S305" s="50" t="n"/>
    </row>
    <row r="306">
      <c r="A306" s="50" t="inlineStr">
        <is>
          <t>1976-01</t>
        </is>
      </c>
      <c r="B306" s="50" t="n">
        <v>45.1</v>
      </c>
      <c r="C306" s="50" t="n">
        <v>6.368</v>
      </c>
      <c r="D306" s="50" t="n"/>
      <c r="E306" s="50" t="n">
        <v>43.3</v>
      </c>
      <c r="F306" s="50" t="n">
        <v>7.178</v>
      </c>
      <c r="G306" s="50" t="n"/>
      <c r="H306" s="50" t="n">
        <v>56.3</v>
      </c>
      <c r="I306" s="50" t="n">
        <v>8.897</v>
      </c>
      <c r="J306" s="50" t="n"/>
      <c r="K306" s="50" t="n">
        <v>56.2</v>
      </c>
      <c r="L306" s="50" t="n">
        <v>8.704000000000001</v>
      </c>
      <c r="M306" s="50" t="n"/>
      <c r="N306" s="50" t="n"/>
      <c r="O306" s="50" t="n"/>
      <c r="P306" s="50" t="n"/>
      <c r="Q306" s="50" t="n">
        <v>57.2</v>
      </c>
      <c r="R306" s="50" t="n">
        <v>25.164</v>
      </c>
      <c r="S306" s="50" t="n"/>
    </row>
    <row r="307">
      <c r="A307" s="50" t="inlineStr">
        <is>
          <t>1976-02</t>
        </is>
      </c>
      <c r="B307" s="50" t="n">
        <v>45.8</v>
      </c>
      <c r="C307" s="50" t="n">
        <v>7.26</v>
      </c>
      <c r="D307" s="50" t="n"/>
      <c r="E307" s="50" t="n">
        <v>43.4</v>
      </c>
      <c r="F307" s="50" t="n">
        <v>8.5</v>
      </c>
      <c r="G307" s="50" t="n"/>
      <c r="H307" s="50" t="n">
        <v>56.4</v>
      </c>
      <c r="I307" s="50" t="n">
        <v>8.253</v>
      </c>
      <c r="J307" s="50" t="n"/>
      <c r="K307" s="50" t="n">
        <v>56.4</v>
      </c>
      <c r="L307" s="50" t="n">
        <v>8.045999999999999</v>
      </c>
      <c r="M307" s="50" t="n"/>
      <c r="N307" s="50" t="n"/>
      <c r="O307" s="50" t="n"/>
      <c r="P307" s="50" t="n"/>
      <c r="Q307" s="50" t="n">
        <v>58.9</v>
      </c>
      <c r="R307" s="50" t="n">
        <v>28.322</v>
      </c>
      <c r="S307" s="50" t="n"/>
    </row>
    <row r="308">
      <c r="A308" s="50" t="inlineStr">
        <is>
          <t>1976-03</t>
        </is>
      </c>
      <c r="B308" s="50" t="n">
        <v>47.3</v>
      </c>
      <c r="C308" s="50" t="n">
        <v>10.514</v>
      </c>
      <c r="D308" s="50" t="n"/>
      <c r="E308" s="50" t="n">
        <v>45.2</v>
      </c>
      <c r="F308" s="50" t="n">
        <v>11.605</v>
      </c>
      <c r="G308" s="50" t="n"/>
      <c r="H308" s="50" t="n">
        <v>56.6</v>
      </c>
      <c r="I308" s="50" t="n">
        <v>7.605</v>
      </c>
      <c r="J308" s="50" t="n"/>
      <c r="K308" s="50" t="n">
        <v>56.7</v>
      </c>
      <c r="L308" s="50" t="n">
        <v>7.386</v>
      </c>
      <c r="M308" s="50" t="n"/>
      <c r="N308" s="50" t="n"/>
      <c r="O308" s="50" t="n"/>
      <c r="P308" s="50" t="n"/>
      <c r="Q308" s="50" t="n">
        <v>60.4</v>
      </c>
      <c r="R308" s="50" t="n">
        <v>30.736</v>
      </c>
      <c r="S308" s="50" t="n"/>
    </row>
    <row r="309">
      <c r="A309" s="50" t="inlineStr">
        <is>
          <t>1976-04</t>
        </is>
      </c>
      <c r="B309" s="50" t="n">
        <v>48.8</v>
      </c>
      <c r="C309" s="50" t="n">
        <v>14.824</v>
      </c>
      <c r="D309" s="50" t="n"/>
      <c r="E309" s="50" t="n">
        <v>47.7</v>
      </c>
      <c r="F309" s="50" t="n">
        <v>15.217</v>
      </c>
      <c r="G309" s="50" t="n"/>
      <c r="H309" s="50" t="n">
        <v>56.8</v>
      </c>
      <c r="I309" s="50" t="n">
        <v>7.17</v>
      </c>
      <c r="J309" s="50" t="n"/>
      <c r="K309" s="50" t="n">
        <v>56.9</v>
      </c>
      <c r="L309" s="50" t="n">
        <v>7.156</v>
      </c>
      <c r="M309" s="50" t="n"/>
      <c r="N309" s="50" t="n"/>
      <c r="O309" s="50" t="n"/>
      <c r="P309" s="50" t="n"/>
      <c r="Q309" s="50" t="n">
        <v>60.8</v>
      </c>
      <c r="R309" s="50" t="n">
        <v>29.087</v>
      </c>
      <c r="S309" s="50" t="n"/>
    </row>
    <row r="310">
      <c r="A310" s="50" t="inlineStr">
        <is>
          <t>1976-05</t>
        </is>
      </c>
      <c r="B310" s="50" t="n">
        <v>49.8</v>
      </c>
      <c r="C310" s="50" t="n">
        <v>17.453</v>
      </c>
      <c r="D310" s="50" t="n"/>
      <c r="E310" s="50" t="n">
        <v>50.2</v>
      </c>
      <c r="F310" s="50" t="n">
        <v>17.84</v>
      </c>
      <c r="G310" s="50" t="n"/>
      <c r="H310" s="50" t="n">
        <v>57.1</v>
      </c>
      <c r="I310" s="50" t="n">
        <v>7.331</v>
      </c>
      <c r="J310" s="50" t="n"/>
      <c r="K310" s="50" t="n">
        <v>57.2</v>
      </c>
      <c r="L310" s="50" t="n">
        <v>7.317</v>
      </c>
      <c r="M310" s="50" t="n"/>
      <c r="N310" s="50" t="n"/>
      <c r="O310" s="50" t="n"/>
      <c r="P310" s="50" t="n"/>
      <c r="Q310" s="50" t="n">
        <v>61.2</v>
      </c>
      <c r="R310" s="50" t="n">
        <v>29.936</v>
      </c>
      <c r="S310" s="50" t="n"/>
    </row>
    <row r="311">
      <c r="A311" s="50" t="inlineStr">
        <is>
          <t>1976-06</t>
        </is>
      </c>
      <c r="B311" s="50" t="n">
        <v>50.4</v>
      </c>
      <c r="C311" s="50" t="n">
        <v>17.483</v>
      </c>
      <c r="D311" s="50" t="n"/>
      <c r="E311" s="50" t="n">
        <v>51.9</v>
      </c>
      <c r="F311" s="50" t="n">
        <v>17.421</v>
      </c>
      <c r="G311" s="50" t="n"/>
      <c r="H311" s="50" t="n">
        <v>57.4</v>
      </c>
      <c r="I311" s="50" t="n">
        <v>7.29</v>
      </c>
      <c r="J311" s="50" t="n"/>
      <c r="K311" s="50" t="n">
        <v>57.4</v>
      </c>
      <c r="L311" s="50" t="n">
        <v>7.29</v>
      </c>
      <c r="M311" s="50" t="n"/>
      <c r="N311" s="50" t="n"/>
      <c r="O311" s="50" t="n"/>
      <c r="P311" s="50" t="n"/>
      <c r="Q311" s="50" t="n">
        <v>61.7</v>
      </c>
      <c r="R311" s="50" t="n">
        <v>30.169</v>
      </c>
      <c r="S311" s="50" t="n"/>
    </row>
    <row r="312">
      <c r="A312" s="50" t="inlineStr">
        <is>
          <t>1976-07</t>
        </is>
      </c>
      <c r="B312" s="50" t="n">
        <v>51</v>
      </c>
      <c r="C312" s="50" t="n">
        <v>16.173</v>
      </c>
      <c r="D312" s="50" t="n"/>
      <c r="E312" s="50" t="n">
        <v>53.2</v>
      </c>
      <c r="F312" s="50" t="n">
        <v>15.904</v>
      </c>
      <c r="G312" s="50" t="n"/>
      <c r="H312" s="50" t="n">
        <v>57.7</v>
      </c>
      <c r="I312" s="50" t="n">
        <v>7.05</v>
      </c>
      <c r="J312" s="50" t="n"/>
      <c r="K312" s="50" t="n">
        <v>57.7</v>
      </c>
      <c r="L312" s="50" t="n">
        <v>7.249</v>
      </c>
      <c r="M312" s="50" t="n"/>
      <c r="N312" s="50" t="n"/>
      <c r="O312" s="50" t="n"/>
      <c r="P312" s="50" t="n"/>
      <c r="Q312" s="50" t="n">
        <v>62.8</v>
      </c>
      <c r="R312" s="50" t="n">
        <v>31.933</v>
      </c>
      <c r="S312" s="50" t="n"/>
    </row>
    <row r="313">
      <c r="A313" s="50" t="inlineStr">
        <is>
          <t>1976-08</t>
        </is>
      </c>
      <c r="B313" s="50" t="n">
        <v>51.7</v>
      </c>
      <c r="C313" s="50" t="n">
        <v>15.66</v>
      </c>
      <c r="D313" s="50" t="n"/>
      <c r="E313" s="50" t="n">
        <v>53.8</v>
      </c>
      <c r="F313" s="50" t="n">
        <v>15.203</v>
      </c>
      <c r="G313" s="50" t="n"/>
      <c r="H313" s="50" t="n">
        <v>58.1</v>
      </c>
      <c r="I313" s="50" t="n">
        <v>7.394</v>
      </c>
      <c r="J313" s="50" t="n"/>
      <c r="K313" s="50" t="n">
        <v>58.1</v>
      </c>
      <c r="L313" s="50" t="n">
        <v>7.394</v>
      </c>
      <c r="M313" s="50" t="n"/>
      <c r="N313" s="50" t="n"/>
      <c r="O313" s="50" t="n"/>
      <c r="P313" s="50" t="n"/>
      <c r="Q313" s="50" t="n">
        <v>63.2</v>
      </c>
      <c r="R313" s="50" t="n">
        <v>31.12</v>
      </c>
      <c r="S313" s="50" t="n"/>
    </row>
    <row r="314">
      <c r="A314" s="50" t="inlineStr">
        <is>
          <t>1976-09</t>
        </is>
      </c>
      <c r="B314" s="50" t="n">
        <v>52.3</v>
      </c>
      <c r="C314" s="50" t="n">
        <v>15.965</v>
      </c>
      <c r="D314" s="50" t="n"/>
      <c r="E314" s="50" t="n">
        <v>53.9</v>
      </c>
      <c r="F314" s="50" t="n">
        <v>14.925</v>
      </c>
      <c r="G314" s="50" t="n"/>
      <c r="H314" s="50" t="n">
        <v>58.4</v>
      </c>
      <c r="I314" s="50" t="n">
        <v>7.353</v>
      </c>
      <c r="J314" s="50" t="n"/>
      <c r="K314" s="50" t="n">
        <v>58.3</v>
      </c>
      <c r="L314" s="50" t="n">
        <v>7.366</v>
      </c>
      <c r="M314" s="50" t="n"/>
      <c r="N314" s="50" t="n"/>
      <c r="O314" s="50" t="n"/>
      <c r="P314" s="50" t="n"/>
      <c r="Q314" s="50" t="n">
        <v>64.40000000000001</v>
      </c>
      <c r="R314" s="50" t="n">
        <v>32.784</v>
      </c>
      <c r="S314" s="50" t="n"/>
    </row>
    <row r="315">
      <c r="A315" s="50" t="inlineStr">
        <is>
          <t>1976-10</t>
        </is>
      </c>
      <c r="B315" s="50" t="n">
        <v>52.9</v>
      </c>
      <c r="C315" s="50" t="n">
        <v>16.264</v>
      </c>
      <c r="D315" s="50" t="n"/>
      <c r="E315" s="50" t="n">
        <v>53.9</v>
      </c>
      <c r="F315" s="50" t="n">
        <v>14.925</v>
      </c>
      <c r="G315" s="50" t="n"/>
      <c r="H315" s="50" t="n">
        <v>58.7</v>
      </c>
      <c r="I315" s="50" t="n">
        <v>7.509</v>
      </c>
      <c r="J315" s="50" t="n"/>
      <c r="K315" s="50" t="n">
        <v>58.6</v>
      </c>
      <c r="L315" s="50" t="n">
        <v>7.523</v>
      </c>
      <c r="M315" s="50" t="n"/>
      <c r="N315" s="50" t="n"/>
      <c r="O315" s="50" t="n"/>
      <c r="P315" s="50" t="n"/>
      <c r="Q315" s="50" t="n">
        <v>65</v>
      </c>
      <c r="R315" s="50" t="n">
        <v>32.114</v>
      </c>
      <c r="S315" s="50" t="n"/>
    </row>
    <row r="316">
      <c r="A316" s="50" t="inlineStr">
        <is>
          <t>1976-11</t>
        </is>
      </c>
      <c r="B316" s="50" t="n">
        <v>53.6</v>
      </c>
      <c r="C316" s="50" t="n">
        <v>17.031</v>
      </c>
      <c r="D316" s="50" t="n"/>
      <c r="E316" s="50" t="n">
        <v>53.6</v>
      </c>
      <c r="F316" s="50" t="n">
        <v>16.522</v>
      </c>
      <c r="G316" s="50" t="n"/>
      <c r="H316" s="50" t="n">
        <v>59</v>
      </c>
      <c r="I316" s="50" t="n">
        <v>6.884</v>
      </c>
      <c r="J316" s="50" t="n"/>
      <c r="K316" s="50" t="n">
        <v>58.9</v>
      </c>
      <c r="L316" s="50" t="n">
        <v>6.897</v>
      </c>
      <c r="M316" s="50" t="n"/>
      <c r="N316" s="50" t="n"/>
      <c r="O316" s="50" t="n"/>
      <c r="P316" s="50" t="n"/>
      <c r="Q316" s="50" t="n">
        <v>66</v>
      </c>
      <c r="R316" s="50" t="n">
        <v>23.596</v>
      </c>
      <c r="S316" s="50" t="n"/>
    </row>
    <row r="317">
      <c r="A317" s="50" t="inlineStr">
        <is>
          <t>1976-12</t>
        </is>
      </c>
      <c r="B317" s="50" t="n">
        <v>54.5</v>
      </c>
      <c r="C317" s="50" t="n">
        <v>18.996</v>
      </c>
      <c r="D317" s="50" t="n"/>
      <c r="E317" s="50" t="n">
        <v>53.3</v>
      </c>
      <c r="F317" s="50" t="n">
        <v>18.973</v>
      </c>
      <c r="G317" s="50" t="n"/>
      <c r="H317" s="50" t="n">
        <v>59.3</v>
      </c>
      <c r="I317" s="50" t="n">
        <v>6.655</v>
      </c>
      <c r="J317" s="50" t="n"/>
      <c r="K317" s="50" t="n">
        <v>59.1</v>
      </c>
      <c r="L317" s="50" t="n">
        <v>6.486</v>
      </c>
      <c r="M317" s="50" t="n"/>
      <c r="N317" s="50" t="n"/>
      <c r="O317" s="50" t="n"/>
      <c r="P317" s="50" t="n"/>
      <c r="Q317" s="50" t="n">
        <v>66.2</v>
      </c>
      <c r="R317" s="50" t="n">
        <v>22.366</v>
      </c>
      <c r="S317" s="50" t="n"/>
    </row>
    <row r="318">
      <c r="A318" s="50" t="inlineStr">
        <is>
          <t>1977-01</t>
        </is>
      </c>
      <c r="B318" s="50" t="n">
        <v>55.3</v>
      </c>
      <c r="C318" s="50" t="n">
        <v>22.616</v>
      </c>
      <c r="D318" s="50" t="n"/>
      <c r="E318" s="50" t="n">
        <v>53.2</v>
      </c>
      <c r="F318" s="50" t="n">
        <v>22.864</v>
      </c>
      <c r="G318" s="50" t="n"/>
      <c r="H318" s="50" t="n">
        <v>59.7</v>
      </c>
      <c r="I318" s="50" t="n">
        <v>6.039</v>
      </c>
      <c r="J318" s="50" t="n"/>
      <c r="K318" s="50" t="n">
        <v>59.7</v>
      </c>
      <c r="L318" s="50" t="n">
        <v>6.228</v>
      </c>
      <c r="M318" s="50" t="n"/>
      <c r="N318" s="50" t="n"/>
      <c r="O318" s="50" t="n"/>
      <c r="P318" s="50" t="n"/>
      <c r="Q318" s="50" t="n">
        <v>66.8</v>
      </c>
      <c r="R318" s="50" t="n">
        <v>16.783</v>
      </c>
      <c r="S318" s="50" t="n"/>
    </row>
    <row r="319">
      <c r="A319" s="50" t="inlineStr">
        <is>
          <t>1977-02</t>
        </is>
      </c>
      <c r="B319" s="50" t="n">
        <v>56.3</v>
      </c>
      <c r="C319" s="50" t="n">
        <v>22.926</v>
      </c>
      <c r="D319" s="50" t="n"/>
      <c r="E319" s="50" t="n">
        <v>53.6</v>
      </c>
      <c r="F319" s="50" t="n">
        <v>23.502</v>
      </c>
      <c r="G319" s="50" t="n"/>
      <c r="H319" s="50" t="n">
        <v>60.2</v>
      </c>
      <c r="I319" s="50" t="n">
        <v>6.738</v>
      </c>
      <c r="J319" s="50" t="n"/>
      <c r="K319" s="50" t="n">
        <v>60.3</v>
      </c>
      <c r="L319" s="50" t="n">
        <v>6.915</v>
      </c>
      <c r="M319" s="50" t="n"/>
      <c r="N319" s="50" t="n"/>
      <c r="O319" s="50" t="n"/>
      <c r="P319" s="50" t="n"/>
      <c r="Q319" s="50" t="n">
        <v>67.3</v>
      </c>
      <c r="R319" s="50" t="n">
        <v>14.261</v>
      </c>
      <c r="S319" s="50" t="n"/>
    </row>
    <row r="320">
      <c r="A320" s="50" t="inlineStr">
        <is>
          <t>1977-03</t>
        </is>
      </c>
      <c r="B320" s="50" t="n">
        <v>57</v>
      </c>
      <c r="C320" s="50" t="n">
        <v>20.507</v>
      </c>
      <c r="D320" s="50" t="n"/>
      <c r="E320" s="50" t="n">
        <v>54.7</v>
      </c>
      <c r="F320" s="50" t="n">
        <v>21.018</v>
      </c>
      <c r="G320" s="50" t="n"/>
      <c r="H320" s="50" t="n">
        <v>60.7</v>
      </c>
      <c r="I320" s="50" t="n">
        <v>7.244</v>
      </c>
      <c r="J320" s="50" t="n"/>
      <c r="K320" s="50" t="n">
        <v>60.9</v>
      </c>
      <c r="L320" s="50" t="n">
        <v>7.407</v>
      </c>
      <c r="M320" s="50" t="n"/>
      <c r="N320" s="50" t="n"/>
      <c r="O320" s="50" t="n"/>
      <c r="P320" s="50" t="n"/>
      <c r="Q320" s="50" t="n">
        <v>68</v>
      </c>
      <c r="R320" s="50" t="n">
        <v>12.583</v>
      </c>
      <c r="S320" s="50" t="n"/>
    </row>
    <row r="321">
      <c r="A321" s="50" t="inlineStr">
        <is>
          <t>1977-04</t>
        </is>
      </c>
      <c r="B321" s="50" t="n">
        <v>57.2</v>
      </c>
      <c r="C321" s="50" t="n">
        <v>17.213</v>
      </c>
      <c r="D321" s="50" t="n"/>
      <c r="E321" s="50" t="n">
        <v>56.2</v>
      </c>
      <c r="F321" s="50" t="n">
        <v>17.82</v>
      </c>
      <c r="G321" s="50" t="n"/>
      <c r="H321" s="50" t="n">
        <v>61</v>
      </c>
      <c r="I321" s="50" t="n">
        <v>7.394</v>
      </c>
      <c r="J321" s="50" t="n"/>
      <c r="K321" s="50" t="n">
        <v>61.2</v>
      </c>
      <c r="L321" s="50" t="n">
        <v>7.557</v>
      </c>
      <c r="M321" s="50" t="n"/>
      <c r="N321" s="50" t="n"/>
      <c r="O321" s="50" t="n"/>
      <c r="P321" s="50" t="n"/>
      <c r="Q321" s="50" t="n">
        <v>69.40000000000001</v>
      </c>
      <c r="R321" s="50" t="n">
        <v>14.145</v>
      </c>
      <c r="S321" s="50" t="n"/>
    </row>
    <row r="322">
      <c r="A322" s="50" t="inlineStr">
        <is>
          <t>1977-05</t>
        </is>
      </c>
      <c r="B322" s="50" t="n">
        <v>56.7</v>
      </c>
      <c r="C322" s="50" t="n">
        <v>13.855</v>
      </c>
      <c r="D322" s="50" t="n"/>
      <c r="E322" s="50" t="n">
        <v>57.3</v>
      </c>
      <c r="F322" s="50" t="n">
        <v>14.143</v>
      </c>
      <c r="G322" s="50" t="n"/>
      <c r="H322" s="50" t="n">
        <v>61.4</v>
      </c>
      <c r="I322" s="50" t="n">
        <v>7.531</v>
      </c>
      <c r="J322" s="50" t="n"/>
      <c r="K322" s="50" t="n">
        <v>61.5</v>
      </c>
      <c r="L322" s="50" t="n">
        <v>7.517</v>
      </c>
      <c r="M322" s="50" t="n"/>
      <c r="N322" s="50" t="n"/>
      <c r="O322" s="50" t="n"/>
      <c r="P322" s="50" t="n"/>
      <c r="Q322" s="50" t="n">
        <v>69.5</v>
      </c>
      <c r="R322" s="50" t="n">
        <v>13.562</v>
      </c>
      <c r="S322" s="50" t="n"/>
    </row>
    <row r="323">
      <c r="A323" s="50" t="inlineStr">
        <is>
          <t>1977-06</t>
        </is>
      </c>
      <c r="B323" s="50" t="n">
        <v>55.8</v>
      </c>
      <c r="C323" s="50" t="n">
        <v>10.714</v>
      </c>
      <c r="D323" s="50" t="n"/>
      <c r="E323" s="50" t="n">
        <v>57.6</v>
      </c>
      <c r="F323" s="50" t="n">
        <v>10.983</v>
      </c>
      <c r="G323" s="50" t="n"/>
      <c r="H323" s="50" t="n">
        <v>61.7</v>
      </c>
      <c r="I323" s="50" t="n">
        <v>7.491</v>
      </c>
      <c r="J323" s="50" t="n"/>
      <c r="K323" s="50" t="n">
        <v>61.7</v>
      </c>
      <c r="L323" s="50" t="n">
        <v>7.491</v>
      </c>
      <c r="M323" s="50" t="n"/>
      <c r="N323" s="50" t="n"/>
      <c r="O323" s="50" t="n"/>
      <c r="P323" s="50" t="n"/>
      <c r="Q323" s="50" t="n">
        <v>70.2</v>
      </c>
      <c r="R323" s="50" t="n">
        <v>13.776</v>
      </c>
      <c r="S323" s="50" t="n"/>
    </row>
    <row r="324">
      <c r="A324" s="50" t="inlineStr">
        <is>
          <t>1977-07</t>
        </is>
      </c>
      <c r="B324" s="50" t="n">
        <v>54.9</v>
      </c>
      <c r="C324" s="50" t="n">
        <v>7.647</v>
      </c>
      <c r="D324" s="50" t="n"/>
      <c r="E324" s="50" t="n">
        <v>57.1</v>
      </c>
      <c r="F324" s="50" t="n">
        <v>7.331</v>
      </c>
      <c r="G324" s="50" t="n"/>
      <c r="H324" s="50" t="n">
        <v>62.1</v>
      </c>
      <c r="I324" s="50" t="n">
        <v>7.626</v>
      </c>
      <c r="J324" s="50" t="n"/>
      <c r="K324" s="50" t="n">
        <v>62</v>
      </c>
      <c r="L324" s="50" t="n">
        <v>7.452</v>
      </c>
      <c r="M324" s="50" t="n"/>
      <c r="N324" s="50" t="n"/>
      <c r="O324" s="50" t="n"/>
      <c r="P324" s="50" t="n"/>
      <c r="Q324" s="50" t="n">
        <v>70.5</v>
      </c>
      <c r="R324" s="50" t="n">
        <v>12.261</v>
      </c>
      <c r="S324" s="50" t="n"/>
    </row>
    <row r="325">
      <c r="A325" s="50" t="inlineStr">
        <is>
          <t>1977-08</t>
        </is>
      </c>
      <c r="B325" s="50" t="n">
        <v>53.9</v>
      </c>
      <c r="C325" s="50" t="n">
        <v>4.255</v>
      </c>
      <c r="D325" s="50" t="n"/>
      <c r="E325" s="50" t="n">
        <v>55.8</v>
      </c>
      <c r="F325" s="50" t="n">
        <v>3.717</v>
      </c>
      <c r="G325" s="50" t="n"/>
      <c r="H325" s="50" t="n">
        <v>62.5</v>
      </c>
      <c r="I325" s="50" t="n">
        <v>7.573</v>
      </c>
      <c r="J325" s="50" t="n"/>
      <c r="K325" s="50" t="n">
        <v>62.4</v>
      </c>
      <c r="L325" s="50" t="n">
        <v>7.401</v>
      </c>
      <c r="M325" s="50" t="n"/>
      <c r="N325" s="50" t="n"/>
      <c r="O325" s="50" t="n"/>
      <c r="P325" s="50" t="n"/>
      <c r="Q325" s="50" t="n">
        <v>70.90000000000001</v>
      </c>
      <c r="R325" s="50" t="n">
        <v>12.184</v>
      </c>
      <c r="S325" s="50" t="n"/>
    </row>
    <row r="326">
      <c r="A326" s="50" t="inlineStr">
        <is>
          <t>1977-09</t>
        </is>
      </c>
      <c r="B326" s="50" t="n">
        <v>53.4</v>
      </c>
      <c r="C326" s="50" t="n">
        <v>2.103</v>
      </c>
      <c r="D326" s="50" t="n"/>
      <c r="E326" s="50" t="n">
        <v>54.6</v>
      </c>
      <c r="F326" s="50" t="n">
        <v>1.299</v>
      </c>
      <c r="G326" s="50" t="n"/>
      <c r="H326" s="50" t="n">
        <v>62.9</v>
      </c>
      <c r="I326" s="50" t="n">
        <v>7.705</v>
      </c>
      <c r="J326" s="50" t="n"/>
      <c r="K326" s="50" t="n">
        <v>62.8</v>
      </c>
      <c r="L326" s="50" t="n">
        <v>7.719</v>
      </c>
      <c r="M326" s="50" t="n"/>
      <c r="N326" s="50" t="n"/>
      <c r="O326" s="50" t="n"/>
      <c r="P326" s="50" t="n"/>
      <c r="Q326" s="50" t="n">
        <v>71.59999999999999</v>
      </c>
      <c r="R326" s="50" t="n">
        <v>11.18</v>
      </c>
      <c r="S326" s="50" t="n"/>
    </row>
    <row r="327">
      <c r="A327" s="50" t="inlineStr">
        <is>
          <t>1977-10</t>
        </is>
      </c>
      <c r="B327" s="50" t="n">
        <v>52.7</v>
      </c>
      <c r="C327" s="50" t="n">
        <v>-0.378</v>
      </c>
      <c r="D327" s="50" t="n"/>
      <c r="E327" s="50" t="n">
        <v>53.3</v>
      </c>
      <c r="F327" s="50" t="n">
        <v>-1.113</v>
      </c>
      <c r="G327" s="50" t="n"/>
      <c r="H327" s="50" t="n">
        <v>63.1</v>
      </c>
      <c r="I327" s="50" t="n">
        <v>7.496</v>
      </c>
      <c r="J327" s="50" t="n"/>
      <c r="K327" s="50" t="n">
        <v>63.1</v>
      </c>
      <c r="L327" s="50" t="n">
        <v>7.679</v>
      </c>
      <c r="M327" s="50" t="n"/>
      <c r="N327" s="50" t="n"/>
      <c r="O327" s="50" t="n"/>
      <c r="P327" s="50" t="n"/>
      <c r="Q327" s="50" t="n">
        <v>71.09999999999999</v>
      </c>
      <c r="R327" s="50" t="n">
        <v>9.385</v>
      </c>
      <c r="S327" s="50" t="n"/>
    </row>
    <row r="328">
      <c r="A328" s="50" t="inlineStr">
        <is>
          <t>1977-11</t>
        </is>
      </c>
      <c r="B328" s="50" t="n">
        <v>52.6</v>
      </c>
      <c r="C328" s="50" t="n">
        <v>-1.866</v>
      </c>
      <c r="D328" s="50" t="n"/>
      <c r="E328" s="50" t="n">
        <v>52.4</v>
      </c>
      <c r="F328" s="50" t="n">
        <v>-2.239</v>
      </c>
      <c r="G328" s="50" t="n"/>
      <c r="H328" s="50" t="n">
        <v>63.4</v>
      </c>
      <c r="I328" s="50" t="n">
        <v>7.458</v>
      </c>
      <c r="J328" s="50" t="n"/>
      <c r="K328" s="50" t="n">
        <v>63.4</v>
      </c>
      <c r="L328" s="50" t="n">
        <v>7.64</v>
      </c>
      <c r="M328" s="50" t="n"/>
      <c r="N328" s="50" t="n"/>
      <c r="O328" s="50" t="n"/>
      <c r="P328" s="50" t="n"/>
      <c r="Q328" s="50" t="n">
        <v>71.2</v>
      </c>
      <c r="R328" s="50" t="n">
        <v>7.879</v>
      </c>
      <c r="S328" s="50" t="n"/>
    </row>
    <row r="329">
      <c r="A329" s="50" t="inlineStr">
        <is>
          <t>1977-12</t>
        </is>
      </c>
      <c r="B329" s="50" t="n">
        <v>52.2</v>
      </c>
      <c r="C329" s="50" t="n">
        <v>-4.22</v>
      </c>
      <c r="D329" s="50" t="n"/>
      <c r="E329" s="50" t="n">
        <v>51.1</v>
      </c>
      <c r="F329" s="50" t="n">
        <v>-4.128</v>
      </c>
      <c r="G329" s="50" t="n"/>
      <c r="H329" s="50" t="n">
        <v>64.09999999999999</v>
      </c>
      <c r="I329" s="50" t="n">
        <v>8.093999999999999</v>
      </c>
      <c r="J329" s="50" t="n"/>
      <c r="K329" s="50" t="n">
        <v>63.9</v>
      </c>
      <c r="L329" s="50" t="n">
        <v>8.122</v>
      </c>
      <c r="M329" s="50" t="n"/>
      <c r="N329" s="50" t="n"/>
      <c r="O329" s="50" t="n"/>
      <c r="P329" s="50" t="n"/>
      <c r="Q329" s="50" t="n">
        <v>71.2</v>
      </c>
      <c r="R329" s="50" t="n">
        <v>7.553</v>
      </c>
      <c r="S329" s="50" t="n"/>
    </row>
    <row r="330">
      <c r="A330" s="50" t="inlineStr">
        <is>
          <t>1978-01</t>
        </is>
      </c>
      <c r="B330" s="50" t="n">
        <v>52.6</v>
      </c>
      <c r="C330" s="50" t="n">
        <v>-4.882</v>
      </c>
      <c r="D330" s="50" t="n"/>
      <c r="E330" s="50" t="n">
        <v>50.8</v>
      </c>
      <c r="F330" s="50" t="n">
        <v>-4.511</v>
      </c>
      <c r="G330" s="50" t="n"/>
      <c r="H330" s="50" t="n">
        <v>64.5</v>
      </c>
      <c r="I330" s="50" t="n">
        <v>8.039999999999999</v>
      </c>
      <c r="J330" s="50" t="n"/>
      <c r="K330" s="50" t="n">
        <v>64.40000000000001</v>
      </c>
      <c r="L330" s="50" t="n">
        <v>7.873</v>
      </c>
      <c r="M330" s="50" t="n"/>
      <c r="N330" s="50" t="n"/>
      <c r="O330" s="50" t="n"/>
      <c r="P330" s="50" t="n"/>
      <c r="Q330" s="50" t="n">
        <v>71.40000000000001</v>
      </c>
      <c r="R330" s="50" t="n">
        <v>6.886</v>
      </c>
      <c r="S330" s="50" t="n"/>
    </row>
    <row r="331">
      <c r="A331" s="50" t="inlineStr">
        <is>
          <t>1978-02</t>
        </is>
      </c>
      <c r="B331" s="50" t="n">
        <v>52.8</v>
      </c>
      <c r="C331" s="50" t="n">
        <v>-6.217</v>
      </c>
      <c r="D331" s="50" t="n"/>
      <c r="E331" s="50" t="n">
        <v>50.9</v>
      </c>
      <c r="F331" s="50" t="n">
        <v>-5.037</v>
      </c>
      <c r="G331" s="50" t="n"/>
      <c r="H331" s="50" t="n">
        <v>65</v>
      </c>
      <c r="I331" s="50" t="n">
        <v>7.973</v>
      </c>
      <c r="J331" s="50" t="n"/>
      <c r="K331" s="50" t="n">
        <v>65.09999999999999</v>
      </c>
      <c r="L331" s="50" t="n">
        <v>7.96</v>
      </c>
      <c r="M331" s="50" t="n"/>
      <c r="N331" s="50" t="n"/>
      <c r="O331" s="50" t="n"/>
      <c r="P331" s="50" t="n"/>
      <c r="Q331" s="50" t="n">
        <v>71.7</v>
      </c>
      <c r="R331" s="50" t="n">
        <v>6.538</v>
      </c>
      <c r="S331" s="50" t="n"/>
    </row>
    <row r="332">
      <c r="A332" s="50" t="inlineStr">
        <is>
          <t>1978-03</t>
        </is>
      </c>
      <c r="B332" s="50" t="n">
        <v>53.1</v>
      </c>
      <c r="C332" s="50" t="n">
        <v>-6.842</v>
      </c>
      <c r="D332" s="50" t="n"/>
      <c r="E332" s="50" t="n">
        <v>51.6</v>
      </c>
      <c r="F332" s="50" t="n">
        <v>-5.667</v>
      </c>
      <c r="G332" s="50" t="n"/>
      <c r="H332" s="50" t="n">
        <v>65.2</v>
      </c>
      <c r="I332" s="50" t="n">
        <v>7.414</v>
      </c>
      <c r="J332" s="50" t="n"/>
      <c r="K332" s="50" t="n">
        <v>65.40000000000001</v>
      </c>
      <c r="L332" s="50" t="n">
        <v>7.389</v>
      </c>
      <c r="M332" s="50" t="n"/>
      <c r="N332" s="50" t="n"/>
      <c r="O332" s="50" t="n"/>
      <c r="P332" s="50" t="n"/>
      <c r="Q332" s="50" t="n">
        <v>71.5</v>
      </c>
      <c r="R332" s="50" t="n">
        <v>5.147</v>
      </c>
      <c r="S332" s="50" t="n"/>
    </row>
    <row r="333">
      <c r="A333" s="50" t="inlineStr">
        <is>
          <t>1978-04</t>
        </is>
      </c>
      <c r="B333" s="50" t="n">
        <v>53.5</v>
      </c>
      <c r="C333" s="50" t="n">
        <v>-6.469</v>
      </c>
      <c r="D333" s="50" t="n"/>
      <c r="E333" s="50" t="n">
        <v>53.1</v>
      </c>
      <c r="F333" s="50" t="n">
        <v>-5.516</v>
      </c>
      <c r="G333" s="50" t="n"/>
      <c r="H333" s="50" t="n">
        <v>65.59999999999999</v>
      </c>
      <c r="I333" s="50" t="n">
        <v>7.541</v>
      </c>
      <c r="J333" s="50" t="n"/>
      <c r="K333" s="50" t="n">
        <v>65.7</v>
      </c>
      <c r="L333" s="50" t="n">
        <v>7.353</v>
      </c>
      <c r="M333" s="50" t="n"/>
      <c r="N333" s="50" t="n"/>
      <c r="O333" s="50" t="n"/>
      <c r="P333" s="50" t="n"/>
      <c r="Q333" s="50" t="n">
        <v>71.5</v>
      </c>
      <c r="R333" s="50" t="n">
        <v>3.026</v>
      </c>
      <c r="S333" s="50" t="n"/>
    </row>
    <row r="334">
      <c r="A334" s="50" t="inlineStr">
        <is>
          <t>1978-05</t>
        </is>
      </c>
      <c r="B334" s="50" t="n">
        <v>54.3</v>
      </c>
      <c r="C334" s="50" t="n">
        <v>-4.233</v>
      </c>
      <c r="D334" s="50" t="n"/>
      <c r="E334" s="50" t="n">
        <v>55.3</v>
      </c>
      <c r="F334" s="50" t="n">
        <v>-3.49</v>
      </c>
      <c r="G334" s="50" t="n"/>
      <c r="H334" s="50" t="n">
        <v>66.09999999999999</v>
      </c>
      <c r="I334" s="50" t="n">
        <v>7.655</v>
      </c>
      <c r="J334" s="50" t="n"/>
      <c r="K334" s="50" t="n">
        <v>66.2</v>
      </c>
      <c r="L334" s="50" t="n">
        <v>7.642</v>
      </c>
      <c r="M334" s="50" t="n"/>
      <c r="N334" s="50" t="n"/>
      <c r="O334" s="50" t="n"/>
      <c r="P334" s="50" t="n"/>
      <c r="Q334" s="50" t="n">
        <v>71</v>
      </c>
      <c r="R334" s="50" t="n">
        <v>2.158</v>
      </c>
      <c r="S334" s="50" t="n"/>
    </row>
    <row r="335">
      <c r="A335" s="50" t="inlineStr">
        <is>
          <t>1978-06</t>
        </is>
      </c>
      <c r="B335" s="50" t="n">
        <v>55.5</v>
      </c>
      <c r="C335" s="50" t="n">
        <v>-0.538</v>
      </c>
      <c r="D335" s="50" t="n"/>
      <c r="E335" s="50" t="n">
        <v>57.3</v>
      </c>
      <c r="F335" s="50" t="n">
        <v>-0.521</v>
      </c>
      <c r="G335" s="50" t="n"/>
      <c r="H335" s="50" t="n">
        <v>66.7</v>
      </c>
      <c r="I335" s="50" t="n">
        <v>8.103999999999999</v>
      </c>
      <c r="J335" s="50" t="n"/>
      <c r="K335" s="50" t="n">
        <v>66.7</v>
      </c>
      <c r="L335" s="50" t="n">
        <v>8.103999999999999</v>
      </c>
      <c r="M335" s="50" t="n"/>
      <c r="N335" s="50" t="n"/>
      <c r="O335" s="50" t="n"/>
      <c r="P335" s="50" t="n"/>
      <c r="Q335" s="50" t="n">
        <v>71.09999999999999</v>
      </c>
      <c r="R335" s="50" t="n">
        <v>1.282</v>
      </c>
      <c r="S335" s="50" t="n"/>
    </row>
    <row r="336">
      <c r="A336" s="50" t="inlineStr">
        <is>
          <t>1978-07</t>
        </is>
      </c>
      <c r="B336" s="50" t="n">
        <v>56.6</v>
      </c>
      <c r="C336" s="50" t="n">
        <v>3.097</v>
      </c>
      <c r="D336" s="50" t="n"/>
      <c r="E336" s="50" t="n">
        <v>58.7</v>
      </c>
      <c r="F336" s="50" t="n">
        <v>2.802</v>
      </c>
      <c r="G336" s="50" t="n"/>
      <c r="H336" s="50" t="n">
        <v>67.2</v>
      </c>
      <c r="I336" s="50" t="n">
        <v>8.212999999999999</v>
      </c>
      <c r="J336" s="50" t="n"/>
      <c r="K336" s="50" t="n">
        <v>67.09999999999999</v>
      </c>
      <c r="L336" s="50" t="n">
        <v>8.226000000000001</v>
      </c>
      <c r="M336" s="50" t="n"/>
      <c r="N336" s="50" t="n"/>
      <c r="O336" s="50" t="n"/>
      <c r="P336" s="50" t="n"/>
      <c r="Q336" s="50" t="n">
        <v>71.3</v>
      </c>
      <c r="R336" s="50" t="n">
        <v>1.135</v>
      </c>
      <c r="S336" s="50" t="n"/>
    </row>
    <row r="337">
      <c r="A337" s="50" t="inlineStr">
        <is>
          <t>1978-08</t>
        </is>
      </c>
      <c r="B337" s="50" t="n">
        <v>57.4</v>
      </c>
      <c r="C337" s="50" t="n">
        <v>6.494</v>
      </c>
      <c r="D337" s="50" t="n"/>
      <c r="E337" s="50" t="n">
        <v>58.9</v>
      </c>
      <c r="F337" s="50" t="n">
        <v>5.556</v>
      </c>
      <c r="G337" s="50" t="n"/>
      <c r="H337" s="50" t="n">
        <v>67.7</v>
      </c>
      <c r="I337" s="50" t="n">
        <v>8.32</v>
      </c>
      <c r="J337" s="50" t="n"/>
      <c r="K337" s="50" t="n">
        <v>67.59999999999999</v>
      </c>
      <c r="L337" s="50" t="n">
        <v>8.333</v>
      </c>
      <c r="M337" s="50" t="n"/>
      <c r="N337" s="50" t="n"/>
      <c r="O337" s="50" t="n"/>
      <c r="P337" s="50" t="n"/>
      <c r="Q337" s="50" t="n">
        <v>71.3</v>
      </c>
      <c r="R337" s="50" t="n">
        <v>0.5639999999999999</v>
      </c>
      <c r="S337" s="50" t="n"/>
    </row>
    <row r="338">
      <c r="A338" s="50" t="inlineStr">
        <is>
          <t>1978-09</t>
        </is>
      </c>
      <c r="B338" s="50" t="n">
        <v>57.9</v>
      </c>
      <c r="C338" s="50" t="n">
        <v>8.427</v>
      </c>
      <c r="D338" s="50" t="n"/>
      <c r="E338" s="50" t="n">
        <v>58.7</v>
      </c>
      <c r="F338" s="50" t="n">
        <v>7.509</v>
      </c>
      <c r="G338" s="50" t="n"/>
      <c r="H338" s="50" t="n">
        <v>68.2</v>
      </c>
      <c r="I338" s="50" t="n">
        <v>8.426</v>
      </c>
      <c r="J338" s="50" t="n"/>
      <c r="K338" s="50" t="n">
        <v>68.2</v>
      </c>
      <c r="L338" s="50" t="n">
        <v>8.599</v>
      </c>
      <c r="M338" s="50" t="n"/>
      <c r="N338" s="50" t="n"/>
      <c r="O338" s="50" t="n"/>
      <c r="P338" s="50" t="n"/>
      <c r="Q338" s="50" t="n">
        <v>72</v>
      </c>
      <c r="R338" s="50" t="n">
        <v>0.5590000000000001</v>
      </c>
      <c r="S338" s="50" t="n"/>
    </row>
    <row r="339">
      <c r="A339" s="50" t="inlineStr">
        <is>
          <t>1978-10</t>
        </is>
      </c>
      <c r="B339" s="50" t="n">
        <v>58.4</v>
      </c>
      <c r="C339" s="50" t="n">
        <v>10.816</v>
      </c>
      <c r="D339" s="50" t="n"/>
      <c r="E339" s="50" t="n">
        <v>58.5</v>
      </c>
      <c r="F339" s="50" t="n">
        <v>9.756</v>
      </c>
      <c r="G339" s="50" t="n"/>
      <c r="H339" s="50" t="n">
        <v>68.90000000000001</v>
      </c>
      <c r="I339" s="50" t="n">
        <v>9.192</v>
      </c>
      <c r="J339" s="50" t="n"/>
      <c r="K339" s="50" t="n">
        <v>68.8</v>
      </c>
      <c r="L339" s="50" t="n">
        <v>9.032999999999999</v>
      </c>
      <c r="M339" s="50" t="n"/>
      <c r="N339" s="50" t="n"/>
      <c r="O339" s="50" t="n"/>
      <c r="P339" s="50" t="n"/>
      <c r="Q339" s="50" t="n">
        <v>72.5</v>
      </c>
      <c r="R339" s="50" t="n">
        <v>1.969</v>
      </c>
      <c r="S339" s="50" t="n"/>
    </row>
    <row r="340">
      <c r="A340" s="50" t="inlineStr">
        <is>
          <t>1978-11</t>
        </is>
      </c>
      <c r="B340" s="50" t="n">
        <v>58.8</v>
      </c>
      <c r="C340" s="50" t="n">
        <v>11.787</v>
      </c>
      <c r="D340" s="50" t="n"/>
      <c r="E340" s="50" t="n">
        <v>58.3</v>
      </c>
      <c r="F340" s="50" t="n">
        <v>11.26</v>
      </c>
      <c r="G340" s="50" t="n"/>
      <c r="H340" s="50" t="n">
        <v>69.40000000000001</v>
      </c>
      <c r="I340" s="50" t="n">
        <v>9.464</v>
      </c>
      <c r="J340" s="50" t="n"/>
      <c r="K340" s="50" t="n">
        <v>69.3</v>
      </c>
      <c r="L340" s="50" t="n">
        <v>9.305999999999999</v>
      </c>
      <c r="M340" s="50" t="n"/>
      <c r="N340" s="50" t="n"/>
      <c r="O340" s="50" t="n"/>
      <c r="P340" s="50" t="n"/>
      <c r="Q340" s="50" t="n">
        <v>73.2</v>
      </c>
      <c r="R340" s="50" t="n">
        <v>2.809</v>
      </c>
      <c r="S340" s="50" t="n"/>
    </row>
    <row r="341">
      <c r="A341" s="50" t="inlineStr">
        <is>
          <t>1978-12</t>
        </is>
      </c>
      <c r="B341" s="50" t="n">
        <v>59.1</v>
      </c>
      <c r="C341" s="50" t="n">
        <v>13.218</v>
      </c>
      <c r="D341" s="50" t="n"/>
      <c r="E341" s="50" t="n">
        <v>58.1</v>
      </c>
      <c r="F341" s="50" t="n">
        <v>13.699</v>
      </c>
      <c r="G341" s="50" t="n"/>
      <c r="H341" s="50" t="n">
        <v>69.90000000000001</v>
      </c>
      <c r="I341" s="50" t="n">
        <v>9.048</v>
      </c>
      <c r="J341" s="50" t="n"/>
      <c r="K341" s="50" t="n">
        <v>69.7</v>
      </c>
      <c r="L341" s="50" t="n">
        <v>9.077</v>
      </c>
      <c r="M341" s="50" t="n"/>
      <c r="N341" s="50" t="n"/>
      <c r="O341" s="50" t="n"/>
      <c r="P341" s="50" t="n"/>
      <c r="Q341" s="50" t="n">
        <v>73.7</v>
      </c>
      <c r="R341" s="50" t="n">
        <v>3.511</v>
      </c>
      <c r="S341" s="50" t="n"/>
    </row>
    <row r="342">
      <c r="A342" s="50" t="inlineStr">
        <is>
          <t>1979-01</t>
        </is>
      </c>
      <c r="B342" s="50" t="n">
        <v>57.9</v>
      </c>
      <c r="C342" s="50" t="n">
        <v>10.076</v>
      </c>
      <c r="D342" s="50" t="n"/>
      <c r="E342" s="50" t="n">
        <v>58</v>
      </c>
      <c r="F342" s="50" t="n">
        <v>14.173</v>
      </c>
      <c r="G342" s="50" t="n"/>
      <c r="H342" s="50" t="n">
        <v>70.40000000000001</v>
      </c>
      <c r="I342" s="50" t="n">
        <v>9.147</v>
      </c>
      <c r="J342" s="50" t="n"/>
      <c r="K342" s="50" t="n">
        <v>70.3</v>
      </c>
      <c r="L342" s="50" t="n">
        <v>9.161</v>
      </c>
      <c r="M342" s="50" t="n"/>
      <c r="N342" s="50" t="n"/>
      <c r="O342" s="50" t="n"/>
      <c r="P342" s="50" t="n"/>
      <c r="Q342" s="50" t="n">
        <v>73.5</v>
      </c>
      <c r="R342" s="50" t="n">
        <v>2.941</v>
      </c>
      <c r="S342" s="50" t="n"/>
    </row>
    <row r="343">
      <c r="A343" s="50" t="inlineStr">
        <is>
          <t>1979-02</t>
        </is>
      </c>
      <c r="B343" s="50" t="n">
        <v>58.7</v>
      </c>
      <c r="C343" s="50" t="n">
        <v>11.174</v>
      </c>
      <c r="D343" s="50" t="n"/>
      <c r="E343" s="50" t="n">
        <v>57.9</v>
      </c>
      <c r="F343" s="50" t="n">
        <v>13.752</v>
      </c>
      <c r="G343" s="50" t="n"/>
      <c r="H343" s="50" t="n">
        <v>71</v>
      </c>
      <c r="I343" s="50" t="n">
        <v>9.231</v>
      </c>
      <c r="J343" s="50" t="n"/>
      <c r="K343" s="50" t="n">
        <v>71.09999999999999</v>
      </c>
      <c r="L343" s="50" t="n">
        <v>9.217000000000001</v>
      </c>
      <c r="M343" s="50" t="n"/>
      <c r="N343" s="50" t="n"/>
      <c r="O343" s="50" t="n"/>
      <c r="P343" s="50" t="n"/>
      <c r="Q343" s="50" t="n">
        <v>73.7</v>
      </c>
      <c r="R343" s="50" t="n">
        <v>2.789</v>
      </c>
      <c r="S343" s="50" t="n"/>
    </row>
    <row r="344">
      <c r="A344" s="50" t="inlineStr">
        <is>
          <t>1979-03</t>
        </is>
      </c>
      <c r="B344" s="50" t="n">
        <v>59.9</v>
      </c>
      <c r="C344" s="50" t="n">
        <v>12.806</v>
      </c>
      <c r="D344" s="50" t="n"/>
      <c r="E344" s="50" t="n">
        <v>58.5</v>
      </c>
      <c r="F344" s="50" t="n">
        <v>13.372</v>
      </c>
      <c r="G344" s="50" t="n"/>
      <c r="H344" s="50" t="n">
        <v>71.7</v>
      </c>
      <c r="I344" s="50" t="n">
        <v>9.968999999999999</v>
      </c>
      <c r="J344" s="50" t="n"/>
      <c r="K344" s="50" t="n">
        <v>71.8</v>
      </c>
      <c r="L344" s="50" t="n">
        <v>9.786</v>
      </c>
      <c r="M344" s="50" t="n"/>
      <c r="N344" s="50" t="n"/>
      <c r="O344" s="50" t="n"/>
      <c r="P344" s="50" t="n"/>
      <c r="Q344" s="50" t="n">
        <v>74.09999999999999</v>
      </c>
      <c r="R344" s="50" t="n">
        <v>3.636</v>
      </c>
      <c r="S344" s="50" t="n"/>
    </row>
    <row r="345">
      <c r="A345" s="50" t="inlineStr">
        <is>
          <t>1979-04</t>
        </is>
      </c>
      <c r="B345" s="50" t="n">
        <v>61.2</v>
      </c>
      <c r="C345" s="50" t="n">
        <v>14.393</v>
      </c>
      <c r="D345" s="50" t="n"/>
      <c r="E345" s="50" t="n">
        <v>59.9</v>
      </c>
      <c r="F345" s="50" t="n">
        <v>12.806</v>
      </c>
      <c r="G345" s="50" t="n"/>
      <c r="H345" s="50" t="n">
        <v>72.3</v>
      </c>
      <c r="I345" s="50" t="n">
        <v>10.213</v>
      </c>
      <c r="J345" s="50" t="n"/>
      <c r="K345" s="50" t="n">
        <v>72.40000000000001</v>
      </c>
      <c r="L345" s="50" t="n">
        <v>10.198</v>
      </c>
      <c r="M345" s="50" t="n"/>
      <c r="N345" s="50" t="n"/>
      <c r="O345" s="50" t="n"/>
      <c r="P345" s="50" t="n"/>
      <c r="Q345" s="50" t="n">
        <v>74.5</v>
      </c>
      <c r="R345" s="50" t="n">
        <v>4.196</v>
      </c>
      <c r="S345" s="50" t="n"/>
    </row>
    <row r="346">
      <c r="A346" s="50" t="inlineStr">
        <is>
          <t>1979-05</t>
        </is>
      </c>
      <c r="B346" s="50" t="n">
        <v>62.3</v>
      </c>
      <c r="C346" s="50" t="n">
        <v>14.733</v>
      </c>
      <c r="D346" s="50" t="n"/>
      <c r="E346" s="50" t="n">
        <v>61.5</v>
      </c>
      <c r="F346" s="50" t="n">
        <v>11.212</v>
      </c>
      <c r="G346" s="50" t="n"/>
      <c r="H346" s="50" t="n">
        <v>72.90000000000001</v>
      </c>
      <c r="I346" s="50" t="n">
        <v>10.287</v>
      </c>
      <c r="J346" s="50" t="n"/>
      <c r="K346" s="50" t="n">
        <v>73</v>
      </c>
      <c r="L346" s="50" t="n">
        <v>10.272</v>
      </c>
      <c r="M346" s="50" t="n"/>
      <c r="N346" s="50" t="n"/>
      <c r="O346" s="50" t="n"/>
      <c r="P346" s="50" t="n"/>
      <c r="Q346" s="50" t="n">
        <v>75.09999999999999</v>
      </c>
      <c r="R346" s="50" t="n">
        <v>5.775</v>
      </c>
      <c r="S346" s="50" t="n"/>
    </row>
    <row r="347">
      <c r="A347" s="50" t="inlineStr">
        <is>
          <t>1979-06</t>
        </is>
      </c>
      <c r="B347" s="50" t="n">
        <v>62.8</v>
      </c>
      <c r="C347" s="50" t="n">
        <v>13.153</v>
      </c>
      <c r="D347" s="50" t="n"/>
      <c r="E347" s="50" t="n">
        <v>62.6</v>
      </c>
      <c r="F347" s="50" t="n">
        <v>9.25</v>
      </c>
      <c r="G347" s="50" t="n"/>
      <c r="H347" s="50" t="n">
        <v>73.5</v>
      </c>
      <c r="I347" s="50" t="n">
        <v>10.195</v>
      </c>
      <c r="J347" s="50" t="n"/>
      <c r="K347" s="50" t="n">
        <v>73.5</v>
      </c>
      <c r="L347" s="50" t="n">
        <v>10.195</v>
      </c>
      <c r="M347" s="50" t="n"/>
      <c r="N347" s="50" t="n"/>
      <c r="O347" s="50" t="n"/>
      <c r="P347" s="50" t="n"/>
      <c r="Q347" s="50" t="n">
        <v>75.40000000000001</v>
      </c>
      <c r="R347" s="50" t="n">
        <v>6.048</v>
      </c>
      <c r="S347" s="50" t="n"/>
    </row>
    <row r="348">
      <c r="A348" s="50" t="inlineStr">
        <is>
          <t>1979-07</t>
        </is>
      </c>
      <c r="B348" s="50" t="n">
        <v>62.3</v>
      </c>
      <c r="C348" s="50" t="n">
        <v>10.071</v>
      </c>
      <c r="D348" s="50" t="n"/>
      <c r="E348" s="50" t="n">
        <v>62.6</v>
      </c>
      <c r="F348" s="50" t="n">
        <v>6.644</v>
      </c>
      <c r="G348" s="50" t="n"/>
      <c r="H348" s="50" t="n">
        <v>74.2</v>
      </c>
      <c r="I348" s="50" t="n">
        <v>10.417</v>
      </c>
      <c r="J348" s="50" t="n"/>
      <c r="K348" s="50" t="n">
        <v>74.09999999999999</v>
      </c>
      <c r="L348" s="50" t="n">
        <v>10.432</v>
      </c>
      <c r="M348" s="50" t="n"/>
      <c r="N348" s="50" t="n"/>
      <c r="O348" s="50" t="n"/>
      <c r="P348" s="50" t="n"/>
      <c r="Q348" s="50" t="n">
        <v>76</v>
      </c>
      <c r="R348" s="50" t="n">
        <v>6.592</v>
      </c>
      <c r="S348" s="50" t="n"/>
    </row>
    <row r="349">
      <c r="A349" s="50" t="inlineStr">
        <is>
          <t>1979-08</t>
        </is>
      </c>
      <c r="B349" s="50" t="n">
        <v>61.3</v>
      </c>
      <c r="C349" s="50" t="n">
        <v>6.794</v>
      </c>
      <c r="D349" s="50" t="n"/>
      <c r="E349" s="50" t="n">
        <v>62</v>
      </c>
      <c r="F349" s="50" t="n">
        <v>5.263</v>
      </c>
      <c r="G349" s="50" t="n"/>
      <c r="H349" s="50" t="n">
        <v>74.7</v>
      </c>
      <c r="I349" s="50" t="n">
        <v>10.34</v>
      </c>
      <c r="J349" s="50" t="n"/>
      <c r="K349" s="50" t="n">
        <v>74.7</v>
      </c>
      <c r="L349" s="50" t="n">
        <v>10.503</v>
      </c>
      <c r="M349" s="50" t="n"/>
      <c r="N349" s="50" t="n"/>
      <c r="O349" s="50" t="n"/>
      <c r="P349" s="50" t="n"/>
      <c r="Q349" s="50" t="n">
        <v>77</v>
      </c>
      <c r="R349" s="50" t="n">
        <v>7.994</v>
      </c>
      <c r="S349" s="50" t="n"/>
    </row>
    <row r="350">
      <c r="A350" s="50" t="inlineStr">
        <is>
          <t>1979-09</t>
        </is>
      </c>
      <c r="B350" s="50" t="n">
        <v>60.1</v>
      </c>
      <c r="C350" s="50" t="n">
        <v>3.8</v>
      </c>
      <c r="D350" s="50" t="n"/>
      <c r="E350" s="50" t="n">
        <v>60.8</v>
      </c>
      <c r="F350" s="50" t="n">
        <v>3.578</v>
      </c>
      <c r="G350" s="50" t="n"/>
      <c r="H350" s="50" t="n">
        <v>75.09999999999999</v>
      </c>
      <c r="I350" s="50" t="n">
        <v>10.117</v>
      </c>
      <c r="J350" s="50" t="n"/>
      <c r="K350" s="50" t="n">
        <v>75.09999999999999</v>
      </c>
      <c r="L350" s="50" t="n">
        <v>10.117</v>
      </c>
      <c r="M350" s="50" t="n"/>
      <c r="N350" s="50" t="n"/>
      <c r="O350" s="50" t="n"/>
      <c r="P350" s="50" t="n"/>
      <c r="Q350" s="50" t="n">
        <v>77.40000000000001</v>
      </c>
      <c r="R350" s="50" t="n">
        <v>7.5</v>
      </c>
      <c r="S350" s="50" t="n"/>
    </row>
    <row r="351">
      <c r="A351" s="50" t="inlineStr">
        <is>
          <t>1979-10</t>
        </is>
      </c>
      <c r="B351" s="50" t="n">
        <v>59</v>
      </c>
      <c r="C351" s="50" t="n">
        <v>1.027</v>
      </c>
      <c r="D351" s="50" t="n"/>
      <c r="E351" s="50" t="n">
        <v>59.9</v>
      </c>
      <c r="F351" s="50" t="n">
        <v>2.393</v>
      </c>
      <c r="G351" s="50" t="n"/>
      <c r="H351" s="50" t="n">
        <v>75.7</v>
      </c>
      <c r="I351" s="50" t="n">
        <v>9.869</v>
      </c>
      <c r="J351" s="50" t="n"/>
      <c r="K351" s="50" t="n">
        <v>75.7</v>
      </c>
      <c r="L351" s="50" t="n">
        <v>10.029</v>
      </c>
      <c r="M351" s="50" t="n"/>
      <c r="N351" s="50" t="n"/>
      <c r="O351" s="50" t="n"/>
      <c r="P351" s="50" t="n"/>
      <c r="Q351" s="50" t="n">
        <v>77.5</v>
      </c>
      <c r="R351" s="50" t="n">
        <v>6.897</v>
      </c>
      <c r="S351" s="50" t="n"/>
    </row>
    <row r="352">
      <c r="A352" s="50" t="inlineStr">
        <is>
          <t>1979-11</t>
        </is>
      </c>
      <c r="B352" s="50" t="n">
        <v>58.3</v>
      </c>
      <c r="C352" s="50" t="n">
        <v>-0.85</v>
      </c>
      <c r="D352" s="50" t="n"/>
      <c r="E352" s="50" t="n">
        <v>59.4</v>
      </c>
      <c r="F352" s="50" t="n">
        <v>1.887</v>
      </c>
      <c r="G352" s="50" t="n"/>
      <c r="H352" s="50" t="n">
        <v>76.2</v>
      </c>
      <c r="I352" s="50" t="n">
        <v>9.798</v>
      </c>
      <c r="J352" s="50" t="n"/>
      <c r="K352" s="50" t="n">
        <v>76.2</v>
      </c>
      <c r="L352" s="50" t="n">
        <v>9.957000000000001</v>
      </c>
      <c r="M352" s="50" t="n"/>
      <c r="N352" s="50" t="n"/>
      <c r="O352" s="50" t="n"/>
      <c r="P352" s="50" t="n"/>
      <c r="Q352" s="50" t="n">
        <v>77.59999999999999</v>
      </c>
      <c r="R352" s="50" t="n">
        <v>6.011</v>
      </c>
      <c r="S352" s="50" t="n"/>
    </row>
    <row r="353">
      <c r="A353" s="50" t="inlineStr">
        <is>
          <t>1979-12</t>
        </is>
      </c>
      <c r="B353" s="50" t="n">
        <v>58.6</v>
      </c>
      <c r="C353" s="50" t="n">
        <v>-0.846</v>
      </c>
      <c r="D353" s="50" t="n"/>
      <c r="E353" s="50" t="n">
        <v>59.4</v>
      </c>
      <c r="F353" s="50" t="n">
        <v>2.238</v>
      </c>
      <c r="G353" s="50" t="n"/>
      <c r="H353" s="50" t="n">
        <v>76.90000000000001</v>
      </c>
      <c r="I353" s="50" t="n">
        <v>10.014</v>
      </c>
      <c r="J353" s="50" t="n"/>
      <c r="K353" s="50" t="n">
        <v>76.8</v>
      </c>
      <c r="L353" s="50" t="n">
        <v>10.187</v>
      </c>
      <c r="M353" s="50" t="n"/>
      <c r="N353" s="50" t="n"/>
      <c r="O353" s="50" t="n"/>
      <c r="P353" s="50" t="n"/>
      <c r="Q353" s="50" t="n">
        <v>78</v>
      </c>
      <c r="R353" s="50" t="n">
        <v>5.834</v>
      </c>
      <c r="S353" s="50" t="n"/>
    </row>
    <row r="354">
      <c r="A354" s="50" t="inlineStr">
        <is>
          <t>1980-01</t>
        </is>
      </c>
      <c r="B354" s="50" t="n">
        <v>59.1</v>
      </c>
      <c r="C354" s="50" t="n">
        <v>2.073</v>
      </c>
      <c r="D354" s="50" t="n"/>
      <c r="E354" s="50" t="n">
        <v>59.1</v>
      </c>
      <c r="F354" s="50" t="n">
        <v>1.897</v>
      </c>
      <c r="G354" s="50" t="n"/>
      <c r="H354" s="50" t="n">
        <v>77.59999999999999</v>
      </c>
      <c r="I354" s="50" t="n">
        <v>10.227</v>
      </c>
      <c r="J354" s="50" t="n"/>
      <c r="K354" s="50" t="n">
        <v>77.5</v>
      </c>
      <c r="L354" s="50" t="n">
        <v>10.242</v>
      </c>
      <c r="M354" s="50" t="n"/>
      <c r="N354" s="50" t="n"/>
      <c r="O354" s="50" t="n"/>
      <c r="P354" s="50" t="n"/>
      <c r="Q354" s="50" t="n">
        <v>78.59999999999999</v>
      </c>
      <c r="R354" s="50" t="n">
        <v>6.939</v>
      </c>
      <c r="S354" s="50" t="n"/>
    </row>
    <row r="355">
      <c r="A355" s="50" t="inlineStr">
        <is>
          <t>1980-02</t>
        </is>
      </c>
      <c r="B355" s="50" t="n">
        <v>59.4</v>
      </c>
      <c r="C355" s="50" t="n">
        <v>1.193</v>
      </c>
      <c r="D355" s="50" t="n"/>
      <c r="E355" s="50" t="n">
        <v>58.5</v>
      </c>
      <c r="F355" s="50" t="n">
        <v>1.036</v>
      </c>
      <c r="G355" s="50" t="n"/>
      <c r="H355" s="50" t="n">
        <v>78.40000000000001</v>
      </c>
      <c r="I355" s="50" t="n">
        <v>10.423</v>
      </c>
      <c r="J355" s="50" t="n"/>
      <c r="K355" s="50" t="n">
        <v>78.5</v>
      </c>
      <c r="L355" s="50" t="n">
        <v>10.408</v>
      </c>
      <c r="M355" s="50" t="n"/>
      <c r="N355" s="50" t="n"/>
      <c r="O355" s="50" t="n"/>
      <c r="P355" s="50" t="n"/>
      <c r="Q355" s="50" t="n">
        <v>79.7</v>
      </c>
      <c r="R355" s="50" t="n">
        <v>8.141</v>
      </c>
      <c r="S355" s="50" t="n"/>
    </row>
    <row r="356">
      <c r="A356" s="50" t="inlineStr">
        <is>
          <t>1980-03</t>
        </is>
      </c>
      <c r="B356" s="50" t="n">
        <v>59.7</v>
      </c>
      <c r="C356" s="50" t="n">
        <v>-0.334</v>
      </c>
      <c r="D356" s="50" t="n"/>
      <c r="E356" s="50" t="n">
        <v>58.5</v>
      </c>
      <c r="F356" s="50" t="n">
        <v>0</v>
      </c>
      <c r="G356" s="50" t="n"/>
      <c r="H356" s="50" t="n">
        <v>79.09999999999999</v>
      </c>
      <c r="I356" s="50" t="n">
        <v>10.321</v>
      </c>
      <c r="J356" s="50" t="n"/>
      <c r="K356" s="50" t="n">
        <v>79.3</v>
      </c>
      <c r="L356" s="50" t="n">
        <v>10.446</v>
      </c>
      <c r="M356" s="50" t="n"/>
      <c r="N356" s="50" t="n"/>
      <c r="O356" s="50" t="n"/>
      <c r="P356" s="50" t="n"/>
      <c r="Q356" s="50" t="n">
        <v>80.90000000000001</v>
      </c>
      <c r="R356" s="50" t="n">
        <v>9.177</v>
      </c>
      <c r="S356" s="50" t="n"/>
    </row>
    <row r="357">
      <c r="A357" s="50" t="inlineStr">
        <is>
          <t>1980-04</t>
        </is>
      </c>
      <c r="B357" s="50" t="n">
        <v>59.9</v>
      </c>
      <c r="C357" s="50" t="n">
        <v>-2.124</v>
      </c>
      <c r="D357" s="50" t="n"/>
      <c r="E357" s="50" t="n">
        <v>58.9</v>
      </c>
      <c r="F357" s="50" t="n">
        <v>-1.669</v>
      </c>
      <c r="G357" s="50" t="n"/>
      <c r="H357" s="50" t="n">
        <v>80.09999999999999</v>
      </c>
      <c r="I357" s="50" t="n">
        <v>10.788</v>
      </c>
      <c r="J357" s="50" t="n"/>
      <c r="K357" s="50" t="n">
        <v>80.3</v>
      </c>
      <c r="L357" s="50" t="n">
        <v>10.912</v>
      </c>
      <c r="M357" s="50" t="n"/>
      <c r="N357" s="50" t="n"/>
      <c r="O357" s="50" t="n"/>
      <c r="P357" s="50" t="n"/>
      <c r="Q357" s="50" t="n">
        <v>81.3</v>
      </c>
      <c r="R357" s="50" t="n">
        <v>9.128</v>
      </c>
      <c r="S357" s="50" t="n"/>
    </row>
    <row r="358">
      <c r="A358" s="50" t="inlineStr">
        <is>
          <t>1980-05</t>
        </is>
      </c>
      <c r="B358" s="50" t="n">
        <v>60.2</v>
      </c>
      <c r="C358" s="50" t="n">
        <v>-3.371</v>
      </c>
      <c r="D358" s="50" t="n"/>
      <c r="E358" s="50" t="n">
        <v>59.7</v>
      </c>
      <c r="F358" s="50" t="n">
        <v>-2.927</v>
      </c>
      <c r="G358" s="50" t="n"/>
      <c r="H358" s="50" t="n">
        <v>80.8</v>
      </c>
      <c r="I358" s="50" t="n">
        <v>10.837</v>
      </c>
      <c r="J358" s="50" t="n"/>
      <c r="K358" s="50" t="n">
        <v>80.90000000000001</v>
      </c>
      <c r="L358" s="50" t="n">
        <v>10.822</v>
      </c>
      <c r="M358" s="50" t="n"/>
      <c r="N358" s="50" t="n"/>
      <c r="O358" s="50" t="n"/>
      <c r="P358" s="50" t="n"/>
      <c r="Q358" s="50" t="n">
        <v>81.90000000000001</v>
      </c>
      <c r="R358" s="50" t="n">
        <v>9.055</v>
      </c>
      <c r="S358" s="50" t="n"/>
    </row>
    <row r="359">
      <c r="A359" s="50" t="inlineStr">
        <is>
          <t>1980-06</t>
        </is>
      </c>
      <c r="B359" s="50" t="n">
        <v>60.3</v>
      </c>
      <c r="C359" s="50" t="n">
        <v>-3.981</v>
      </c>
      <c r="D359" s="50" t="n"/>
      <c r="E359" s="50" t="n">
        <v>60.1</v>
      </c>
      <c r="F359" s="50" t="n">
        <v>-3.994</v>
      </c>
      <c r="G359" s="50" t="n"/>
      <c r="H359" s="50" t="n">
        <v>81.2</v>
      </c>
      <c r="I359" s="50" t="n">
        <v>10.476</v>
      </c>
      <c r="J359" s="50" t="n"/>
      <c r="K359" s="50" t="n">
        <v>81.2</v>
      </c>
      <c r="L359" s="50" t="n">
        <v>10.476</v>
      </c>
      <c r="M359" s="50" t="n"/>
      <c r="N359" s="50" t="n"/>
      <c r="O359" s="50" t="n"/>
      <c r="P359" s="50" t="n"/>
      <c r="Q359" s="50" t="n">
        <v>82.40000000000001</v>
      </c>
      <c r="R359" s="50" t="n">
        <v>9.284000000000001</v>
      </c>
      <c r="S359" s="50" t="n"/>
    </row>
    <row r="360">
      <c r="A360" s="50" t="inlineStr">
        <is>
          <t>1980-07</t>
        </is>
      </c>
      <c r="B360" s="50" t="n">
        <v>60.9</v>
      </c>
      <c r="C360" s="50" t="n">
        <v>-2.247</v>
      </c>
      <c r="D360" s="50" t="n"/>
      <c r="E360" s="50" t="n">
        <v>60.9</v>
      </c>
      <c r="F360" s="50" t="n">
        <v>-2.716</v>
      </c>
      <c r="G360" s="50" t="n"/>
      <c r="H360" s="50" t="n">
        <v>81.8</v>
      </c>
      <c r="I360" s="50" t="n">
        <v>10.243</v>
      </c>
      <c r="J360" s="50" t="n"/>
      <c r="K360" s="50" t="n">
        <v>81.7</v>
      </c>
      <c r="L360" s="50" t="n">
        <v>10.256</v>
      </c>
      <c r="M360" s="50" t="n"/>
      <c r="N360" s="50" t="n"/>
      <c r="O360" s="50" t="n"/>
      <c r="P360" s="50" t="n"/>
      <c r="Q360" s="50" t="n">
        <v>82.59999999999999</v>
      </c>
      <c r="R360" s="50" t="n">
        <v>8.683999999999999</v>
      </c>
      <c r="S360" s="50" t="n"/>
    </row>
    <row r="361">
      <c r="A361" s="50" t="inlineStr">
        <is>
          <t>1980-08</t>
        </is>
      </c>
      <c r="B361" s="50" t="n">
        <v>61.5</v>
      </c>
      <c r="C361" s="50" t="n">
        <v>0.326</v>
      </c>
      <c r="D361" s="50" t="n"/>
      <c r="E361" s="50" t="n">
        <v>61.8</v>
      </c>
      <c r="F361" s="50" t="n">
        <v>-0.323</v>
      </c>
      <c r="G361" s="50" t="n"/>
      <c r="H361" s="50" t="n">
        <v>82.40000000000001</v>
      </c>
      <c r="I361" s="50" t="n">
        <v>10.308</v>
      </c>
      <c r="J361" s="50" t="n"/>
      <c r="K361" s="50" t="n">
        <v>82.40000000000001</v>
      </c>
      <c r="L361" s="50" t="n">
        <v>10.308</v>
      </c>
      <c r="M361" s="50" t="n"/>
      <c r="N361" s="50" t="n"/>
      <c r="O361" s="50" t="n"/>
      <c r="P361" s="50" t="n"/>
      <c r="Q361" s="50" t="n">
        <v>83</v>
      </c>
      <c r="R361" s="50" t="n">
        <v>7.792</v>
      </c>
      <c r="S361" s="50" t="n"/>
    </row>
    <row r="362">
      <c r="A362" s="50" t="inlineStr">
        <is>
          <t>1980-09</t>
        </is>
      </c>
      <c r="B362" s="50" t="n">
        <v>63.7</v>
      </c>
      <c r="C362" s="50" t="n">
        <v>5.99</v>
      </c>
      <c r="D362" s="50" t="n"/>
      <c r="E362" s="50" t="n">
        <v>64.3</v>
      </c>
      <c r="F362" s="50" t="n">
        <v>5.757</v>
      </c>
      <c r="G362" s="50" t="n"/>
      <c r="H362" s="50" t="n">
        <v>83.2</v>
      </c>
      <c r="I362" s="50" t="n">
        <v>10.786</v>
      </c>
      <c r="J362" s="50" t="n"/>
      <c r="K362" s="50" t="n">
        <v>83.2</v>
      </c>
      <c r="L362" s="50" t="n">
        <v>10.786</v>
      </c>
      <c r="M362" s="50" t="n"/>
      <c r="N362" s="50" t="n"/>
      <c r="O362" s="50" t="n"/>
      <c r="P362" s="50" t="n"/>
      <c r="Q362" s="50" t="n">
        <v>83.3</v>
      </c>
      <c r="R362" s="50" t="n">
        <v>7.623</v>
      </c>
      <c r="S362" s="50" t="n"/>
    </row>
    <row r="363">
      <c r="A363" s="50" t="inlineStr">
        <is>
          <t>1980-10</t>
        </is>
      </c>
      <c r="B363" s="50" t="n">
        <v>65.5</v>
      </c>
      <c r="C363" s="50" t="n">
        <v>11.017</v>
      </c>
      <c r="D363" s="50" t="n"/>
      <c r="E363" s="50" t="n">
        <v>66.7</v>
      </c>
      <c r="F363" s="50" t="n">
        <v>11.352</v>
      </c>
      <c r="G363" s="50" t="n"/>
      <c r="H363" s="50" t="n">
        <v>83.90000000000001</v>
      </c>
      <c r="I363" s="50" t="n">
        <v>10.832</v>
      </c>
      <c r="J363" s="50" t="n"/>
      <c r="K363" s="50" t="n">
        <v>83.90000000000001</v>
      </c>
      <c r="L363" s="50" t="n">
        <v>10.832</v>
      </c>
      <c r="M363" s="50" t="n"/>
      <c r="N363" s="50" t="n"/>
      <c r="O363" s="50" t="n"/>
      <c r="P363" s="50" t="n"/>
      <c r="Q363" s="50" t="n">
        <v>83.40000000000001</v>
      </c>
      <c r="R363" s="50" t="n">
        <v>7.613</v>
      </c>
      <c r="S363" s="50" t="n"/>
    </row>
    <row r="364">
      <c r="A364" s="50" t="inlineStr">
        <is>
          <t>1980-11</t>
        </is>
      </c>
      <c r="B364" s="50" t="n">
        <v>67.8</v>
      </c>
      <c r="C364" s="50" t="n">
        <v>16.295</v>
      </c>
      <c r="D364" s="50" t="n"/>
      <c r="E364" s="50" t="n">
        <v>69.09999999999999</v>
      </c>
      <c r="F364" s="50" t="n">
        <v>16.33</v>
      </c>
      <c r="G364" s="50" t="n"/>
      <c r="H364" s="50" t="n">
        <v>84.59999999999999</v>
      </c>
      <c r="I364" s="50" t="n">
        <v>11.024</v>
      </c>
      <c r="J364" s="50" t="n"/>
      <c r="K364" s="50" t="n">
        <v>84.59999999999999</v>
      </c>
      <c r="L364" s="50" t="n">
        <v>11.024</v>
      </c>
      <c r="M364" s="50" t="n"/>
      <c r="N364" s="50" t="n"/>
      <c r="O364" s="50" t="n"/>
      <c r="P364" s="50" t="n"/>
      <c r="Q364" s="50" t="n">
        <v>83.5</v>
      </c>
      <c r="R364" s="50" t="n">
        <v>7.603</v>
      </c>
      <c r="S364" s="50" t="n"/>
    </row>
    <row r="365">
      <c r="A365" s="50" t="inlineStr">
        <is>
          <t>1980-12</t>
        </is>
      </c>
      <c r="B365" s="50" t="n">
        <v>69.09999999999999</v>
      </c>
      <c r="C365" s="50" t="n">
        <v>17.918</v>
      </c>
      <c r="D365" s="50" t="n"/>
      <c r="E365" s="50" t="n">
        <v>70.2</v>
      </c>
      <c r="F365" s="50" t="n">
        <v>18.182</v>
      </c>
      <c r="G365" s="50" t="n"/>
      <c r="H365" s="50" t="n">
        <v>85.3</v>
      </c>
      <c r="I365" s="50" t="n">
        <v>10.923</v>
      </c>
      <c r="J365" s="50" t="n"/>
      <c r="K365" s="50" t="n">
        <v>85.09999999999999</v>
      </c>
      <c r="L365" s="50" t="n">
        <v>10.807</v>
      </c>
      <c r="M365" s="50" t="n"/>
      <c r="N365" s="50" t="n"/>
      <c r="O365" s="50" t="n"/>
      <c r="P365" s="50" t="n"/>
      <c r="Q365" s="50" t="n">
        <v>83.7</v>
      </c>
      <c r="R365" s="50" t="n">
        <v>7.308</v>
      </c>
      <c r="S365" s="50" t="n"/>
    </row>
    <row r="366">
      <c r="A366" s="50" t="inlineStr">
        <is>
          <t>1981-01</t>
        </is>
      </c>
      <c r="B366" s="50" t="n">
        <v>70.3</v>
      </c>
      <c r="C366" s="50" t="n">
        <v>18.951</v>
      </c>
      <c r="D366" s="50" t="n"/>
      <c r="E366" s="50" t="n">
        <v>70.09999999999999</v>
      </c>
      <c r="F366" s="50" t="n">
        <v>18.613</v>
      </c>
      <c r="G366" s="50" t="n"/>
      <c r="H366" s="50" t="n">
        <v>86</v>
      </c>
      <c r="I366" s="50" t="n">
        <v>10.825</v>
      </c>
      <c r="J366" s="50" t="n"/>
      <c r="K366" s="50" t="n">
        <v>85.90000000000001</v>
      </c>
      <c r="L366" s="50" t="n">
        <v>10.839</v>
      </c>
      <c r="M366" s="50" t="n"/>
      <c r="N366" s="50" t="n"/>
      <c r="O366" s="50" t="n"/>
      <c r="P366" s="50" t="n"/>
      <c r="Q366" s="50" t="n">
        <v>83.7</v>
      </c>
      <c r="R366" s="50" t="n">
        <v>6.489</v>
      </c>
      <c r="S366" s="50" t="n"/>
    </row>
    <row r="367">
      <c r="A367" s="50" t="inlineStr">
        <is>
          <t>1981-02</t>
        </is>
      </c>
      <c r="B367" s="50" t="n">
        <v>71.3</v>
      </c>
      <c r="C367" s="50" t="n">
        <v>20.034</v>
      </c>
      <c r="D367" s="50" t="n"/>
      <c r="E367" s="50" t="n">
        <v>70.2</v>
      </c>
      <c r="F367" s="50" t="n">
        <v>20</v>
      </c>
      <c r="G367" s="50" t="n"/>
      <c r="H367" s="50" t="n">
        <v>86.59999999999999</v>
      </c>
      <c r="I367" s="50" t="n">
        <v>10.459</v>
      </c>
      <c r="J367" s="50" t="n"/>
      <c r="K367" s="50" t="n">
        <v>86.7</v>
      </c>
      <c r="L367" s="50" t="n">
        <v>10.446</v>
      </c>
      <c r="M367" s="50" t="n"/>
      <c r="N367" s="50" t="n"/>
      <c r="O367" s="50" t="n"/>
      <c r="P367" s="50" t="n"/>
      <c r="Q367" s="50" t="n">
        <v>84.09999999999999</v>
      </c>
      <c r="R367" s="50" t="n">
        <v>5.521</v>
      </c>
      <c r="S367" s="50" t="n"/>
    </row>
    <row r="368">
      <c r="A368" s="50" t="inlineStr">
        <is>
          <t>1981-03</t>
        </is>
      </c>
      <c r="B368" s="50" t="n">
        <v>72</v>
      </c>
      <c r="C368" s="50" t="n">
        <v>20.603</v>
      </c>
      <c r="D368" s="50" t="n"/>
      <c r="E368" s="50" t="n">
        <v>70.5</v>
      </c>
      <c r="F368" s="50" t="n">
        <v>20.513</v>
      </c>
      <c r="G368" s="50" t="n"/>
      <c r="H368" s="50" t="n">
        <v>87.2</v>
      </c>
      <c r="I368" s="50" t="n">
        <v>10.24</v>
      </c>
      <c r="J368" s="50" t="n"/>
      <c r="K368" s="50" t="n">
        <v>87.40000000000001</v>
      </c>
      <c r="L368" s="50" t="n">
        <v>10.214</v>
      </c>
      <c r="M368" s="50" t="n"/>
      <c r="N368" s="50" t="n"/>
      <c r="O368" s="50" t="n"/>
      <c r="P368" s="50" t="n"/>
      <c r="Q368" s="50" t="n">
        <v>84.40000000000001</v>
      </c>
      <c r="R368" s="50" t="n">
        <v>4.326</v>
      </c>
      <c r="S368" s="50" t="n"/>
    </row>
    <row r="369">
      <c r="A369" s="50" t="inlineStr">
        <is>
          <t>1981-04</t>
        </is>
      </c>
      <c r="B369" s="50" t="n">
        <v>72.40000000000001</v>
      </c>
      <c r="C369" s="50" t="n">
        <v>20.868</v>
      </c>
      <c r="D369" s="50" t="n"/>
      <c r="E369" s="50" t="n">
        <v>71.59999999999999</v>
      </c>
      <c r="F369" s="50" t="n">
        <v>21.562</v>
      </c>
      <c r="G369" s="50" t="n"/>
      <c r="H369" s="50" t="n">
        <v>87.7</v>
      </c>
      <c r="I369" s="50" t="n">
        <v>9.488</v>
      </c>
      <c r="J369" s="50" t="n"/>
      <c r="K369" s="50" t="n">
        <v>87.8</v>
      </c>
      <c r="L369" s="50" t="n">
        <v>9.34</v>
      </c>
      <c r="M369" s="50" t="n"/>
      <c r="N369" s="50" t="n"/>
      <c r="O369" s="50" t="n"/>
      <c r="P369" s="50" t="n"/>
      <c r="Q369" s="50" t="n">
        <v>84.8</v>
      </c>
      <c r="R369" s="50" t="n">
        <v>4.305</v>
      </c>
      <c r="S369" s="50" t="n"/>
    </row>
    <row r="370">
      <c r="A370" s="50" t="inlineStr">
        <is>
          <t>1981-05</t>
        </is>
      </c>
      <c r="B370" s="50" t="n">
        <v>73.8</v>
      </c>
      <c r="C370" s="50" t="n">
        <v>22.591</v>
      </c>
      <c r="D370" s="50" t="n"/>
      <c r="E370" s="50" t="n">
        <v>73.40000000000001</v>
      </c>
      <c r="F370" s="50" t="n">
        <v>22.948</v>
      </c>
      <c r="G370" s="50" t="n"/>
      <c r="H370" s="50" t="n">
        <v>88.2</v>
      </c>
      <c r="I370" s="50" t="n">
        <v>9.157999999999999</v>
      </c>
      <c r="J370" s="50" t="n"/>
      <c r="K370" s="50" t="n">
        <v>88.40000000000001</v>
      </c>
      <c r="L370" s="50" t="n">
        <v>9.271000000000001</v>
      </c>
      <c r="M370" s="50" t="n"/>
      <c r="N370" s="50" t="n"/>
      <c r="O370" s="50" t="n"/>
      <c r="P370" s="50" t="n"/>
      <c r="Q370" s="50" t="n">
        <v>85.2</v>
      </c>
      <c r="R370" s="50" t="n">
        <v>4.029</v>
      </c>
      <c r="S370" s="50" t="n"/>
    </row>
    <row r="371">
      <c r="A371" s="50" t="inlineStr">
        <is>
          <t>1981-06</t>
        </is>
      </c>
      <c r="B371" s="50" t="n">
        <v>75.59999999999999</v>
      </c>
      <c r="C371" s="50" t="n">
        <v>25.373</v>
      </c>
      <c r="D371" s="50" t="n"/>
      <c r="E371" s="50" t="n">
        <v>75.7</v>
      </c>
      <c r="F371" s="50" t="n">
        <v>25.957</v>
      </c>
      <c r="G371" s="50" t="n"/>
      <c r="H371" s="50" t="n">
        <v>88.7</v>
      </c>
      <c r="I371" s="50" t="n">
        <v>9.236000000000001</v>
      </c>
      <c r="J371" s="50" t="n"/>
      <c r="K371" s="50" t="n">
        <v>88.7</v>
      </c>
      <c r="L371" s="50" t="n">
        <v>9.236000000000001</v>
      </c>
      <c r="M371" s="50" t="n"/>
      <c r="N371" s="50" t="n"/>
      <c r="O371" s="50" t="n"/>
      <c r="P371" s="50" t="n"/>
      <c r="Q371" s="50" t="n">
        <v>85.40000000000001</v>
      </c>
      <c r="R371" s="50" t="n">
        <v>3.641</v>
      </c>
      <c r="S371" s="50" t="n"/>
    </row>
    <row r="372">
      <c r="A372" s="50" t="inlineStr">
        <is>
          <t>1981-07</t>
        </is>
      </c>
      <c r="B372" s="50" t="n">
        <v>77.5</v>
      </c>
      <c r="C372" s="50" t="n">
        <v>27.258</v>
      </c>
      <c r="D372" s="50" t="n"/>
      <c r="E372" s="50" t="n">
        <v>77.90000000000001</v>
      </c>
      <c r="F372" s="50" t="n">
        <v>27.915</v>
      </c>
      <c r="G372" s="50" t="n"/>
      <c r="H372" s="50" t="n">
        <v>89.3</v>
      </c>
      <c r="I372" s="50" t="n">
        <v>9.169</v>
      </c>
      <c r="J372" s="50" t="n"/>
      <c r="K372" s="50" t="n">
        <v>89.2</v>
      </c>
      <c r="L372" s="50" t="n">
        <v>9.18</v>
      </c>
      <c r="M372" s="50" t="n"/>
      <c r="N372" s="50" t="n"/>
      <c r="O372" s="50" t="n"/>
      <c r="P372" s="50" t="n"/>
      <c r="Q372" s="50" t="n">
        <v>86.2</v>
      </c>
      <c r="R372" s="50" t="n">
        <v>4.358</v>
      </c>
      <c r="S372" s="50" t="n"/>
    </row>
    <row r="373">
      <c r="A373" s="50" t="inlineStr">
        <is>
          <t>1981-08</t>
        </is>
      </c>
      <c r="B373" s="50" t="n">
        <v>79.09999999999999</v>
      </c>
      <c r="C373" s="50" t="n">
        <v>28.618</v>
      </c>
      <c r="D373" s="50" t="n"/>
      <c r="E373" s="50" t="n">
        <v>79.90000000000001</v>
      </c>
      <c r="F373" s="50" t="n">
        <v>29.288</v>
      </c>
      <c r="G373" s="50" t="n"/>
      <c r="H373" s="50" t="n">
        <v>89.90000000000001</v>
      </c>
      <c r="I373" s="50" t="n">
        <v>9.102</v>
      </c>
      <c r="J373" s="50" t="n"/>
      <c r="K373" s="50" t="n">
        <v>89.8</v>
      </c>
      <c r="L373" s="50" t="n">
        <v>8.981</v>
      </c>
      <c r="M373" s="50" t="n"/>
      <c r="N373" s="50" t="n"/>
      <c r="O373" s="50" t="n"/>
      <c r="P373" s="50" t="n"/>
      <c r="Q373" s="50" t="n">
        <v>86.3</v>
      </c>
      <c r="R373" s="50" t="n">
        <v>3.976</v>
      </c>
      <c r="S373" s="50" t="n"/>
    </row>
    <row r="374">
      <c r="A374" s="50" t="inlineStr">
        <is>
          <t>1981-09</t>
        </is>
      </c>
      <c r="B374" s="50" t="n">
        <v>80.90000000000001</v>
      </c>
      <c r="C374" s="50" t="n">
        <v>27.002</v>
      </c>
      <c r="D374" s="50" t="n"/>
      <c r="E374" s="50" t="n">
        <v>81.7</v>
      </c>
      <c r="F374" s="50" t="n">
        <v>27.061</v>
      </c>
      <c r="G374" s="50" t="n"/>
      <c r="H374" s="50" t="n">
        <v>90.8</v>
      </c>
      <c r="I374" s="50" t="n">
        <v>9.135</v>
      </c>
      <c r="J374" s="50" t="n"/>
      <c r="K374" s="50" t="n">
        <v>90.8</v>
      </c>
      <c r="L374" s="50" t="n">
        <v>9.135</v>
      </c>
      <c r="M374" s="50" t="n"/>
      <c r="N374" s="50" t="n"/>
      <c r="O374" s="50" t="n"/>
      <c r="P374" s="50" t="n"/>
      <c r="Q374" s="50" t="n">
        <v>86.90000000000001</v>
      </c>
      <c r="R374" s="50" t="n">
        <v>4.322</v>
      </c>
      <c r="S374" s="50" t="n"/>
    </row>
    <row r="375">
      <c r="A375" s="50" t="inlineStr">
        <is>
          <t>1981-10</t>
        </is>
      </c>
      <c r="B375" s="50" t="n">
        <v>82.5</v>
      </c>
      <c r="C375" s="50" t="n">
        <v>25.954</v>
      </c>
      <c r="D375" s="50" t="n"/>
      <c r="E375" s="50" t="n">
        <v>83.3</v>
      </c>
      <c r="F375" s="50" t="n">
        <v>24.888</v>
      </c>
      <c r="G375" s="50" t="n"/>
      <c r="H375" s="50" t="n">
        <v>91.5</v>
      </c>
      <c r="I375" s="50" t="n">
        <v>9.058</v>
      </c>
      <c r="J375" s="50" t="n"/>
      <c r="K375" s="50" t="n">
        <v>91.59999999999999</v>
      </c>
      <c r="L375" s="50" t="n">
        <v>9.178000000000001</v>
      </c>
      <c r="M375" s="50" t="n"/>
      <c r="N375" s="50" t="n"/>
      <c r="O375" s="50" t="n"/>
      <c r="P375" s="50" t="n"/>
      <c r="Q375" s="50" t="n">
        <v>87.7</v>
      </c>
      <c r="R375" s="50" t="n">
        <v>5.156</v>
      </c>
      <c r="S375" s="50" t="n"/>
    </row>
    <row r="376">
      <c r="A376" s="50" t="inlineStr">
        <is>
          <t>1981-11</t>
        </is>
      </c>
      <c r="B376" s="50" t="n">
        <v>83.3</v>
      </c>
      <c r="C376" s="50" t="n">
        <v>22.861</v>
      </c>
      <c r="D376" s="50" t="n"/>
      <c r="E376" s="50" t="n">
        <v>84.3</v>
      </c>
      <c r="F376" s="50" t="n">
        <v>21.997</v>
      </c>
      <c r="G376" s="50" t="n"/>
      <c r="H376" s="50" t="n">
        <v>92</v>
      </c>
      <c r="I376" s="50" t="n">
        <v>8.747</v>
      </c>
      <c r="J376" s="50" t="n"/>
      <c r="K376" s="50" t="n">
        <v>92</v>
      </c>
      <c r="L376" s="50" t="n">
        <v>8.747</v>
      </c>
      <c r="M376" s="50" t="n"/>
      <c r="N376" s="50" t="n"/>
      <c r="O376" s="50" t="n"/>
      <c r="P376" s="50" t="n"/>
      <c r="Q376" s="50" t="n">
        <v>88</v>
      </c>
      <c r="R376" s="50" t="n">
        <v>5.389</v>
      </c>
      <c r="S376" s="50" t="n"/>
    </row>
    <row r="377">
      <c r="A377" s="50" t="inlineStr">
        <is>
          <t>1981-12</t>
        </is>
      </c>
      <c r="B377" s="50" t="n">
        <v>83.59999999999999</v>
      </c>
      <c r="C377" s="50" t="n">
        <v>20.984</v>
      </c>
      <c r="D377" s="50" t="n"/>
      <c r="E377" s="50" t="n">
        <v>84.40000000000001</v>
      </c>
      <c r="F377" s="50" t="n">
        <v>20.228</v>
      </c>
      <c r="G377" s="50" t="n"/>
      <c r="H377" s="50" t="n">
        <v>92.5</v>
      </c>
      <c r="I377" s="50" t="n">
        <v>8.441000000000001</v>
      </c>
      <c r="J377" s="50" t="n"/>
      <c r="K377" s="50" t="n">
        <v>92.40000000000001</v>
      </c>
      <c r="L377" s="50" t="n">
        <v>8.577999999999999</v>
      </c>
      <c r="M377" s="50" t="n"/>
      <c r="N377" s="50" t="n"/>
      <c r="O377" s="50" t="n"/>
      <c r="P377" s="50" t="n"/>
      <c r="Q377" s="50" t="n">
        <v>88.2</v>
      </c>
      <c r="R377" s="50" t="n">
        <v>5.376</v>
      </c>
      <c r="S377" s="50" t="n"/>
    </row>
    <row r="378">
      <c r="A378" s="50" t="inlineStr">
        <is>
          <t>1982-01</t>
        </is>
      </c>
      <c r="B378" s="50" t="n">
        <v>84.2</v>
      </c>
      <c r="C378" s="50" t="n">
        <v>19.772</v>
      </c>
      <c r="D378" s="50" t="n"/>
      <c r="E378" s="50" t="n">
        <v>84</v>
      </c>
      <c r="F378" s="50" t="n">
        <v>19.829</v>
      </c>
      <c r="G378" s="50" t="n"/>
      <c r="H378" s="50" t="n">
        <v>92.8</v>
      </c>
      <c r="I378" s="50" t="n">
        <v>7.907</v>
      </c>
      <c r="J378" s="50" t="n"/>
      <c r="K378" s="50" t="n">
        <v>92.8</v>
      </c>
      <c r="L378" s="50" t="n">
        <v>8.032999999999999</v>
      </c>
      <c r="M378" s="50" t="n"/>
      <c r="N378" s="50" t="n"/>
      <c r="O378" s="50" t="n"/>
      <c r="P378" s="50" t="n"/>
      <c r="Q378" s="50" t="n">
        <v>88.5</v>
      </c>
      <c r="R378" s="50" t="n">
        <v>5.735</v>
      </c>
      <c r="S378" s="50" t="n"/>
    </row>
    <row r="379">
      <c r="A379" s="50" t="inlineStr">
        <is>
          <t>1982-02</t>
        </is>
      </c>
      <c r="B379" s="50" t="n">
        <v>84.90000000000001</v>
      </c>
      <c r="C379" s="50" t="n">
        <v>19.074</v>
      </c>
      <c r="D379" s="50" t="n"/>
      <c r="E379" s="50" t="n">
        <v>83.8</v>
      </c>
      <c r="F379" s="50" t="n">
        <v>19.373</v>
      </c>
      <c r="G379" s="50" t="n"/>
      <c r="H379" s="50" t="n">
        <v>93.5</v>
      </c>
      <c r="I379" s="50" t="n">
        <v>7.968</v>
      </c>
      <c r="J379" s="50" t="n"/>
      <c r="K379" s="50" t="n">
        <v>93.5</v>
      </c>
      <c r="L379" s="50" t="n">
        <v>7.843</v>
      </c>
      <c r="M379" s="50" t="n"/>
      <c r="N379" s="50" t="n"/>
      <c r="O379" s="50" t="n"/>
      <c r="P379" s="50" t="n"/>
      <c r="Q379" s="50" t="n">
        <v>88.90000000000001</v>
      </c>
      <c r="R379" s="50" t="n">
        <v>5.707</v>
      </c>
      <c r="S379" s="50" t="n"/>
    </row>
    <row r="380">
      <c r="A380" s="50" t="inlineStr">
        <is>
          <t>1982-03</t>
        </is>
      </c>
      <c r="B380" s="50" t="n">
        <v>85.8</v>
      </c>
      <c r="C380" s="50" t="n">
        <v>19.167</v>
      </c>
      <c r="D380" s="50" t="n"/>
      <c r="E380" s="50" t="n">
        <v>84.09999999999999</v>
      </c>
      <c r="F380" s="50" t="n">
        <v>19.291</v>
      </c>
      <c r="G380" s="50" t="n"/>
      <c r="H380" s="50" t="n">
        <v>94.3</v>
      </c>
      <c r="I380" s="50" t="n">
        <v>8.141999999999999</v>
      </c>
      <c r="J380" s="50" t="n"/>
      <c r="K380" s="50" t="n">
        <v>94.3</v>
      </c>
      <c r="L380" s="50" t="n">
        <v>7.895</v>
      </c>
      <c r="M380" s="50" t="n"/>
      <c r="N380" s="50" t="n"/>
      <c r="O380" s="50" t="n"/>
      <c r="P380" s="50" t="n"/>
      <c r="Q380" s="50" t="n">
        <v>89.5</v>
      </c>
      <c r="R380" s="50" t="n">
        <v>6.043</v>
      </c>
      <c r="S380" s="50" t="n"/>
    </row>
    <row r="381">
      <c r="A381" s="50" t="inlineStr">
        <is>
          <t>1982-04</t>
        </is>
      </c>
      <c r="B381" s="50" t="n">
        <v>86.7</v>
      </c>
      <c r="C381" s="50" t="n">
        <v>19.751</v>
      </c>
      <c r="D381" s="50" t="n"/>
      <c r="E381" s="50" t="n">
        <v>85.40000000000001</v>
      </c>
      <c r="F381" s="50" t="n">
        <v>19.274</v>
      </c>
      <c r="G381" s="50" t="n"/>
      <c r="H381" s="50" t="n">
        <v>94.8</v>
      </c>
      <c r="I381" s="50" t="n">
        <v>8.096</v>
      </c>
      <c r="J381" s="50" t="n"/>
      <c r="K381" s="50" t="n">
        <v>94.8</v>
      </c>
      <c r="L381" s="50" t="n">
        <v>7.973</v>
      </c>
      <c r="M381" s="50" t="n"/>
      <c r="N381" s="50" t="n"/>
      <c r="O381" s="50" t="n"/>
      <c r="P381" s="50" t="n"/>
      <c r="Q381" s="50" t="n">
        <v>89.7</v>
      </c>
      <c r="R381" s="50" t="n">
        <v>5.778</v>
      </c>
      <c r="S381" s="50" t="n"/>
    </row>
    <row r="382">
      <c r="A382" s="50" t="inlineStr">
        <is>
          <t>1982-05</t>
        </is>
      </c>
      <c r="B382" s="50" t="n">
        <v>87.8</v>
      </c>
      <c r="C382" s="50" t="n">
        <v>18.97</v>
      </c>
      <c r="D382" s="50" t="n"/>
      <c r="E382" s="50" t="n">
        <v>87.3</v>
      </c>
      <c r="F382" s="50" t="n">
        <v>18.937</v>
      </c>
      <c r="G382" s="50" t="n"/>
      <c r="H382" s="50" t="n">
        <v>95.3</v>
      </c>
      <c r="I382" s="50" t="n">
        <v>8.050000000000001</v>
      </c>
      <c r="J382" s="50" t="n"/>
      <c r="K382" s="50" t="n">
        <v>95.3</v>
      </c>
      <c r="L382" s="50" t="n">
        <v>7.805</v>
      </c>
      <c r="M382" s="50" t="n"/>
      <c r="N382" s="50" t="n"/>
      <c r="O382" s="50" t="n"/>
      <c r="P382" s="50" t="n"/>
      <c r="Q382" s="50" t="n">
        <v>90.09999999999999</v>
      </c>
      <c r="R382" s="50" t="n">
        <v>5.751</v>
      </c>
      <c r="S382" s="50" t="n"/>
    </row>
    <row r="383">
      <c r="A383" s="50" t="inlineStr">
        <is>
          <t>1982-06</t>
        </is>
      </c>
      <c r="B383" s="50" t="n">
        <v>89.40000000000001</v>
      </c>
      <c r="C383" s="50" t="n">
        <v>18.254</v>
      </c>
      <c r="D383" s="50" t="n"/>
      <c r="E383" s="50" t="n">
        <v>89.3</v>
      </c>
      <c r="F383" s="50" t="n">
        <v>17.966</v>
      </c>
      <c r="G383" s="50" t="n"/>
      <c r="H383" s="50" t="n">
        <v>96</v>
      </c>
      <c r="I383" s="50" t="n">
        <v>8.23</v>
      </c>
      <c r="J383" s="50" t="n"/>
      <c r="K383" s="50" t="n">
        <v>96</v>
      </c>
      <c r="L383" s="50" t="n">
        <v>8.23</v>
      </c>
      <c r="M383" s="50" t="n"/>
      <c r="N383" s="50" t="n"/>
      <c r="O383" s="50" t="n"/>
      <c r="P383" s="50" t="n"/>
      <c r="Q383" s="50" t="n">
        <v>90.90000000000001</v>
      </c>
      <c r="R383" s="50" t="n">
        <v>6.44</v>
      </c>
      <c r="S383" s="50" t="n"/>
    </row>
    <row r="384">
      <c r="A384" s="50" t="inlineStr">
        <is>
          <t>1982-07</t>
        </is>
      </c>
      <c r="B384" s="50" t="n">
        <v>90.09999999999999</v>
      </c>
      <c r="C384" s="50" t="n">
        <v>16.258</v>
      </c>
      <c r="D384" s="50" t="n"/>
      <c r="E384" s="50" t="n">
        <v>90.59999999999999</v>
      </c>
      <c r="F384" s="50" t="n">
        <v>16.303</v>
      </c>
      <c r="G384" s="50" t="n"/>
      <c r="H384" s="50" t="n">
        <v>96.59999999999999</v>
      </c>
      <c r="I384" s="50" t="n">
        <v>8.175000000000001</v>
      </c>
      <c r="J384" s="50" t="n"/>
      <c r="K384" s="50" t="n">
        <v>96.59999999999999</v>
      </c>
      <c r="L384" s="50" t="n">
        <v>8.295999999999999</v>
      </c>
      <c r="M384" s="50" t="n"/>
      <c r="N384" s="50" t="n"/>
      <c r="O384" s="50" t="n"/>
      <c r="P384" s="50" t="n"/>
      <c r="Q384" s="50" t="n">
        <v>91.3</v>
      </c>
      <c r="R384" s="50" t="n">
        <v>5.916</v>
      </c>
      <c r="S384" s="50" t="n"/>
    </row>
    <row r="385">
      <c r="A385" s="50" t="inlineStr">
        <is>
          <t>1982-08</t>
        </is>
      </c>
      <c r="B385" s="50" t="n">
        <v>90.40000000000001</v>
      </c>
      <c r="C385" s="50" t="n">
        <v>14.286</v>
      </c>
      <c r="D385" s="50" t="n"/>
      <c r="E385" s="50" t="n">
        <v>91.2</v>
      </c>
      <c r="F385" s="50" t="n">
        <v>14.143</v>
      </c>
      <c r="G385" s="50" t="n"/>
      <c r="H385" s="50" t="n">
        <v>97</v>
      </c>
      <c r="I385" s="50" t="n">
        <v>7.898</v>
      </c>
      <c r="J385" s="50" t="n"/>
      <c r="K385" s="50" t="n">
        <v>97</v>
      </c>
      <c r="L385" s="50" t="n">
        <v>8.018000000000001</v>
      </c>
      <c r="M385" s="50" t="n"/>
      <c r="N385" s="50" t="n"/>
      <c r="O385" s="50" t="n"/>
      <c r="P385" s="50" t="n"/>
      <c r="Q385" s="50" t="n">
        <v>91.5</v>
      </c>
      <c r="R385" s="50" t="n">
        <v>6.025</v>
      </c>
      <c r="S385" s="50" t="n"/>
    </row>
    <row r="386">
      <c r="A386" s="50" t="inlineStr">
        <is>
          <t>1982-09</t>
        </is>
      </c>
      <c r="B386" s="50" t="n">
        <v>90.59999999999999</v>
      </c>
      <c r="C386" s="50" t="n">
        <v>11.99</v>
      </c>
      <c r="D386" s="50" t="n"/>
      <c r="E386" s="50" t="n">
        <v>91.2</v>
      </c>
      <c r="F386" s="50" t="n">
        <v>11.628</v>
      </c>
      <c r="G386" s="50" t="n"/>
      <c r="H386" s="50" t="n">
        <v>97.40000000000001</v>
      </c>
      <c r="I386" s="50" t="n">
        <v>7.269</v>
      </c>
      <c r="J386" s="50" t="n"/>
      <c r="K386" s="50" t="n">
        <v>97.40000000000001</v>
      </c>
      <c r="L386" s="50" t="n">
        <v>7.269</v>
      </c>
      <c r="M386" s="50" t="n"/>
      <c r="N386" s="50" t="n"/>
      <c r="O386" s="50" t="n"/>
      <c r="P386" s="50" t="n"/>
      <c r="Q386" s="50" t="n">
        <v>91.8</v>
      </c>
      <c r="R386" s="50" t="n">
        <v>5.639</v>
      </c>
      <c r="S386" s="50" t="n"/>
    </row>
    <row r="387">
      <c r="A387" s="50" t="inlineStr">
        <is>
          <t>1982-10</t>
        </is>
      </c>
      <c r="B387" s="50" t="n">
        <v>90.90000000000001</v>
      </c>
      <c r="C387" s="50" t="n">
        <v>10.182</v>
      </c>
      <c r="D387" s="50" t="n"/>
      <c r="E387" s="50" t="n">
        <v>91.8</v>
      </c>
      <c r="F387" s="50" t="n">
        <v>10.204</v>
      </c>
      <c r="G387" s="50" t="n"/>
      <c r="H387" s="50" t="n">
        <v>97.8</v>
      </c>
      <c r="I387" s="50" t="n">
        <v>6.885</v>
      </c>
      <c r="J387" s="50" t="n"/>
      <c r="K387" s="50" t="n">
        <v>97.8</v>
      </c>
      <c r="L387" s="50" t="n">
        <v>6.769</v>
      </c>
      <c r="M387" s="50" t="n"/>
      <c r="N387" s="50" t="n"/>
      <c r="O387" s="50" t="n"/>
      <c r="P387" s="50" t="n"/>
      <c r="Q387" s="50" t="n">
        <v>94.09999999999999</v>
      </c>
      <c r="R387" s="50" t="n">
        <v>7.298</v>
      </c>
      <c r="S387" s="50" t="n"/>
    </row>
    <row r="388">
      <c r="A388" s="50" t="inlineStr">
        <is>
          <t>1982-11</t>
        </is>
      </c>
      <c r="B388" s="50" t="n">
        <v>91.8</v>
      </c>
      <c r="C388" s="50" t="n">
        <v>10.204</v>
      </c>
      <c r="D388" s="50" t="n"/>
      <c r="E388" s="50" t="n">
        <v>93</v>
      </c>
      <c r="F388" s="50" t="n">
        <v>10.32</v>
      </c>
      <c r="G388" s="50" t="n"/>
      <c r="H388" s="50" t="n">
        <v>97.90000000000001</v>
      </c>
      <c r="I388" s="50" t="n">
        <v>6.413</v>
      </c>
      <c r="J388" s="50" t="n"/>
      <c r="K388" s="50" t="n">
        <v>97.90000000000001</v>
      </c>
      <c r="L388" s="50" t="n">
        <v>6.413</v>
      </c>
      <c r="M388" s="50" t="n"/>
      <c r="N388" s="50" t="n"/>
      <c r="O388" s="50" t="n"/>
      <c r="P388" s="50" t="n"/>
      <c r="Q388" s="50" t="n">
        <v>95.09999999999999</v>
      </c>
      <c r="R388" s="50" t="n">
        <v>8.068</v>
      </c>
      <c r="S388" s="50" t="n"/>
    </row>
    <row r="389">
      <c r="A389" s="50" t="inlineStr">
        <is>
          <t>1982-12</t>
        </is>
      </c>
      <c r="B389" s="50" t="n">
        <v>92.8</v>
      </c>
      <c r="C389" s="50" t="n">
        <v>11.005</v>
      </c>
      <c r="D389" s="50" t="n"/>
      <c r="E389" s="50" t="n">
        <v>93.59999999999999</v>
      </c>
      <c r="F389" s="50" t="n">
        <v>10.9</v>
      </c>
      <c r="G389" s="50" t="n"/>
      <c r="H389" s="50" t="n">
        <v>98.2</v>
      </c>
      <c r="I389" s="50" t="n">
        <v>6.162</v>
      </c>
      <c r="J389" s="50" t="n"/>
      <c r="K389" s="50" t="n">
        <v>98.2</v>
      </c>
      <c r="L389" s="50" t="n">
        <v>6.277</v>
      </c>
      <c r="M389" s="50" t="n"/>
      <c r="N389" s="50" t="n"/>
      <c r="O389" s="50" t="n"/>
      <c r="P389" s="50" t="n"/>
      <c r="Q389" s="50" t="n">
        <v>95.8</v>
      </c>
      <c r="R389" s="50" t="n">
        <v>8.617000000000001</v>
      </c>
      <c r="S389" s="50" t="n"/>
    </row>
    <row r="390">
      <c r="A390" s="50" t="inlineStr">
        <is>
          <t>1983-01</t>
        </is>
      </c>
      <c r="B390" s="50" t="n">
        <v>93.3</v>
      </c>
      <c r="C390" s="50" t="n">
        <v>10.808</v>
      </c>
      <c r="D390" s="50" t="n"/>
      <c r="E390" s="50" t="n">
        <v>93.09999999999999</v>
      </c>
      <c r="F390" s="50" t="n">
        <v>10.833</v>
      </c>
      <c r="G390" s="50" t="n"/>
      <c r="H390" s="50" t="n">
        <v>98.59999999999999</v>
      </c>
      <c r="I390" s="50" t="n">
        <v>6.25</v>
      </c>
      <c r="J390" s="50" t="n"/>
      <c r="K390" s="50" t="n">
        <v>98.59999999999999</v>
      </c>
      <c r="L390" s="50" t="n">
        <v>6.25</v>
      </c>
      <c r="M390" s="50" t="n"/>
      <c r="N390" s="50" t="n"/>
      <c r="O390" s="50" t="n"/>
      <c r="P390" s="50" t="n"/>
      <c r="Q390" s="50" t="n">
        <v>96.8</v>
      </c>
      <c r="R390" s="50" t="n">
        <v>9.379</v>
      </c>
      <c r="S390" s="50" t="n"/>
    </row>
    <row r="391">
      <c r="A391" s="50" t="inlineStr">
        <is>
          <t>1983-02</t>
        </is>
      </c>
      <c r="B391" s="50" t="n">
        <v>94</v>
      </c>
      <c r="C391" s="50" t="n">
        <v>10.718</v>
      </c>
      <c r="D391" s="50" t="n"/>
      <c r="E391" s="50" t="n">
        <v>92.59999999999999</v>
      </c>
      <c r="F391" s="50" t="n">
        <v>10.501</v>
      </c>
      <c r="G391" s="50" t="n"/>
      <c r="H391" s="50" t="n">
        <v>99</v>
      </c>
      <c r="I391" s="50" t="n">
        <v>5.882</v>
      </c>
      <c r="J391" s="50" t="n"/>
      <c r="K391" s="50" t="n">
        <v>99</v>
      </c>
      <c r="L391" s="50" t="n">
        <v>5.882</v>
      </c>
      <c r="M391" s="50" t="n"/>
      <c r="N391" s="50" t="n"/>
      <c r="O391" s="50" t="n"/>
      <c r="P391" s="50" t="n"/>
      <c r="Q391" s="50" t="n">
        <v>98</v>
      </c>
      <c r="R391" s="50" t="n">
        <v>10.236</v>
      </c>
      <c r="S391" s="50" t="n"/>
    </row>
    <row r="392">
      <c r="A392" s="50" t="inlineStr">
        <is>
          <t>1983-03</t>
        </is>
      </c>
      <c r="B392" s="50" t="n">
        <v>94.5</v>
      </c>
      <c r="C392" s="50" t="n">
        <v>10.14</v>
      </c>
      <c r="D392" s="50" t="n"/>
      <c r="E392" s="50" t="n">
        <v>92.59999999999999</v>
      </c>
      <c r="F392" s="50" t="n">
        <v>10.107</v>
      </c>
      <c r="G392" s="50" t="n"/>
      <c r="H392" s="50" t="n">
        <v>99.2</v>
      </c>
      <c r="I392" s="50" t="n">
        <v>5.196</v>
      </c>
      <c r="J392" s="50" t="n"/>
      <c r="K392" s="50" t="n">
        <v>99.2</v>
      </c>
      <c r="L392" s="50" t="n">
        <v>5.196</v>
      </c>
      <c r="M392" s="50" t="n"/>
      <c r="N392" s="50" t="n"/>
      <c r="O392" s="50" t="n"/>
      <c r="P392" s="50" t="n"/>
      <c r="Q392" s="50" t="n">
        <v>98.5</v>
      </c>
      <c r="R392" s="50" t="n">
        <v>10.056</v>
      </c>
      <c r="S392" s="50" t="n"/>
    </row>
    <row r="393">
      <c r="A393" s="50" t="inlineStr">
        <is>
          <t>1983-04</t>
        </is>
      </c>
      <c r="B393" s="50" t="n">
        <v>95</v>
      </c>
      <c r="C393" s="50" t="n">
        <v>9.573</v>
      </c>
      <c r="D393" s="50" t="n"/>
      <c r="E393" s="50" t="n">
        <v>93.59999999999999</v>
      </c>
      <c r="F393" s="50" t="n">
        <v>9.602</v>
      </c>
      <c r="G393" s="50" t="n"/>
      <c r="H393" s="50" t="n">
        <v>99.5</v>
      </c>
      <c r="I393" s="50" t="n">
        <v>4.958</v>
      </c>
      <c r="J393" s="50" t="n"/>
      <c r="K393" s="50" t="n">
        <v>99.5</v>
      </c>
      <c r="L393" s="50" t="n">
        <v>4.958</v>
      </c>
      <c r="M393" s="50" t="n"/>
      <c r="N393" s="50" t="n"/>
      <c r="O393" s="50" t="n"/>
      <c r="P393" s="50" t="n"/>
      <c r="Q393" s="50" t="n">
        <v>99.09999999999999</v>
      </c>
      <c r="R393" s="50" t="n">
        <v>10.479</v>
      </c>
      <c r="S393" s="50" t="n"/>
    </row>
    <row r="394">
      <c r="A394" s="50" t="inlineStr">
        <is>
          <t>1983-05</t>
        </is>
      </c>
      <c r="B394" s="50" t="n">
        <v>95.5</v>
      </c>
      <c r="C394" s="50" t="n">
        <v>8.77</v>
      </c>
      <c r="D394" s="50" t="n"/>
      <c r="E394" s="50" t="n">
        <v>95</v>
      </c>
      <c r="F394" s="50" t="n">
        <v>8.82</v>
      </c>
      <c r="G394" s="50" t="n"/>
      <c r="H394" s="50" t="n">
        <v>99.90000000000001</v>
      </c>
      <c r="I394" s="50" t="n">
        <v>4.827</v>
      </c>
      <c r="J394" s="50" t="n"/>
      <c r="K394" s="50" t="n">
        <v>99.90000000000001</v>
      </c>
      <c r="L394" s="50" t="n">
        <v>4.827</v>
      </c>
      <c r="M394" s="50" t="n"/>
      <c r="N394" s="50" t="n"/>
      <c r="O394" s="50" t="n"/>
      <c r="P394" s="50" t="n"/>
      <c r="Q394" s="50" t="n">
        <v>99.90000000000001</v>
      </c>
      <c r="R394" s="50" t="n">
        <v>10.877</v>
      </c>
      <c r="S394" s="50" t="n"/>
    </row>
    <row r="395">
      <c r="A395" s="50" t="inlineStr">
        <is>
          <t>1983-06</t>
        </is>
      </c>
      <c r="B395" s="50" t="n">
        <v>96.59999999999999</v>
      </c>
      <c r="C395" s="50" t="n">
        <v>8.054</v>
      </c>
      <c r="D395" s="50" t="n"/>
      <c r="E395" s="50" t="n">
        <v>96.59999999999999</v>
      </c>
      <c r="F395" s="50" t="n">
        <v>8.175000000000001</v>
      </c>
      <c r="G395" s="50" t="n"/>
      <c r="H395" s="50" t="n">
        <v>100.1</v>
      </c>
      <c r="I395" s="50" t="n">
        <v>4.271</v>
      </c>
      <c r="J395" s="50" t="n"/>
      <c r="K395" s="50" t="n">
        <v>100.1</v>
      </c>
      <c r="L395" s="50" t="n">
        <v>4.271</v>
      </c>
      <c r="M395" s="50" t="n"/>
      <c r="N395" s="50" t="n"/>
      <c r="O395" s="50" t="n"/>
      <c r="P395" s="50" t="n"/>
      <c r="Q395" s="50" t="n">
        <v>99.8</v>
      </c>
      <c r="R395" s="50" t="n">
        <v>9.791</v>
      </c>
      <c r="S395" s="50" t="n"/>
    </row>
    <row r="396">
      <c r="A396" s="50" t="inlineStr">
        <is>
          <t>1983-07</t>
        </is>
      </c>
      <c r="B396" s="50" t="n">
        <v>98.2</v>
      </c>
      <c r="C396" s="50" t="n">
        <v>8.99</v>
      </c>
      <c r="D396" s="50" t="n"/>
      <c r="E396" s="50" t="n">
        <v>98.7</v>
      </c>
      <c r="F396" s="50" t="n">
        <v>8.94</v>
      </c>
      <c r="G396" s="50" t="n"/>
      <c r="H396" s="50" t="n">
        <v>100.2</v>
      </c>
      <c r="I396" s="50" t="n">
        <v>3.727</v>
      </c>
      <c r="J396" s="50" t="n"/>
      <c r="K396" s="50" t="n">
        <v>100.2</v>
      </c>
      <c r="L396" s="50" t="n">
        <v>3.727</v>
      </c>
      <c r="M396" s="50" t="n"/>
      <c r="N396" s="50" t="n"/>
      <c r="O396" s="50" t="n"/>
      <c r="P396" s="50" t="n"/>
      <c r="Q396" s="50" t="n">
        <v>100.3</v>
      </c>
      <c r="R396" s="50" t="n">
        <v>9.858000000000001</v>
      </c>
      <c r="S396" s="50" t="n"/>
    </row>
    <row r="397">
      <c r="A397" s="50" t="inlineStr">
        <is>
          <t>1983-08</t>
        </is>
      </c>
      <c r="B397" s="50" t="n">
        <v>100.2</v>
      </c>
      <c r="C397" s="50" t="n">
        <v>10.841</v>
      </c>
      <c r="D397" s="50" t="n"/>
      <c r="E397" s="50" t="n">
        <v>100.9</v>
      </c>
      <c r="F397" s="50" t="n">
        <v>10.636</v>
      </c>
      <c r="G397" s="50" t="n"/>
      <c r="H397" s="50" t="n">
        <v>100.6</v>
      </c>
      <c r="I397" s="50" t="n">
        <v>3.711</v>
      </c>
      <c r="J397" s="50" t="n"/>
      <c r="K397" s="50" t="n">
        <v>100.6</v>
      </c>
      <c r="L397" s="50" t="n">
        <v>3.711</v>
      </c>
      <c r="M397" s="50" t="n"/>
      <c r="N397" s="50" t="n"/>
      <c r="O397" s="50" t="n"/>
      <c r="P397" s="50" t="n"/>
      <c r="Q397" s="50" t="n">
        <v>100.4</v>
      </c>
      <c r="R397" s="50" t="n">
        <v>9.727</v>
      </c>
      <c r="S397" s="50" t="n"/>
    </row>
    <row r="398">
      <c r="A398" s="50" t="inlineStr">
        <is>
          <t>1983-09</t>
        </is>
      </c>
      <c r="B398" s="50" t="n">
        <v>102.1</v>
      </c>
      <c r="C398" s="50" t="n">
        <v>12.693</v>
      </c>
      <c r="D398" s="50" t="n"/>
      <c r="E398" s="50" t="n">
        <v>103</v>
      </c>
      <c r="F398" s="50" t="n">
        <v>12.939</v>
      </c>
      <c r="G398" s="50" t="n"/>
      <c r="H398" s="50" t="n">
        <v>101</v>
      </c>
      <c r="I398" s="50" t="n">
        <v>3.696</v>
      </c>
      <c r="J398" s="50" t="n"/>
      <c r="K398" s="50" t="n">
        <v>101</v>
      </c>
      <c r="L398" s="50" t="n">
        <v>3.696</v>
      </c>
      <c r="M398" s="50" t="n"/>
      <c r="N398" s="50" t="n"/>
      <c r="O398" s="50" t="n"/>
      <c r="P398" s="50" t="n"/>
      <c r="Q398" s="50" t="n">
        <v>100.7</v>
      </c>
      <c r="R398" s="50" t="n">
        <v>9.695</v>
      </c>
      <c r="S398" s="50" t="n"/>
    </row>
    <row r="399">
      <c r="A399" s="50" t="inlineStr">
        <is>
          <t>1983-10</t>
        </is>
      </c>
      <c r="B399" s="50" t="n">
        <v>103.7</v>
      </c>
      <c r="C399" s="50" t="n">
        <v>14.081</v>
      </c>
      <c r="D399" s="50" t="n"/>
      <c r="E399" s="50" t="n">
        <v>104.9</v>
      </c>
      <c r="F399" s="50" t="n">
        <v>14.27</v>
      </c>
      <c r="G399" s="50" t="n"/>
      <c r="H399" s="50" t="n">
        <v>101.3</v>
      </c>
      <c r="I399" s="50" t="n">
        <v>3.579</v>
      </c>
      <c r="J399" s="50" t="n"/>
      <c r="K399" s="50" t="n">
        <v>101.3</v>
      </c>
      <c r="L399" s="50" t="n">
        <v>3.579</v>
      </c>
      <c r="M399" s="50" t="n"/>
      <c r="N399" s="50" t="n"/>
      <c r="O399" s="50" t="n"/>
      <c r="P399" s="50" t="n"/>
      <c r="Q399" s="50" t="n">
        <v>102.6</v>
      </c>
      <c r="R399" s="50" t="n">
        <v>9.032999999999999</v>
      </c>
      <c r="S399" s="50" t="n"/>
    </row>
    <row r="400">
      <c r="A400" s="50" t="inlineStr">
        <is>
          <t>1983-11</t>
        </is>
      </c>
      <c r="B400" s="50" t="n">
        <v>105.5</v>
      </c>
      <c r="C400" s="50" t="n">
        <v>14.924</v>
      </c>
      <c r="D400" s="50" t="n"/>
      <c r="E400" s="50" t="n">
        <v>106.6</v>
      </c>
      <c r="F400" s="50" t="n">
        <v>14.624</v>
      </c>
      <c r="G400" s="50" t="n"/>
      <c r="H400" s="50" t="n">
        <v>101.9</v>
      </c>
      <c r="I400" s="50" t="n">
        <v>4.086</v>
      </c>
      <c r="J400" s="50" t="n"/>
      <c r="K400" s="50" t="n">
        <v>101.9</v>
      </c>
      <c r="L400" s="50" t="n">
        <v>4.086</v>
      </c>
      <c r="M400" s="50" t="n"/>
      <c r="N400" s="50" t="n"/>
      <c r="O400" s="50" t="n"/>
      <c r="P400" s="50" t="n"/>
      <c r="Q400" s="50" t="n">
        <v>103.7</v>
      </c>
      <c r="R400" s="50" t="n">
        <v>9.042999999999999</v>
      </c>
      <c r="S400" s="50" t="n"/>
    </row>
    <row r="401">
      <c r="A401" s="50" t="inlineStr">
        <is>
          <t>1983-12</t>
        </is>
      </c>
      <c r="B401" s="50" t="n">
        <v>106.5</v>
      </c>
      <c r="C401" s="50" t="n">
        <v>14.763</v>
      </c>
      <c r="D401" s="50" t="n"/>
      <c r="E401" s="50" t="n">
        <v>107.1</v>
      </c>
      <c r="F401" s="50" t="n">
        <v>14.423</v>
      </c>
      <c r="G401" s="50" t="n"/>
      <c r="H401" s="50" t="n">
        <v>101.9</v>
      </c>
      <c r="I401" s="50" t="n">
        <v>3.768</v>
      </c>
      <c r="J401" s="50" t="n"/>
      <c r="K401" s="50" t="n">
        <v>101.9</v>
      </c>
      <c r="L401" s="50" t="n">
        <v>3.768</v>
      </c>
      <c r="M401" s="50" t="n"/>
      <c r="N401" s="50" t="n"/>
      <c r="O401" s="50" t="n"/>
      <c r="P401" s="50" t="n"/>
      <c r="Q401" s="50" t="n">
        <v>104.5</v>
      </c>
      <c r="R401" s="50" t="n">
        <v>9.081</v>
      </c>
      <c r="S401" s="50" t="n"/>
    </row>
    <row r="402">
      <c r="A402" s="50" t="inlineStr">
        <is>
          <t>1984-01</t>
        </is>
      </c>
      <c r="B402" s="50" t="n">
        <v>107.5</v>
      </c>
      <c r="C402" s="50" t="n">
        <v>15.22</v>
      </c>
      <c r="D402" s="50" t="n"/>
      <c r="E402" s="50" t="n">
        <v>107</v>
      </c>
      <c r="F402" s="50" t="n">
        <v>14.93</v>
      </c>
      <c r="G402" s="50" t="n"/>
      <c r="H402" s="50" t="n">
        <v>102.1</v>
      </c>
      <c r="I402" s="50" t="n">
        <v>3.55</v>
      </c>
      <c r="J402" s="50" t="n"/>
      <c r="K402" s="50" t="n">
        <v>102.1</v>
      </c>
      <c r="L402" s="50" t="n">
        <v>3.55</v>
      </c>
      <c r="M402" s="50" t="n"/>
      <c r="N402" s="50" t="n"/>
      <c r="O402" s="50" t="n"/>
      <c r="P402" s="50" t="n"/>
      <c r="Q402" s="50" t="n">
        <v>105.7</v>
      </c>
      <c r="R402" s="50" t="n">
        <v>9.194000000000001</v>
      </c>
      <c r="S402" s="50" t="n"/>
    </row>
    <row r="403">
      <c r="A403" s="50" t="inlineStr">
        <is>
          <t>1984-02</t>
        </is>
      </c>
      <c r="B403" s="50" t="n">
        <v>107.5</v>
      </c>
      <c r="C403" s="50" t="n">
        <v>14.362</v>
      </c>
      <c r="D403" s="50" t="n"/>
      <c r="E403" s="50" t="n">
        <v>107</v>
      </c>
      <c r="F403" s="50" t="n">
        <v>15.551</v>
      </c>
      <c r="G403" s="50" t="n"/>
      <c r="H403" s="50" t="n">
        <v>102.5</v>
      </c>
      <c r="I403" s="50" t="n">
        <v>3.535</v>
      </c>
      <c r="J403" s="50" t="n"/>
      <c r="K403" s="50" t="n">
        <v>102.5</v>
      </c>
      <c r="L403" s="50" t="n">
        <v>3.535</v>
      </c>
      <c r="M403" s="50" t="n"/>
      <c r="N403" s="50" t="n"/>
      <c r="O403" s="50" t="n"/>
      <c r="P403" s="50" t="n"/>
      <c r="Q403" s="50" t="n">
        <v>106</v>
      </c>
      <c r="R403" s="50" t="n">
        <v>8.163</v>
      </c>
      <c r="S403" s="50" t="n"/>
    </row>
    <row r="404">
      <c r="A404" s="50" t="inlineStr">
        <is>
          <t>1984-03</t>
        </is>
      </c>
      <c r="B404" s="50" t="n">
        <v>109.1</v>
      </c>
      <c r="C404" s="50" t="n">
        <v>15.45</v>
      </c>
      <c r="D404" s="50" t="n"/>
      <c r="E404" s="50" t="n">
        <v>108.5</v>
      </c>
      <c r="F404" s="50" t="n">
        <v>17.171</v>
      </c>
      <c r="G404" s="50" t="n"/>
      <c r="H404" s="50" t="n">
        <v>102.8</v>
      </c>
      <c r="I404" s="50" t="n">
        <v>3.629</v>
      </c>
      <c r="J404" s="50" t="n"/>
      <c r="K404" s="50" t="n">
        <v>102.8</v>
      </c>
      <c r="L404" s="50" t="n">
        <v>3.629</v>
      </c>
      <c r="M404" s="50" t="n"/>
      <c r="N404" s="50" t="n"/>
      <c r="O404" s="50" t="n"/>
      <c r="P404" s="50" t="n"/>
      <c r="Q404" s="50" t="n">
        <v>106.9</v>
      </c>
      <c r="R404" s="50" t="n">
        <v>8.528</v>
      </c>
      <c r="S404" s="50" t="n"/>
    </row>
    <row r="405">
      <c r="A405" s="50" t="inlineStr">
        <is>
          <t>1984-04</t>
        </is>
      </c>
      <c r="B405" s="50" t="n">
        <v>110.8</v>
      </c>
      <c r="C405" s="50" t="n">
        <v>16.632</v>
      </c>
      <c r="D405" s="50" t="n"/>
      <c r="E405" s="50" t="n">
        <v>110.8</v>
      </c>
      <c r="F405" s="50" t="n">
        <v>18.376</v>
      </c>
      <c r="G405" s="50" t="n"/>
      <c r="H405" s="50" t="n">
        <v>103</v>
      </c>
      <c r="I405" s="50" t="n">
        <v>3.518</v>
      </c>
      <c r="J405" s="50" t="n"/>
      <c r="K405" s="50" t="n">
        <v>103</v>
      </c>
      <c r="L405" s="50" t="n">
        <v>3.518</v>
      </c>
      <c r="M405" s="50" t="n"/>
      <c r="N405" s="50" t="n"/>
      <c r="O405" s="50" t="n"/>
      <c r="P405" s="50" t="n"/>
      <c r="Q405" s="50" t="n">
        <v>106.7</v>
      </c>
      <c r="R405" s="50" t="n">
        <v>7.669</v>
      </c>
      <c r="S405" s="50" t="n"/>
    </row>
    <row r="406">
      <c r="A406" s="50" t="inlineStr">
        <is>
          <t>1984-05</t>
        </is>
      </c>
      <c r="B406" s="50" t="n">
        <v>112.7</v>
      </c>
      <c r="C406" s="50" t="n">
        <v>18.01</v>
      </c>
      <c r="D406" s="50" t="n"/>
      <c r="E406" s="50" t="n">
        <v>113.2</v>
      </c>
      <c r="F406" s="50" t="n">
        <v>19.158</v>
      </c>
      <c r="G406" s="50" t="n"/>
      <c r="H406" s="50" t="n">
        <v>103.4</v>
      </c>
      <c r="I406" s="50" t="n">
        <v>3.504</v>
      </c>
      <c r="J406" s="50" t="n"/>
      <c r="K406" s="50" t="n">
        <v>103.4</v>
      </c>
      <c r="L406" s="50" t="n">
        <v>3.504</v>
      </c>
      <c r="M406" s="50" t="n"/>
      <c r="N406" s="50" t="n"/>
      <c r="O406" s="50" t="n"/>
      <c r="P406" s="50" t="n"/>
      <c r="Q406" s="50" t="n">
        <v>107.3</v>
      </c>
      <c r="R406" s="50" t="n">
        <v>7.407</v>
      </c>
      <c r="S406" s="50" t="n"/>
    </row>
    <row r="407">
      <c r="A407" s="50" t="inlineStr">
        <is>
          <t>1984-06</t>
        </is>
      </c>
      <c r="B407" s="50" t="n">
        <v>113.8</v>
      </c>
      <c r="C407" s="50" t="n">
        <v>17.805</v>
      </c>
      <c r="D407" s="50" t="n"/>
      <c r="E407" s="50" t="n">
        <v>114.4</v>
      </c>
      <c r="F407" s="50" t="n">
        <v>18.427</v>
      </c>
      <c r="G407" s="50" t="n"/>
      <c r="H407" s="50" t="n">
        <v>103.5</v>
      </c>
      <c r="I407" s="50" t="n">
        <v>3.397</v>
      </c>
      <c r="J407" s="50" t="n"/>
      <c r="K407" s="50" t="n">
        <v>103.5</v>
      </c>
      <c r="L407" s="50" t="n">
        <v>3.397</v>
      </c>
      <c r="M407" s="50" t="n"/>
      <c r="N407" s="50" t="n"/>
      <c r="O407" s="50" t="n"/>
      <c r="P407" s="50" t="n"/>
      <c r="Q407" s="50" t="n">
        <v>107.5</v>
      </c>
      <c r="R407" s="50" t="n">
        <v>7.715</v>
      </c>
      <c r="S407" s="50" t="n"/>
    </row>
    <row r="408">
      <c r="A408" s="50" t="inlineStr">
        <is>
          <t>1984-07</t>
        </is>
      </c>
      <c r="B408" s="50" t="n">
        <v>114.4</v>
      </c>
      <c r="C408" s="50" t="n">
        <v>16.497</v>
      </c>
      <c r="D408" s="50" t="n"/>
      <c r="E408" s="50" t="n">
        <v>114.7</v>
      </c>
      <c r="F408" s="50" t="n">
        <v>16.211</v>
      </c>
      <c r="G408" s="50" t="n"/>
      <c r="H408" s="50" t="n">
        <v>103.8</v>
      </c>
      <c r="I408" s="50" t="n">
        <v>3.593</v>
      </c>
      <c r="J408" s="50" t="n"/>
      <c r="K408" s="50" t="n">
        <v>103.8</v>
      </c>
      <c r="L408" s="50" t="n">
        <v>3.593</v>
      </c>
      <c r="M408" s="50" t="n"/>
      <c r="N408" s="50" t="n"/>
      <c r="O408" s="50" t="n"/>
      <c r="P408" s="50" t="n"/>
      <c r="Q408" s="50" t="n">
        <v>107.7</v>
      </c>
      <c r="R408" s="50" t="n">
        <v>7.378</v>
      </c>
      <c r="S408" s="50" t="n"/>
    </row>
    <row r="409">
      <c r="A409" s="50" t="inlineStr">
        <is>
          <t>1984-08</t>
        </is>
      </c>
      <c r="B409" s="50" t="n">
        <v>114.9</v>
      </c>
      <c r="C409" s="50" t="n">
        <v>14.671</v>
      </c>
      <c r="D409" s="50" t="n"/>
      <c r="E409" s="50" t="n">
        <v>114.9</v>
      </c>
      <c r="F409" s="50" t="n">
        <v>13.875</v>
      </c>
      <c r="G409" s="50" t="n"/>
      <c r="H409" s="50" t="n">
        <v>104.1</v>
      </c>
      <c r="I409" s="50" t="n">
        <v>3.479</v>
      </c>
      <c r="J409" s="50" t="n"/>
      <c r="K409" s="50" t="n">
        <v>104.1</v>
      </c>
      <c r="L409" s="50" t="n">
        <v>3.479</v>
      </c>
      <c r="M409" s="50" t="n"/>
      <c r="N409" s="50" t="n"/>
      <c r="O409" s="50" t="n"/>
      <c r="P409" s="50" t="n"/>
      <c r="Q409" s="50" t="n">
        <v>107.8</v>
      </c>
      <c r="R409" s="50" t="n">
        <v>7.371</v>
      </c>
      <c r="S409" s="50" t="n"/>
    </row>
    <row r="410">
      <c r="A410" s="50" t="inlineStr">
        <is>
          <t>1984-09</t>
        </is>
      </c>
      <c r="B410" s="50" t="n">
        <v>114.8</v>
      </c>
      <c r="C410" s="50" t="n">
        <v>12.439</v>
      </c>
      <c r="D410" s="50" t="n"/>
      <c r="E410" s="50" t="n">
        <v>115</v>
      </c>
      <c r="F410" s="50" t="n">
        <v>11.65</v>
      </c>
      <c r="G410" s="50" t="n"/>
      <c r="H410" s="50" t="n">
        <v>104.6</v>
      </c>
      <c r="I410" s="50" t="n">
        <v>3.564</v>
      </c>
      <c r="J410" s="50" t="n"/>
      <c r="K410" s="50" t="n">
        <v>104.6</v>
      </c>
      <c r="L410" s="50" t="n">
        <v>3.564</v>
      </c>
      <c r="M410" s="50" t="n"/>
      <c r="N410" s="50" t="n"/>
      <c r="O410" s="50" t="n"/>
      <c r="P410" s="50" t="n"/>
      <c r="Q410" s="50" t="n">
        <v>108.4</v>
      </c>
      <c r="R410" s="50" t="n">
        <v>7.646</v>
      </c>
      <c r="S410" s="50" t="n"/>
    </row>
    <row r="411">
      <c r="A411" s="50" t="inlineStr">
        <is>
          <t>1984-10</t>
        </is>
      </c>
      <c r="B411" s="50" t="n">
        <v>114.9</v>
      </c>
      <c r="C411" s="50" t="n">
        <v>10.8</v>
      </c>
      <c r="D411" s="50" t="n"/>
      <c r="E411" s="50" t="n">
        <v>115.2</v>
      </c>
      <c r="F411" s="50" t="n">
        <v>9.819000000000001</v>
      </c>
      <c r="G411" s="50" t="n"/>
      <c r="H411" s="50" t="n">
        <v>104.9</v>
      </c>
      <c r="I411" s="50" t="n">
        <v>3.554</v>
      </c>
      <c r="J411" s="50" t="n"/>
      <c r="K411" s="50" t="n">
        <v>104.9</v>
      </c>
      <c r="L411" s="50" t="n">
        <v>3.554</v>
      </c>
      <c r="M411" s="50" t="n"/>
      <c r="N411" s="50" t="n"/>
      <c r="O411" s="50" t="n"/>
      <c r="P411" s="50" t="n"/>
      <c r="Q411" s="50" t="n">
        <v>110.2</v>
      </c>
      <c r="R411" s="50" t="n">
        <v>7.407</v>
      </c>
      <c r="S411" s="50" t="n"/>
    </row>
    <row r="412">
      <c r="A412" s="50" t="inlineStr">
        <is>
          <t>1984-11</t>
        </is>
      </c>
      <c r="B412" s="50" t="n">
        <v>114.9</v>
      </c>
      <c r="C412" s="50" t="n">
        <v>8.91</v>
      </c>
      <c r="D412" s="50" t="n"/>
      <c r="E412" s="50" t="n">
        <v>114.9</v>
      </c>
      <c r="F412" s="50" t="n">
        <v>7.786</v>
      </c>
      <c r="G412" s="50" t="n"/>
      <c r="H412" s="50" t="n">
        <v>105.1</v>
      </c>
      <c r="I412" s="50" t="n">
        <v>3.14</v>
      </c>
      <c r="J412" s="50" t="n"/>
      <c r="K412" s="50" t="n">
        <v>105.1</v>
      </c>
      <c r="L412" s="50" t="n">
        <v>3.14</v>
      </c>
      <c r="M412" s="50" t="n"/>
      <c r="N412" s="50" t="n"/>
      <c r="O412" s="50" t="n"/>
      <c r="P412" s="50" t="n"/>
      <c r="Q412" s="50" t="n">
        <v>111.4</v>
      </c>
      <c r="R412" s="50" t="n">
        <v>7.425</v>
      </c>
      <c r="S412" s="50" t="n"/>
    </row>
    <row r="413">
      <c r="A413" s="50" t="inlineStr">
        <is>
          <t>1984-12</t>
        </is>
      </c>
      <c r="B413" s="50" t="n">
        <v>114.9</v>
      </c>
      <c r="C413" s="50" t="n">
        <v>7.887</v>
      </c>
      <c r="D413" s="50" t="n"/>
      <c r="E413" s="50" t="n">
        <v>114.6</v>
      </c>
      <c r="F413" s="50" t="n">
        <v>7.003</v>
      </c>
      <c r="G413" s="50" t="n"/>
      <c r="H413" s="50" t="n">
        <v>105.2</v>
      </c>
      <c r="I413" s="50" t="n">
        <v>3.238</v>
      </c>
      <c r="J413" s="50" t="n"/>
      <c r="K413" s="50" t="n">
        <v>105.2</v>
      </c>
      <c r="L413" s="50" t="n">
        <v>3.238</v>
      </c>
      <c r="M413" s="50" t="n"/>
      <c r="N413" s="50" t="n"/>
      <c r="O413" s="50" t="n"/>
      <c r="P413" s="50" t="n"/>
      <c r="Q413" s="50" t="n">
        <v>112.7</v>
      </c>
      <c r="R413" s="50" t="n">
        <v>7.847</v>
      </c>
      <c r="S413" s="50" t="n"/>
    </row>
    <row r="414">
      <c r="A414" s="50" t="inlineStr">
        <is>
          <t>1985-01</t>
        </is>
      </c>
      <c r="B414" s="50" t="n">
        <v>115</v>
      </c>
      <c r="C414" s="50" t="n">
        <v>6.977</v>
      </c>
      <c r="D414" s="50" t="n"/>
      <c r="E414" s="50" t="n">
        <v>114.6</v>
      </c>
      <c r="F414" s="50" t="n">
        <v>7.103</v>
      </c>
      <c r="G414" s="50" t="n"/>
      <c r="H414" s="50" t="n">
        <v>105.4</v>
      </c>
      <c r="I414" s="50" t="n">
        <v>3.232</v>
      </c>
      <c r="J414" s="50" t="n"/>
      <c r="K414" s="50" t="n">
        <v>105.4</v>
      </c>
      <c r="L414" s="50" t="n">
        <v>3.232</v>
      </c>
      <c r="M414" s="50" t="n"/>
      <c r="N414" s="50" t="n">
        <v>113.5</v>
      </c>
      <c r="O414" s="50" t="n"/>
      <c r="P414" s="50" t="n"/>
      <c r="Q414" s="50" t="n">
        <v>114.4</v>
      </c>
      <c r="R414" s="50" t="n">
        <v>8.231</v>
      </c>
      <c r="S414" s="50" t="n"/>
    </row>
    <row r="415">
      <c r="A415" s="50" t="inlineStr">
        <is>
          <t>1985-02</t>
        </is>
      </c>
      <c r="B415" s="50" t="n">
        <v>116.3</v>
      </c>
      <c r="C415" s="50" t="n">
        <v>8.186</v>
      </c>
      <c r="D415" s="50" t="n"/>
      <c r="E415" s="50" t="n">
        <v>115.2</v>
      </c>
      <c r="F415" s="50" t="n">
        <v>7.664</v>
      </c>
      <c r="G415" s="50" t="n"/>
      <c r="H415" s="50" t="n">
        <v>105.8</v>
      </c>
      <c r="I415" s="50" t="n">
        <v>3.22</v>
      </c>
      <c r="J415" s="50" t="n"/>
      <c r="K415" s="50" t="n">
        <v>105.8</v>
      </c>
      <c r="L415" s="50" t="n">
        <v>3.22</v>
      </c>
      <c r="M415" s="50" t="n"/>
      <c r="N415" s="50" t="n">
        <v>114.2</v>
      </c>
      <c r="O415" s="50" t="n"/>
      <c r="P415" s="50" t="n"/>
      <c r="Q415" s="50" t="n">
        <v>114.8</v>
      </c>
      <c r="R415" s="50" t="n">
        <v>8.302</v>
      </c>
      <c r="S415" s="50" t="n"/>
    </row>
    <row r="416">
      <c r="A416" s="50" t="inlineStr">
        <is>
          <t>1985-03</t>
        </is>
      </c>
      <c r="B416" s="50" t="n">
        <v>116.7</v>
      </c>
      <c r="C416" s="50" t="n">
        <v>6.966</v>
      </c>
      <c r="D416" s="50" t="n"/>
      <c r="E416" s="50" t="n">
        <v>115.6</v>
      </c>
      <c r="F416" s="50" t="n">
        <v>6.544</v>
      </c>
      <c r="G416" s="50" t="n"/>
      <c r="H416" s="50" t="n">
        <v>105.9</v>
      </c>
      <c r="I416" s="50" t="n">
        <v>3.016</v>
      </c>
      <c r="J416" s="50" t="n"/>
      <c r="K416" s="50" t="n">
        <v>105.9</v>
      </c>
      <c r="L416" s="50" t="n">
        <v>3.016</v>
      </c>
      <c r="M416" s="50" t="n"/>
      <c r="N416" s="50" t="n">
        <v>115</v>
      </c>
      <c r="O416" s="50" t="n"/>
      <c r="P416" s="50" t="n"/>
      <c r="Q416" s="50" t="n">
        <v>115.5</v>
      </c>
      <c r="R416" s="50" t="n">
        <v>8.045</v>
      </c>
      <c r="S416" s="50" t="n"/>
    </row>
    <row r="417">
      <c r="A417" s="50" t="inlineStr">
        <is>
          <t>1985-04</t>
        </is>
      </c>
      <c r="B417" s="50" t="n">
        <v>116.1</v>
      </c>
      <c r="C417" s="50" t="n">
        <v>4.783</v>
      </c>
      <c r="D417" s="50" t="n"/>
      <c r="E417" s="50" t="n">
        <v>115.7</v>
      </c>
      <c r="F417" s="50" t="n">
        <v>4.422</v>
      </c>
      <c r="G417" s="50" t="n"/>
      <c r="H417" s="50" t="n">
        <v>105.8</v>
      </c>
      <c r="I417" s="50" t="n">
        <v>2.718</v>
      </c>
      <c r="J417" s="50" t="n"/>
      <c r="K417" s="50" t="n">
        <v>105.8</v>
      </c>
      <c r="L417" s="50" t="n">
        <v>2.718</v>
      </c>
      <c r="M417" s="50" t="n"/>
      <c r="N417" s="50" t="n">
        <v>116.4</v>
      </c>
      <c r="O417" s="50" t="n"/>
      <c r="P417" s="50" t="n"/>
      <c r="Q417" s="50" t="n">
        <v>116.7</v>
      </c>
      <c r="R417" s="50" t="n">
        <v>9.372</v>
      </c>
      <c r="S417" s="50" t="n"/>
    </row>
    <row r="418">
      <c r="A418" s="50" t="inlineStr">
        <is>
          <t>1985-05</t>
        </is>
      </c>
      <c r="B418" s="50" t="n">
        <v>114.6</v>
      </c>
      <c r="C418" s="50" t="n">
        <v>1.686</v>
      </c>
      <c r="D418" s="50" t="n"/>
      <c r="E418" s="50" t="n">
        <v>115</v>
      </c>
      <c r="F418" s="50" t="n">
        <v>1.59</v>
      </c>
      <c r="G418" s="50" t="n"/>
      <c r="H418" s="50" t="n">
        <v>106.2</v>
      </c>
      <c r="I418" s="50" t="n">
        <v>2.708</v>
      </c>
      <c r="J418" s="50" t="n"/>
      <c r="K418" s="50" t="n">
        <v>106.2</v>
      </c>
      <c r="L418" s="50" t="n">
        <v>2.708</v>
      </c>
      <c r="M418" s="50" t="n"/>
      <c r="N418" s="50" t="n">
        <v>117.5</v>
      </c>
      <c r="O418" s="50" t="n"/>
      <c r="P418" s="50" t="n"/>
      <c r="Q418" s="50" t="n">
        <v>117.5</v>
      </c>
      <c r="R418" s="50" t="n">
        <v>9.506</v>
      </c>
      <c r="S418" s="50" t="n"/>
    </row>
    <row r="419">
      <c r="A419" s="50" t="inlineStr">
        <is>
          <t>1985-06</t>
        </is>
      </c>
      <c r="B419" s="50" t="n">
        <v>113.5</v>
      </c>
      <c r="C419" s="50" t="n">
        <v>-0.264</v>
      </c>
      <c r="D419" s="50" t="n"/>
      <c r="E419" s="50" t="n">
        <v>113.9</v>
      </c>
      <c r="F419" s="50" t="n">
        <v>-0.437</v>
      </c>
      <c r="G419" s="50" t="n"/>
      <c r="H419" s="50" t="n">
        <v>106.5</v>
      </c>
      <c r="I419" s="50" t="n">
        <v>2.899</v>
      </c>
      <c r="J419" s="50" t="n"/>
      <c r="K419" s="50" t="n">
        <v>106.5</v>
      </c>
      <c r="L419" s="50" t="n">
        <v>2.899</v>
      </c>
      <c r="M419" s="50" t="n"/>
      <c r="N419" s="50" t="n">
        <v>118.2</v>
      </c>
      <c r="O419" s="50" t="n"/>
      <c r="P419" s="50" t="n"/>
      <c r="Q419" s="50" t="n">
        <v>118.1</v>
      </c>
      <c r="R419" s="50" t="n">
        <v>9.859999999999999</v>
      </c>
      <c r="S419" s="50" t="n"/>
    </row>
    <row r="420">
      <c r="A420" s="50" t="inlineStr">
        <is>
          <t>1985-07</t>
        </is>
      </c>
      <c r="B420" s="50" t="n">
        <v>112.5</v>
      </c>
      <c r="C420" s="50" t="n">
        <v>-1.661</v>
      </c>
      <c r="D420" s="50" t="n"/>
      <c r="E420" s="50" t="n">
        <v>112.8</v>
      </c>
      <c r="F420" s="50" t="n">
        <v>-1.656</v>
      </c>
      <c r="G420" s="50" t="n"/>
      <c r="H420" s="50" t="n">
        <v>106.7</v>
      </c>
      <c r="I420" s="50" t="n">
        <v>2.794</v>
      </c>
      <c r="J420" s="50" t="n"/>
      <c r="K420" s="50" t="n">
        <v>106.7</v>
      </c>
      <c r="L420" s="50" t="n">
        <v>2.794</v>
      </c>
      <c r="M420" s="50" t="n"/>
      <c r="N420" s="50" t="n">
        <v>119.4</v>
      </c>
      <c r="O420" s="50" t="n"/>
      <c r="P420" s="50" t="n"/>
      <c r="Q420" s="50" t="n">
        <v>119</v>
      </c>
      <c r="R420" s="50" t="n">
        <v>10.492</v>
      </c>
      <c r="S420" s="50" t="n"/>
    </row>
    <row r="421">
      <c r="A421" s="50" t="inlineStr">
        <is>
          <t>1985-08</t>
        </is>
      </c>
      <c r="B421" s="50" t="n">
        <v>112</v>
      </c>
      <c r="C421" s="50" t="n">
        <v>-2.524</v>
      </c>
      <c r="D421" s="50" t="n"/>
      <c r="E421" s="50" t="n">
        <v>112</v>
      </c>
      <c r="F421" s="50" t="n">
        <v>-2.524</v>
      </c>
      <c r="G421" s="50" t="n"/>
      <c r="H421" s="50" t="n">
        <v>106.9</v>
      </c>
      <c r="I421" s="50" t="n">
        <v>2.69</v>
      </c>
      <c r="J421" s="50" t="n"/>
      <c r="K421" s="50" t="n">
        <v>106.9</v>
      </c>
      <c r="L421" s="50" t="n">
        <v>2.69</v>
      </c>
      <c r="M421" s="50" t="n"/>
      <c r="N421" s="50" t="n">
        <v>120.9</v>
      </c>
      <c r="O421" s="50" t="n"/>
      <c r="P421" s="50" t="n"/>
      <c r="Q421" s="50" t="n">
        <v>120</v>
      </c>
      <c r="R421" s="50" t="n">
        <v>11.317</v>
      </c>
      <c r="S421" s="50" t="n"/>
    </row>
    <row r="422">
      <c r="A422" s="50" t="inlineStr">
        <is>
          <t>1985-09</t>
        </is>
      </c>
      <c r="B422" s="50" t="n">
        <v>111.8</v>
      </c>
      <c r="C422" s="50" t="n">
        <v>-2.613</v>
      </c>
      <c r="D422" s="50" t="n"/>
      <c r="E422" s="50" t="n">
        <v>112.1</v>
      </c>
      <c r="F422" s="50" t="n">
        <v>-2.522</v>
      </c>
      <c r="G422" s="50" t="n"/>
      <c r="H422" s="50" t="n">
        <v>107.4</v>
      </c>
      <c r="I422" s="50" t="n">
        <v>2.677</v>
      </c>
      <c r="J422" s="50" t="n"/>
      <c r="K422" s="50" t="n">
        <v>107.4</v>
      </c>
      <c r="L422" s="50" t="n">
        <v>2.677</v>
      </c>
      <c r="M422" s="50" t="n"/>
      <c r="N422" s="50" t="n">
        <v>121.8</v>
      </c>
      <c r="O422" s="50" t="n"/>
      <c r="P422" s="50" t="n"/>
      <c r="Q422" s="50" t="n">
        <v>120.5</v>
      </c>
      <c r="R422" s="50" t="n">
        <v>11.162</v>
      </c>
      <c r="S422" s="50" t="n"/>
    </row>
    <row r="423">
      <c r="A423" s="50" t="inlineStr">
        <is>
          <t>1985-10</t>
        </is>
      </c>
      <c r="B423" s="50" t="n">
        <v>111.9</v>
      </c>
      <c r="C423" s="50" t="n">
        <v>-2.611</v>
      </c>
      <c r="D423" s="50" t="n"/>
      <c r="E423" s="50" t="n">
        <v>112.4</v>
      </c>
      <c r="F423" s="50" t="n">
        <v>-2.431</v>
      </c>
      <c r="G423" s="50" t="n"/>
      <c r="H423" s="50" t="n">
        <v>108.1</v>
      </c>
      <c r="I423" s="50" t="n">
        <v>3.051</v>
      </c>
      <c r="J423" s="50" t="n"/>
      <c r="K423" s="50" t="n">
        <v>108.1</v>
      </c>
      <c r="L423" s="50" t="n">
        <v>3.051</v>
      </c>
      <c r="M423" s="50" t="n"/>
      <c r="N423" s="50" t="n">
        <v>122.9</v>
      </c>
      <c r="O423" s="50" t="n"/>
      <c r="P423" s="50" t="n"/>
      <c r="Q423" s="50" t="n">
        <v>122.8</v>
      </c>
      <c r="R423" s="50" t="n">
        <v>11.434</v>
      </c>
      <c r="S423" s="50" t="n"/>
    </row>
    <row r="424">
      <c r="A424" s="50" t="inlineStr">
        <is>
          <t>1985-11</t>
        </is>
      </c>
      <c r="B424" s="50" t="n">
        <v>112.1</v>
      </c>
      <c r="C424" s="50" t="n">
        <v>-2.437</v>
      </c>
      <c r="D424" s="50" t="n"/>
      <c r="E424" s="50" t="n">
        <v>112.7</v>
      </c>
      <c r="F424" s="50" t="n">
        <v>-1.915</v>
      </c>
      <c r="G424" s="50" t="n"/>
      <c r="H424" s="50" t="n">
        <v>108.1</v>
      </c>
      <c r="I424" s="50" t="n">
        <v>2.854</v>
      </c>
      <c r="J424" s="50" t="n"/>
      <c r="K424" s="50" t="n">
        <v>108.1</v>
      </c>
      <c r="L424" s="50" t="n">
        <v>2.854</v>
      </c>
      <c r="M424" s="50" t="n"/>
      <c r="N424" s="50" t="n">
        <v>124.5</v>
      </c>
      <c r="O424" s="50" t="n"/>
      <c r="P424" s="50" t="n"/>
      <c r="Q424" s="50" t="n">
        <v>124.9</v>
      </c>
      <c r="R424" s="50" t="n">
        <v>12.118</v>
      </c>
      <c r="S424" s="50" t="n"/>
    </row>
    <row r="425">
      <c r="A425" s="50" t="inlineStr">
        <is>
          <t>1985-12</t>
        </is>
      </c>
      <c r="B425" s="50" t="n">
        <v>112.6</v>
      </c>
      <c r="C425" s="50" t="n">
        <v>-2.002</v>
      </c>
      <c r="D425" s="50" t="n"/>
      <c r="E425" s="50" t="n">
        <v>112.5</v>
      </c>
      <c r="F425" s="50" t="n">
        <v>-1.832</v>
      </c>
      <c r="G425" s="50" t="n"/>
      <c r="H425" s="50" t="n">
        <v>108.6</v>
      </c>
      <c r="I425" s="50" t="n">
        <v>3.232</v>
      </c>
      <c r="J425" s="50" t="n"/>
      <c r="K425" s="50" t="n">
        <v>108.6</v>
      </c>
      <c r="L425" s="50" t="n">
        <v>3.232</v>
      </c>
      <c r="M425" s="50" t="n"/>
      <c r="N425" s="50" t="n">
        <v>126</v>
      </c>
      <c r="O425" s="50" t="n"/>
      <c r="P425" s="50" t="n"/>
      <c r="Q425" s="50" t="n">
        <v>126.3</v>
      </c>
      <c r="R425" s="50" t="n">
        <v>12.067</v>
      </c>
      <c r="S425" s="50" t="n"/>
    </row>
    <row r="426">
      <c r="A426" s="50" t="inlineStr">
        <is>
          <t>1986-01</t>
        </is>
      </c>
      <c r="B426" s="50" t="n">
        <v>112.7</v>
      </c>
      <c r="C426" s="50" t="n">
        <v>-2</v>
      </c>
      <c r="D426" s="50" t="n"/>
      <c r="E426" s="50" t="n">
        <v>112</v>
      </c>
      <c r="F426" s="50" t="n">
        <v>-2.269</v>
      </c>
      <c r="G426" s="50" t="n"/>
      <c r="H426" s="50" t="n">
        <v>108.8</v>
      </c>
      <c r="I426" s="50" t="n">
        <v>3.226</v>
      </c>
      <c r="J426" s="50" t="n"/>
      <c r="K426" s="50" t="n">
        <v>108.8</v>
      </c>
      <c r="L426" s="50" t="n">
        <v>3.226</v>
      </c>
      <c r="M426" s="50" t="n"/>
      <c r="N426" s="50" t="n">
        <v>127.7</v>
      </c>
      <c r="O426" s="50" t="n">
        <v>12.511</v>
      </c>
      <c r="P426" s="50" t="n"/>
      <c r="Q426" s="50" t="n">
        <v>128.6</v>
      </c>
      <c r="R426" s="50" t="n">
        <v>12.413</v>
      </c>
      <c r="S426" s="50" t="n"/>
    </row>
    <row r="427">
      <c r="A427" s="50" t="inlineStr">
        <is>
          <t>1986-02</t>
        </is>
      </c>
      <c r="B427" s="50" t="n">
        <v>111.8</v>
      </c>
      <c r="C427" s="50" t="n">
        <v>-3.869</v>
      </c>
      <c r="D427" s="50" t="n"/>
      <c r="E427" s="50" t="n">
        <v>111</v>
      </c>
      <c r="F427" s="50" t="n">
        <v>-3.646</v>
      </c>
      <c r="G427" s="50" t="n"/>
      <c r="H427" s="50" t="n">
        <v>109.1</v>
      </c>
      <c r="I427" s="50" t="n">
        <v>3.119</v>
      </c>
      <c r="J427" s="50" t="n"/>
      <c r="K427" s="50" t="n">
        <v>109.1</v>
      </c>
      <c r="L427" s="50" t="n">
        <v>3.119</v>
      </c>
      <c r="M427" s="50" t="n"/>
      <c r="N427" s="50" t="n">
        <v>129.3</v>
      </c>
      <c r="O427" s="50" t="n">
        <v>13.222</v>
      </c>
      <c r="P427" s="50" t="n"/>
      <c r="Q427" s="50" t="n">
        <v>129.8</v>
      </c>
      <c r="R427" s="50" t="n">
        <v>13.066</v>
      </c>
      <c r="S427" s="50" t="n"/>
    </row>
    <row r="428">
      <c r="A428" s="50" t="inlineStr">
        <is>
          <t>1986-03</t>
        </is>
      </c>
      <c r="B428" s="50" t="n">
        <v>110.8</v>
      </c>
      <c r="C428" s="50" t="n">
        <v>-5.056</v>
      </c>
      <c r="D428" s="50" t="n"/>
      <c r="E428" s="50" t="n">
        <v>110</v>
      </c>
      <c r="F428" s="50" t="n">
        <v>-4.844</v>
      </c>
      <c r="G428" s="50" t="n"/>
      <c r="H428" s="50" t="n">
        <v>109.2</v>
      </c>
      <c r="I428" s="50" t="n">
        <v>3.116</v>
      </c>
      <c r="J428" s="50" t="n"/>
      <c r="K428" s="50" t="n">
        <v>109.2</v>
      </c>
      <c r="L428" s="50" t="n">
        <v>3.116</v>
      </c>
      <c r="M428" s="50" t="n"/>
      <c r="N428" s="50" t="n">
        <v>130.9</v>
      </c>
      <c r="O428" s="50" t="n">
        <v>13.826</v>
      </c>
      <c r="P428" s="50" t="n"/>
      <c r="Q428" s="50" t="n">
        <v>131.4</v>
      </c>
      <c r="R428" s="50" t="n">
        <v>13.766</v>
      </c>
      <c r="S428" s="50" t="n"/>
    </row>
    <row r="429">
      <c r="A429" s="50" t="inlineStr">
        <is>
          <t>1986-04</t>
        </is>
      </c>
      <c r="B429" s="50" t="n">
        <v>109.5</v>
      </c>
      <c r="C429" s="50" t="n">
        <v>-5.685</v>
      </c>
      <c r="D429" s="50" t="n"/>
      <c r="E429" s="50" t="n">
        <v>109.2</v>
      </c>
      <c r="F429" s="50" t="n">
        <v>-5.618</v>
      </c>
      <c r="G429" s="50" t="n"/>
      <c r="H429" s="50" t="n">
        <v>109.6</v>
      </c>
      <c r="I429" s="50" t="n">
        <v>3.592</v>
      </c>
      <c r="J429" s="50" t="n"/>
      <c r="K429" s="50" t="n">
        <v>109.6</v>
      </c>
      <c r="L429" s="50" t="n">
        <v>3.592</v>
      </c>
      <c r="M429" s="50" t="n"/>
      <c r="N429" s="50" t="n">
        <v>132.1</v>
      </c>
      <c r="O429" s="50" t="n">
        <v>13.488</v>
      </c>
      <c r="P429" s="50" t="n"/>
      <c r="Q429" s="50" t="n">
        <v>132.4</v>
      </c>
      <c r="R429" s="50" t="n">
        <v>13.453</v>
      </c>
      <c r="S429" s="50" t="n"/>
    </row>
    <row r="430">
      <c r="A430" s="50" t="inlineStr">
        <is>
          <t>1986-05</t>
        </is>
      </c>
      <c r="B430" s="50" t="n">
        <v>108.6</v>
      </c>
      <c r="C430" s="50" t="n">
        <v>-5.236</v>
      </c>
      <c r="D430" s="50" t="n"/>
      <c r="E430" s="50" t="n">
        <v>108.9</v>
      </c>
      <c r="F430" s="50" t="n">
        <v>-5.304</v>
      </c>
      <c r="G430" s="50" t="n"/>
      <c r="H430" s="50" t="n">
        <v>109.8</v>
      </c>
      <c r="I430" s="50" t="n">
        <v>3.39</v>
      </c>
      <c r="J430" s="50" t="n"/>
      <c r="K430" s="50" t="n">
        <v>109.8</v>
      </c>
      <c r="L430" s="50" t="n">
        <v>3.39</v>
      </c>
      <c r="M430" s="50" t="n"/>
      <c r="N430" s="50" t="n">
        <v>132.9</v>
      </c>
      <c r="O430" s="50" t="n">
        <v>13.106</v>
      </c>
      <c r="P430" s="50" t="n"/>
      <c r="Q430" s="50" t="n">
        <v>132.9</v>
      </c>
      <c r="R430" s="50" t="n">
        <v>13.106</v>
      </c>
      <c r="S430" s="50" t="n"/>
    </row>
    <row r="431">
      <c r="A431" s="50" t="inlineStr">
        <is>
          <t>1986-06</t>
        </is>
      </c>
      <c r="B431" s="50" t="n">
        <v>108.1</v>
      </c>
      <c r="C431" s="50" t="n">
        <v>-4.758</v>
      </c>
      <c r="D431" s="50" t="n"/>
      <c r="E431" s="50" t="n">
        <v>108.6</v>
      </c>
      <c r="F431" s="50" t="n">
        <v>-4.653</v>
      </c>
      <c r="G431" s="50" t="n"/>
      <c r="H431" s="50" t="n">
        <v>110</v>
      </c>
      <c r="I431" s="50" t="n">
        <v>3.286</v>
      </c>
      <c r="J431" s="50" t="n"/>
      <c r="K431" s="50" t="n">
        <v>110</v>
      </c>
      <c r="L431" s="50" t="n">
        <v>3.286</v>
      </c>
      <c r="M431" s="50" t="n"/>
      <c r="N431" s="50" t="n">
        <v>134.7</v>
      </c>
      <c r="O431" s="50" t="n">
        <v>13.959</v>
      </c>
      <c r="P431" s="50" t="n"/>
      <c r="Q431" s="50" t="n">
        <v>134.6</v>
      </c>
      <c r="R431" s="50" t="n">
        <v>13.971</v>
      </c>
      <c r="S431" s="50" t="n"/>
    </row>
    <row r="432">
      <c r="A432" s="50" t="inlineStr">
        <is>
          <t>1986-07</t>
        </is>
      </c>
      <c r="B432" s="50" t="n">
        <v>107.6</v>
      </c>
      <c r="C432" s="50" t="n">
        <v>-4.356</v>
      </c>
      <c r="D432" s="50" t="n"/>
      <c r="E432" s="50" t="n">
        <v>107.9</v>
      </c>
      <c r="F432" s="50" t="n">
        <v>-4.344</v>
      </c>
      <c r="G432" s="50" t="n"/>
      <c r="H432" s="50" t="n">
        <v>110.4</v>
      </c>
      <c r="I432" s="50" t="n">
        <v>3.468</v>
      </c>
      <c r="J432" s="50" t="n"/>
      <c r="K432" s="50" t="n">
        <v>110.4</v>
      </c>
      <c r="L432" s="50" t="n">
        <v>3.468</v>
      </c>
      <c r="M432" s="50" t="n"/>
      <c r="N432" s="50" t="n">
        <v>136.1</v>
      </c>
      <c r="O432" s="50" t="n">
        <v>13.987</v>
      </c>
      <c r="P432" s="50" t="n"/>
      <c r="Q432" s="50" t="n">
        <v>135.8</v>
      </c>
      <c r="R432" s="50" t="n">
        <v>14.118</v>
      </c>
      <c r="S432" s="50" t="n"/>
    </row>
    <row r="433">
      <c r="A433" s="50" t="inlineStr">
        <is>
          <t>1986-08</t>
        </is>
      </c>
      <c r="B433" s="50" t="n">
        <v>107.1</v>
      </c>
      <c r="C433" s="50" t="n">
        <v>-4.375</v>
      </c>
      <c r="D433" s="50" t="n"/>
      <c r="E433" s="50" t="n">
        <v>107.2</v>
      </c>
      <c r="F433" s="50" t="n">
        <v>-4.286</v>
      </c>
      <c r="G433" s="50" t="n"/>
      <c r="H433" s="50" t="n">
        <v>110.7</v>
      </c>
      <c r="I433" s="50" t="n">
        <v>3.555</v>
      </c>
      <c r="J433" s="50" t="n"/>
      <c r="K433" s="50" t="n">
        <v>110.7</v>
      </c>
      <c r="L433" s="50" t="n">
        <v>3.555</v>
      </c>
      <c r="M433" s="50" t="n"/>
      <c r="N433" s="50" t="n">
        <v>137</v>
      </c>
      <c r="O433" s="50" t="n">
        <v>13.317</v>
      </c>
      <c r="P433" s="50" t="n"/>
      <c r="Q433" s="50" t="n">
        <v>136</v>
      </c>
      <c r="R433" s="50" t="n">
        <v>13.333</v>
      </c>
      <c r="S433" s="50" t="n"/>
    </row>
    <row r="434">
      <c r="A434" s="50" t="inlineStr">
        <is>
          <t>1986-09</t>
        </is>
      </c>
      <c r="B434" s="50" t="n">
        <v>107.4</v>
      </c>
      <c r="C434" s="50" t="n">
        <v>-3.936</v>
      </c>
      <c r="D434" s="50" t="n"/>
      <c r="E434" s="50" t="n">
        <v>107.7</v>
      </c>
      <c r="F434" s="50" t="n">
        <v>-3.925</v>
      </c>
      <c r="G434" s="50" t="n"/>
      <c r="H434" s="50" t="n">
        <v>110.9</v>
      </c>
      <c r="I434" s="50" t="n">
        <v>3.259</v>
      </c>
      <c r="J434" s="50" t="n"/>
      <c r="K434" s="50" t="n">
        <v>110.9</v>
      </c>
      <c r="L434" s="50" t="n">
        <v>3.259</v>
      </c>
      <c r="M434" s="50" t="n"/>
      <c r="N434" s="50" t="n">
        <v>138.2</v>
      </c>
      <c r="O434" s="50" t="n">
        <v>13.465</v>
      </c>
      <c r="P434" s="50" t="n"/>
      <c r="Q434" s="50" t="n">
        <v>136.9</v>
      </c>
      <c r="R434" s="50" t="n">
        <v>13.61</v>
      </c>
      <c r="S434" s="50" t="n"/>
    </row>
    <row r="435">
      <c r="A435" s="50" t="inlineStr">
        <is>
          <t>1986-10</t>
        </is>
      </c>
      <c r="B435" s="50" t="n">
        <v>107.5</v>
      </c>
      <c r="C435" s="50" t="n">
        <v>-3.932</v>
      </c>
      <c r="D435" s="50" t="n"/>
      <c r="E435" s="50" t="n">
        <v>108</v>
      </c>
      <c r="F435" s="50" t="n">
        <v>-3.915</v>
      </c>
      <c r="G435" s="50" t="n"/>
      <c r="H435" s="50" t="n">
        <v>111.1</v>
      </c>
      <c r="I435" s="50" t="n">
        <v>2.775</v>
      </c>
      <c r="J435" s="50" t="n"/>
      <c r="K435" s="50" t="n">
        <v>111.1</v>
      </c>
      <c r="L435" s="50" t="n">
        <v>2.775</v>
      </c>
      <c r="M435" s="50" t="n"/>
      <c r="N435" s="50" t="n">
        <v>139.9</v>
      </c>
      <c r="O435" s="50" t="n">
        <v>13.832</v>
      </c>
      <c r="P435" s="50" t="n"/>
      <c r="Q435" s="50" t="n">
        <v>139.9</v>
      </c>
      <c r="R435" s="50" t="n">
        <v>13.925</v>
      </c>
      <c r="S435" s="50" t="n"/>
    </row>
    <row r="436">
      <c r="A436" s="50" t="inlineStr">
        <is>
          <t>1986-11</t>
        </is>
      </c>
      <c r="B436" s="50" t="n">
        <v>107.6</v>
      </c>
      <c r="C436" s="50" t="n">
        <v>-4.014</v>
      </c>
      <c r="D436" s="50" t="n"/>
      <c r="E436" s="50" t="n">
        <v>108.1</v>
      </c>
      <c r="F436" s="50" t="n">
        <v>-4.082</v>
      </c>
      <c r="G436" s="50" t="n"/>
      <c r="H436" s="50" t="n">
        <v>111.9</v>
      </c>
      <c r="I436" s="50" t="n">
        <v>3.515</v>
      </c>
      <c r="J436" s="50" t="n"/>
      <c r="K436" s="50" t="n">
        <v>111.9</v>
      </c>
      <c r="L436" s="50" t="n">
        <v>3.515</v>
      </c>
      <c r="M436" s="50" t="n"/>
      <c r="N436" s="50" t="n">
        <v>140.5</v>
      </c>
      <c r="O436" s="50" t="n">
        <v>12.851</v>
      </c>
      <c r="P436" s="50" t="n"/>
      <c r="Q436" s="50" t="n">
        <v>141</v>
      </c>
      <c r="R436" s="50" t="n">
        <v>12.89</v>
      </c>
      <c r="S436" s="50" t="n"/>
    </row>
    <row r="437">
      <c r="A437" s="50" t="inlineStr">
        <is>
          <t>1986-12</t>
        </is>
      </c>
      <c r="B437" s="50" t="n">
        <v>106.9</v>
      </c>
      <c r="C437" s="50" t="n">
        <v>-5.062</v>
      </c>
      <c r="D437" s="50" t="n"/>
      <c r="E437" s="50" t="n">
        <v>106.8</v>
      </c>
      <c r="F437" s="50" t="n">
        <v>-5.067</v>
      </c>
      <c r="G437" s="50" t="n"/>
      <c r="H437" s="50" t="n">
        <v>112.6</v>
      </c>
      <c r="I437" s="50" t="n">
        <v>3.683</v>
      </c>
      <c r="J437" s="50" t="n"/>
      <c r="K437" s="50" t="n">
        <v>112.6</v>
      </c>
      <c r="L437" s="50" t="n">
        <v>3.683</v>
      </c>
      <c r="M437" s="50" t="n"/>
      <c r="N437" s="50" t="n">
        <v>140.9</v>
      </c>
      <c r="O437" s="50" t="n">
        <v>11.825</v>
      </c>
      <c r="P437" s="50" t="n"/>
      <c r="Q437" s="50" t="n">
        <v>141.2</v>
      </c>
      <c r="R437" s="50" t="n">
        <v>11.797</v>
      </c>
      <c r="S437" s="50" t="n"/>
    </row>
    <row r="438">
      <c r="A438" s="50" t="inlineStr">
        <is>
          <t>1987-01</t>
        </is>
      </c>
      <c r="B438" s="50" t="n">
        <v>106.6</v>
      </c>
      <c r="C438" s="50" t="n">
        <v>-5.413</v>
      </c>
      <c r="D438" s="50" t="n"/>
      <c r="E438" s="50" t="n">
        <v>106.2</v>
      </c>
      <c r="F438" s="50" t="n">
        <v>-5.179</v>
      </c>
      <c r="G438" s="50" t="n"/>
      <c r="H438" s="50" t="n">
        <v>112.8</v>
      </c>
      <c r="I438" s="50" t="n">
        <v>3.676</v>
      </c>
      <c r="J438" s="50" t="n"/>
      <c r="K438" s="50" t="n">
        <v>112.8</v>
      </c>
      <c r="L438" s="50" t="n">
        <v>3.676</v>
      </c>
      <c r="M438" s="50" t="n"/>
      <c r="N438" s="50" t="n">
        <v>141.7</v>
      </c>
      <c r="O438" s="50" t="n">
        <v>10.963</v>
      </c>
      <c r="P438" s="50" t="n"/>
      <c r="Q438" s="50" t="n">
        <v>142.5</v>
      </c>
      <c r="R438" s="50" t="n">
        <v>10.809</v>
      </c>
      <c r="S438" s="50" t="n"/>
    </row>
    <row r="439">
      <c r="A439" s="50" t="inlineStr">
        <is>
          <t>1987-02</t>
        </is>
      </c>
      <c r="B439" s="50" t="n">
        <v>107.5</v>
      </c>
      <c r="C439" s="50" t="n">
        <v>-3.846</v>
      </c>
      <c r="D439" s="50" t="n"/>
      <c r="E439" s="50" t="n">
        <v>106.9</v>
      </c>
      <c r="F439" s="50" t="n">
        <v>-3.694</v>
      </c>
      <c r="G439" s="50" t="n"/>
      <c r="H439" s="50" t="n">
        <v>113.3</v>
      </c>
      <c r="I439" s="50" t="n">
        <v>3.85</v>
      </c>
      <c r="J439" s="50" t="n"/>
      <c r="K439" s="50" t="n">
        <v>113.3</v>
      </c>
      <c r="L439" s="50" t="n">
        <v>3.85</v>
      </c>
      <c r="M439" s="50" t="n"/>
      <c r="N439" s="50" t="n">
        <v>142.4</v>
      </c>
      <c r="O439" s="50" t="n">
        <v>10.131</v>
      </c>
      <c r="P439" s="50" t="n"/>
      <c r="Q439" s="50" t="n">
        <v>142.9</v>
      </c>
      <c r="R439" s="50" t="n">
        <v>10.092</v>
      </c>
      <c r="S439" s="50" t="n"/>
    </row>
    <row r="440">
      <c r="A440" s="50" t="inlineStr">
        <is>
          <t>1987-03</t>
        </is>
      </c>
      <c r="B440" s="50" t="n">
        <v>109.5</v>
      </c>
      <c r="C440" s="50" t="n">
        <v>-1.173</v>
      </c>
      <c r="D440" s="50" t="n"/>
      <c r="E440" s="50" t="n">
        <v>108.7</v>
      </c>
      <c r="F440" s="50" t="n">
        <v>-1.182</v>
      </c>
      <c r="G440" s="50" t="n"/>
      <c r="H440" s="50" t="n">
        <v>113.3</v>
      </c>
      <c r="I440" s="50" t="n">
        <v>3.755</v>
      </c>
      <c r="J440" s="50" t="n"/>
      <c r="K440" s="50" t="n">
        <v>113.3</v>
      </c>
      <c r="L440" s="50" t="n">
        <v>3.755</v>
      </c>
      <c r="M440" s="50" t="n"/>
      <c r="N440" s="50" t="n">
        <v>143.5</v>
      </c>
      <c r="O440" s="50" t="n">
        <v>9.625999999999999</v>
      </c>
      <c r="P440" s="50" t="n"/>
      <c r="Q440" s="50" t="n">
        <v>143.9</v>
      </c>
      <c r="R440" s="50" t="n">
        <v>9.513</v>
      </c>
      <c r="S440" s="50" t="n"/>
    </row>
    <row r="441">
      <c r="A441" s="50" t="inlineStr">
        <is>
          <t>1987-04</t>
        </is>
      </c>
      <c r="B441" s="50" t="n">
        <v>111.4</v>
      </c>
      <c r="C441" s="50" t="n">
        <v>1.735</v>
      </c>
      <c r="D441" s="50" t="n"/>
      <c r="E441" s="50" t="n">
        <v>111.3</v>
      </c>
      <c r="F441" s="50" t="n">
        <v>1.923</v>
      </c>
      <c r="G441" s="50" t="n"/>
      <c r="H441" s="50" t="n">
        <v>114.3</v>
      </c>
      <c r="I441" s="50" t="n">
        <v>4.288</v>
      </c>
      <c r="J441" s="50" t="n"/>
      <c r="K441" s="50" t="n">
        <v>114.3</v>
      </c>
      <c r="L441" s="50" t="n">
        <v>4.288</v>
      </c>
      <c r="M441" s="50" t="n"/>
      <c r="N441" s="50" t="n">
        <v>144.6</v>
      </c>
      <c r="O441" s="50" t="n">
        <v>9.462999999999999</v>
      </c>
      <c r="P441" s="50" t="n"/>
      <c r="Q441" s="50" t="n">
        <v>144.8</v>
      </c>
      <c r="R441" s="50" t="n">
        <v>9.366</v>
      </c>
      <c r="S441" s="50" t="n"/>
    </row>
    <row r="442">
      <c r="A442" s="50" t="inlineStr">
        <is>
          <t>1987-05</t>
        </is>
      </c>
      <c r="B442" s="50" t="n">
        <v>113.1</v>
      </c>
      <c r="C442" s="50" t="n">
        <v>4.144</v>
      </c>
      <c r="D442" s="50" t="n"/>
      <c r="E442" s="50" t="n">
        <v>113.4</v>
      </c>
      <c r="F442" s="50" t="n">
        <v>4.132</v>
      </c>
      <c r="G442" s="50" t="n"/>
      <c r="H442" s="50" t="n">
        <v>114.3</v>
      </c>
      <c r="I442" s="50" t="n">
        <v>4.098</v>
      </c>
      <c r="J442" s="50" t="n"/>
      <c r="K442" s="50" t="n">
        <v>114.3</v>
      </c>
      <c r="L442" s="50" t="n">
        <v>4.098</v>
      </c>
      <c r="M442" s="50" t="n"/>
      <c r="N442" s="50" t="n">
        <v>145.1</v>
      </c>
      <c r="O442" s="50" t="n">
        <v>9.18</v>
      </c>
      <c r="P442" s="50" t="n"/>
      <c r="Q442" s="50" t="n">
        <v>145</v>
      </c>
      <c r="R442" s="50" t="n">
        <v>9.105</v>
      </c>
      <c r="S442" s="50" t="n"/>
    </row>
    <row r="443">
      <c r="A443" s="50" t="inlineStr">
        <is>
          <t>1987-06</t>
        </is>
      </c>
      <c r="B443" s="50" t="n">
        <v>114.1</v>
      </c>
      <c r="C443" s="50" t="n">
        <v>5.55</v>
      </c>
      <c r="D443" s="50" t="n"/>
      <c r="E443" s="50" t="n">
        <v>114.7</v>
      </c>
      <c r="F443" s="50" t="n">
        <v>5.617</v>
      </c>
      <c r="G443" s="50" t="n"/>
      <c r="H443" s="50" t="n">
        <v>114.4</v>
      </c>
      <c r="I443" s="50" t="n">
        <v>4</v>
      </c>
      <c r="J443" s="50" t="n"/>
      <c r="K443" s="50" t="n">
        <v>114.4</v>
      </c>
      <c r="L443" s="50" t="n">
        <v>4</v>
      </c>
      <c r="M443" s="50" t="n"/>
      <c r="N443" s="50" t="n">
        <v>146</v>
      </c>
      <c r="O443" s="50" t="n">
        <v>8.388999999999999</v>
      </c>
      <c r="P443" s="50" t="n"/>
      <c r="Q443" s="50" t="n">
        <v>145.9</v>
      </c>
      <c r="R443" s="50" t="n">
        <v>8.395</v>
      </c>
      <c r="S443" s="50" t="n"/>
    </row>
    <row r="444">
      <c r="A444" s="50" t="inlineStr">
        <is>
          <t>1987-07</t>
        </is>
      </c>
      <c r="B444" s="50" t="n">
        <v>115</v>
      </c>
      <c r="C444" s="50" t="n">
        <v>6.877</v>
      </c>
      <c r="D444" s="50" t="n"/>
      <c r="E444" s="50" t="n">
        <v>115.4</v>
      </c>
      <c r="F444" s="50" t="n">
        <v>6.951</v>
      </c>
      <c r="G444" s="50" t="n"/>
      <c r="H444" s="50" t="n">
        <v>114.5</v>
      </c>
      <c r="I444" s="50" t="n">
        <v>3.714</v>
      </c>
      <c r="J444" s="50" t="n"/>
      <c r="K444" s="50" t="n">
        <v>114.5</v>
      </c>
      <c r="L444" s="50" t="n">
        <v>3.714</v>
      </c>
      <c r="M444" s="50" t="n"/>
      <c r="N444" s="50" t="n">
        <v>147</v>
      </c>
      <c r="O444" s="50" t="n">
        <v>8.009</v>
      </c>
      <c r="P444" s="50" t="n"/>
      <c r="Q444" s="50" t="n">
        <v>146.7</v>
      </c>
      <c r="R444" s="50" t="n">
        <v>8.026999999999999</v>
      </c>
      <c r="S444" s="50" t="n"/>
    </row>
    <row r="445">
      <c r="A445" s="50" t="inlineStr">
        <is>
          <t>1987-08</t>
        </is>
      </c>
      <c r="B445" s="50" t="n">
        <v>115.4</v>
      </c>
      <c r="C445" s="50" t="n">
        <v>7.75</v>
      </c>
      <c r="D445" s="50" t="n"/>
      <c r="E445" s="50" t="n">
        <v>115.5</v>
      </c>
      <c r="F445" s="50" t="n">
        <v>7.743</v>
      </c>
      <c r="G445" s="50" t="n"/>
      <c r="H445" s="50" t="n">
        <v>115.1</v>
      </c>
      <c r="I445" s="50" t="n">
        <v>3.975</v>
      </c>
      <c r="J445" s="50" t="n"/>
      <c r="K445" s="50" t="n">
        <v>115.1</v>
      </c>
      <c r="L445" s="50" t="n">
        <v>3.975</v>
      </c>
      <c r="M445" s="50" t="n"/>
      <c r="N445" s="50" t="n">
        <v>148.2</v>
      </c>
      <c r="O445" s="50" t="n">
        <v>8.175000000000001</v>
      </c>
      <c r="P445" s="50" t="n"/>
      <c r="Q445" s="50" t="n">
        <v>147.4</v>
      </c>
      <c r="R445" s="50" t="n">
        <v>8.382</v>
      </c>
      <c r="S445" s="50" t="n"/>
    </row>
    <row r="446">
      <c r="A446" s="50" t="inlineStr">
        <is>
          <t>1987-09</t>
        </is>
      </c>
      <c r="B446" s="50" t="n">
        <v>115.7</v>
      </c>
      <c r="C446" s="50" t="n">
        <v>7.728</v>
      </c>
      <c r="D446" s="50" t="n"/>
      <c r="E446" s="50" t="n">
        <v>116</v>
      </c>
      <c r="F446" s="50" t="n">
        <v>7.707</v>
      </c>
      <c r="G446" s="50" t="n"/>
      <c r="H446" s="50" t="n">
        <v>115.7</v>
      </c>
      <c r="I446" s="50" t="n">
        <v>4.328</v>
      </c>
      <c r="J446" s="50" t="n"/>
      <c r="K446" s="50" t="n">
        <v>115.7</v>
      </c>
      <c r="L446" s="50" t="n">
        <v>4.328</v>
      </c>
      <c r="M446" s="50" t="n"/>
      <c r="N446" s="50" t="n">
        <v>149</v>
      </c>
      <c r="O446" s="50" t="n">
        <v>7.815</v>
      </c>
      <c r="P446" s="50" t="n"/>
      <c r="Q446" s="50" t="n">
        <v>147.8</v>
      </c>
      <c r="R446" s="50" t="n">
        <v>7.962</v>
      </c>
      <c r="S446" s="50" t="n"/>
    </row>
    <row r="447">
      <c r="A447" s="50" t="inlineStr">
        <is>
          <t>1987-10</t>
        </is>
      </c>
      <c r="B447" s="50" t="n">
        <v>115.8</v>
      </c>
      <c r="C447" s="50" t="n">
        <v>7.721</v>
      </c>
      <c r="D447" s="50" t="n"/>
      <c r="E447" s="50" t="n">
        <v>116.2</v>
      </c>
      <c r="F447" s="50" t="n">
        <v>7.593</v>
      </c>
      <c r="G447" s="50" t="n"/>
      <c r="H447" s="50" t="n">
        <v>116.1</v>
      </c>
      <c r="I447" s="50" t="n">
        <v>4.5</v>
      </c>
      <c r="J447" s="50" t="n"/>
      <c r="K447" s="50" t="n">
        <v>116.1</v>
      </c>
      <c r="L447" s="50" t="n">
        <v>4.5</v>
      </c>
      <c r="M447" s="50" t="n"/>
      <c r="N447" s="50" t="n">
        <v>148.8</v>
      </c>
      <c r="O447" s="50" t="n">
        <v>6.362</v>
      </c>
      <c r="P447" s="50" t="n"/>
      <c r="Q447" s="50" t="n">
        <v>148.9</v>
      </c>
      <c r="R447" s="50" t="n">
        <v>6.433</v>
      </c>
      <c r="S447" s="50" t="n"/>
    </row>
    <row r="448">
      <c r="A448" s="50" t="inlineStr">
        <is>
          <t>1987-11</t>
        </is>
      </c>
      <c r="B448" s="50" t="n">
        <v>116.1</v>
      </c>
      <c r="C448" s="50" t="n">
        <v>7.9</v>
      </c>
      <c r="D448" s="50" t="n"/>
      <c r="E448" s="50" t="n">
        <v>116.5</v>
      </c>
      <c r="F448" s="50" t="n">
        <v>7.771</v>
      </c>
      <c r="G448" s="50" t="n"/>
      <c r="H448" s="50" t="n">
        <v>116.5</v>
      </c>
      <c r="I448" s="50" t="n">
        <v>4.111</v>
      </c>
      <c r="J448" s="50" t="n"/>
      <c r="K448" s="50" t="n">
        <v>116.5</v>
      </c>
      <c r="L448" s="50" t="n">
        <v>4.111</v>
      </c>
      <c r="M448" s="50" t="n"/>
      <c r="N448" s="50" t="n">
        <v>149</v>
      </c>
      <c r="O448" s="50" t="n">
        <v>6.05</v>
      </c>
      <c r="P448" s="50" t="n"/>
      <c r="Q448" s="50" t="n">
        <v>149.6</v>
      </c>
      <c r="R448" s="50" t="n">
        <v>6.099</v>
      </c>
      <c r="S448" s="50" t="n"/>
    </row>
    <row r="449">
      <c r="A449" s="50" t="inlineStr">
        <is>
          <t>1987-12</t>
        </is>
      </c>
      <c r="B449" s="50" t="n">
        <v>116.4</v>
      </c>
      <c r="C449" s="50" t="n">
        <v>8.887</v>
      </c>
      <c r="D449" s="50" t="n"/>
      <c r="E449" s="50" t="n">
        <v>116.3</v>
      </c>
      <c r="F449" s="50" t="n">
        <v>8.895</v>
      </c>
      <c r="G449" s="50" t="n"/>
      <c r="H449" s="50" t="n">
        <v>116.9</v>
      </c>
      <c r="I449" s="50" t="n">
        <v>3.819</v>
      </c>
      <c r="J449" s="50" t="n"/>
      <c r="K449" s="50" t="n">
        <v>116.9</v>
      </c>
      <c r="L449" s="50" t="n">
        <v>3.819</v>
      </c>
      <c r="M449" s="50" t="n"/>
      <c r="N449" s="50" t="n">
        <v>149.1</v>
      </c>
      <c r="O449" s="50" t="n">
        <v>5.82</v>
      </c>
      <c r="P449" s="50" t="n"/>
      <c r="Q449" s="50" t="n">
        <v>149.4</v>
      </c>
      <c r="R449" s="50" t="n">
        <v>5.807</v>
      </c>
      <c r="S449" s="50" t="n"/>
    </row>
    <row r="450">
      <c r="A450" s="50" t="inlineStr">
        <is>
          <t>1988-01</t>
        </is>
      </c>
      <c r="B450" s="50" t="n">
        <v>115.9</v>
      </c>
      <c r="C450" s="50" t="n">
        <v>8.724</v>
      </c>
      <c r="D450" s="50" t="n"/>
      <c r="E450" s="50" t="n">
        <v>116</v>
      </c>
      <c r="F450" s="50" t="n">
        <v>9.228</v>
      </c>
      <c r="G450" s="50" t="n"/>
      <c r="H450" s="50" t="n">
        <v>117.2</v>
      </c>
      <c r="I450" s="50" t="n">
        <v>3.901</v>
      </c>
      <c r="J450" s="50" t="n"/>
      <c r="K450" s="50" t="n">
        <v>117.2</v>
      </c>
      <c r="L450" s="50" t="n">
        <v>3.901</v>
      </c>
      <c r="M450" s="50" t="n"/>
      <c r="N450" s="50" t="n">
        <v>150.9</v>
      </c>
      <c r="O450" s="50" t="n">
        <v>6.493</v>
      </c>
      <c r="P450" s="50" t="n"/>
      <c r="Q450" s="50" t="n">
        <v>151.6</v>
      </c>
      <c r="R450" s="50" t="n">
        <v>6.386</v>
      </c>
      <c r="S450" s="50" t="n"/>
    </row>
    <row r="451">
      <c r="A451" s="50" t="inlineStr">
        <is>
          <t>1988-02</t>
        </is>
      </c>
      <c r="B451" s="50" t="n">
        <v>116.4</v>
      </c>
      <c r="C451" s="50" t="n">
        <v>8.279</v>
      </c>
      <c r="D451" s="50" t="n"/>
      <c r="E451" s="50" t="n">
        <v>116</v>
      </c>
      <c r="F451" s="50" t="n">
        <v>8.513</v>
      </c>
      <c r="G451" s="50" t="n"/>
      <c r="H451" s="50" t="n">
        <v>117.7</v>
      </c>
      <c r="I451" s="50" t="n">
        <v>3.883</v>
      </c>
      <c r="J451" s="50" t="n"/>
      <c r="K451" s="50" t="n">
        <v>117.7</v>
      </c>
      <c r="L451" s="50" t="n">
        <v>3.883</v>
      </c>
      <c r="M451" s="50" t="n"/>
      <c r="N451" s="50" t="n">
        <v>151.8</v>
      </c>
      <c r="O451" s="50" t="n">
        <v>6.601</v>
      </c>
      <c r="P451" s="50" t="n"/>
      <c r="Q451" s="50" t="n">
        <v>152.3</v>
      </c>
      <c r="R451" s="50" t="n">
        <v>6.578</v>
      </c>
      <c r="S451" s="50" t="n"/>
    </row>
    <row r="452">
      <c r="A452" s="50" t="inlineStr">
        <is>
          <t>1988-03</t>
        </is>
      </c>
      <c r="B452" s="50" t="n">
        <v>116.9</v>
      </c>
      <c r="C452" s="50" t="n">
        <v>6.758</v>
      </c>
      <c r="D452" s="50" t="n"/>
      <c r="E452" s="50" t="n">
        <v>116.1</v>
      </c>
      <c r="F452" s="50" t="n">
        <v>6.808</v>
      </c>
      <c r="G452" s="50" t="n"/>
      <c r="H452" s="50" t="n">
        <v>118.5</v>
      </c>
      <c r="I452" s="50" t="n">
        <v>4.59</v>
      </c>
      <c r="J452" s="50" t="n"/>
      <c r="K452" s="50" t="n">
        <v>118.5</v>
      </c>
      <c r="L452" s="50" t="n">
        <v>4.59</v>
      </c>
      <c r="M452" s="50" t="n"/>
      <c r="N452" s="50" t="n">
        <v>152.2</v>
      </c>
      <c r="O452" s="50" t="n">
        <v>6.063</v>
      </c>
      <c r="P452" s="50" t="n"/>
      <c r="Q452" s="50" t="n">
        <v>152.6</v>
      </c>
      <c r="R452" s="50" t="n">
        <v>6.046</v>
      </c>
      <c r="S452" s="50" t="n"/>
    </row>
    <row r="453">
      <c r="A453" s="50" t="inlineStr">
        <is>
          <t>1988-04</t>
        </is>
      </c>
      <c r="B453" s="50" t="n">
        <v>117.3</v>
      </c>
      <c r="C453" s="50" t="n">
        <v>5.296</v>
      </c>
      <c r="D453" s="50" t="n"/>
      <c r="E453" s="50" t="n">
        <v>116.6</v>
      </c>
      <c r="F453" s="50" t="n">
        <v>4.762</v>
      </c>
      <c r="G453" s="50" t="n"/>
      <c r="H453" s="50" t="n">
        <v>118.8</v>
      </c>
      <c r="I453" s="50" t="n">
        <v>3.937</v>
      </c>
      <c r="J453" s="50" t="n"/>
      <c r="K453" s="50" t="n">
        <v>118.8</v>
      </c>
      <c r="L453" s="50" t="n">
        <v>3.937</v>
      </c>
      <c r="M453" s="50" t="n"/>
      <c r="N453" s="50" t="n">
        <v>153.6</v>
      </c>
      <c r="O453" s="50" t="n">
        <v>6.224</v>
      </c>
      <c r="P453" s="50" t="n"/>
      <c r="Q453" s="50" t="n">
        <v>153.6</v>
      </c>
      <c r="R453" s="50" t="n">
        <v>6.077</v>
      </c>
      <c r="S453" s="50" t="n"/>
    </row>
    <row r="454">
      <c r="A454" s="50" t="inlineStr">
        <is>
          <t>1988-05</t>
        </is>
      </c>
      <c r="B454" s="50" t="n">
        <v>117.4</v>
      </c>
      <c r="C454" s="50" t="n">
        <v>3.802</v>
      </c>
      <c r="D454" s="50" t="n"/>
      <c r="E454" s="50" t="n">
        <v>117</v>
      </c>
      <c r="F454" s="50" t="n">
        <v>3.175</v>
      </c>
      <c r="G454" s="50" t="n"/>
      <c r="H454" s="50" t="n">
        <v>119.3</v>
      </c>
      <c r="I454" s="50" t="n">
        <v>4.374</v>
      </c>
      <c r="J454" s="50" t="n"/>
      <c r="K454" s="50" t="n">
        <v>119.3</v>
      </c>
      <c r="L454" s="50" t="n">
        <v>4.374</v>
      </c>
      <c r="M454" s="50" t="n"/>
      <c r="N454" s="50" t="n">
        <v>154.8</v>
      </c>
      <c r="O454" s="50" t="n">
        <v>6.685</v>
      </c>
      <c r="P454" s="50" t="n"/>
      <c r="Q454" s="50" t="n">
        <v>154.8</v>
      </c>
      <c r="R454" s="50" t="n">
        <v>6.759</v>
      </c>
      <c r="S454" s="50" t="n"/>
    </row>
    <row r="455">
      <c r="A455" s="50" t="inlineStr">
        <is>
          <t>1988-06</t>
        </is>
      </c>
      <c r="B455" s="50" t="n">
        <v>117.6</v>
      </c>
      <c r="C455" s="50" t="n">
        <v>3.067</v>
      </c>
      <c r="D455" s="50" t="n"/>
      <c r="E455" s="50" t="n">
        <v>117.6</v>
      </c>
      <c r="F455" s="50" t="n">
        <v>2.528</v>
      </c>
      <c r="G455" s="50" t="n"/>
      <c r="H455" s="50" t="n">
        <v>119.7</v>
      </c>
      <c r="I455" s="50" t="n">
        <v>4.633</v>
      </c>
      <c r="J455" s="50" t="n"/>
      <c r="K455" s="50" t="n">
        <v>119.7</v>
      </c>
      <c r="L455" s="50" t="n">
        <v>4.633</v>
      </c>
      <c r="M455" s="50" t="n"/>
      <c r="N455" s="50" t="n">
        <v>156.2</v>
      </c>
      <c r="O455" s="50" t="n">
        <v>6.986</v>
      </c>
      <c r="P455" s="50" t="n"/>
      <c r="Q455" s="50" t="n">
        <v>156.1</v>
      </c>
      <c r="R455" s="50" t="n">
        <v>6.991</v>
      </c>
      <c r="S455" s="50" t="n"/>
    </row>
    <row r="456">
      <c r="A456" s="50" t="inlineStr">
        <is>
          <t>1988-07</t>
        </is>
      </c>
      <c r="B456" s="50" t="n">
        <v>117.9</v>
      </c>
      <c r="C456" s="50" t="n">
        <v>2.522</v>
      </c>
      <c r="D456" s="50" t="n"/>
      <c r="E456" s="50" t="n">
        <v>117.9</v>
      </c>
      <c r="F456" s="50" t="n">
        <v>2.166</v>
      </c>
      <c r="G456" s="50" t="n"/>
      <c r="H456" s="50" t="n">
        <v>120</v>
      </c>
      <c r="I456" s="50" t="n">
        <v>4.803</v>
      </c>
      <c r="J456" s="50" t="n"/>
      <c r="K456" s="50" t="n">
        <v>120</v>
      </c>
      <c r="L456" s="50" t="n">
        <v>4.803</v>
      </c>
      <c r="M456" s="50" t="n"/>
      <c r="N456" s="50" t="n">
        <v>157.3</v>
      </c>
      <c r="O456" s="50" t="n">
        <v>7.007</v>
      </c>
      <c r="P456" s="50" t="n"/>
      <c r="Q456" s="50" t="n">
        <v>156.9</v>
      </c>
      <c r="R456" s="50" t="n">
        <v>6.953</v>
      </c>
      <c r="S456" s="50" t="n"/>
    </row>
    <row r="457">
      <c r="A457" s="50" t="inlineStr">
        <is>
          <t>1988-08</t>
        </is>
      </c>
      <c r="B457" s="50" t="n">
        <v>118.5</v>
      </c>
      <c r="C457" s="50" t="n">
        <v>2.686</v>
      </c>
      <c r="D457" s="50" t="n"/>
      <c r="E457" s="50" t="n">
        <v>119.2</v>
      </c>
      <c r="F457" s="50" t="n">
        <v>3.203</v>
      </c>
      <c r="G457" s="50" t="n"/>
      <c r="H457" s="50" t="n">
        <v>120.3</v>
      </c>
      <c r="I457" s="50" t="n">
        <v>4.518</v>
      </c>
      <c r="J457" s="50" t="n"/>
      <c r="K457" s="50" t="n">
        <v>120.3</v>
      </c>
      <c r="L457" s="50" t="n">
        <v>4.518</v>
      </c>
      <c r="M457" s="50" t="n"/>
      <c r="N457" s="50" t="n">
        <v>159.1</v>
      </c>
      <c r="O457" s="50" t="n">
        <v>7.355</v>
      </c>
      <c r="P457" s="50" t="n"/>
      <c r="Q457" s="50" t="n">
        <v>158.1</v>
      </c>
      <c r="R457" s="50" t="n">
        <v>7.259</v>
      </c>
      <c r="S457" s="50" t="n"/>
    </row>
    <row r="458">
      <c r="A458" s="50" t="inlineStr">
        <is>
          <t>1988-09</t>
        </is>
      </c>
      <c r="B458" s="50" t="n">
        <v>118.9</v>
      </c>
      <c r="C458" s="50" t="n">
        <v>2.766</v>
      </c>
      <c r="D458" s="50" t="n"/>
      <c r="E458" s="50" t="n">
        <v>119.4</v>
      </c>
      <c r="F458" s="50" t="n">
        <v>2.931</v>
      </c>
      <c r="G458" s="50" t="n"/>
      <c r="H458" s="50" t="n">
        <v>120.9</v>
      </c>
      <c r="I458" s="50" t="n">
        <v>4.494</v>
      </c>
      <c r="J458" s="50" t="n"/>
      <c r="K458" s="50" t="n">
        <v>120.9</v>
      </c>
      <c r="L458" s="50" t="n">
        <v>4.494</v>
      </c>
      <c r="M458" s="50" t="n"/>
      <c r="N458" s="50" t="n">
        <v>159.7</v>
      </c>
      <c r="O458" s="50" t="n">
        <v>7.181</v>
      </c>
      <c r="P458" s="50" t="n"/>
      <c r="Q458" s="50" t="n">
        <v>158.4</v>
      </c>
      <c r="R458" s="50" t="n">
        <v>7.172</v>
      </c>
      <c r="S458" s="50" t="n"/>
    </row>
    <row r="459">
      <c r="A459" s="50" t="inlineStr">
        <is>
          <t>1988-10</t>
        </is>
      </c>
      <c r="B459" s="50" t="n">
        <v>119.2</v>
      </c>
      <c r="C459" s="50" t="n">
        <v>2.936</v>
      </c>
      <c r="D459" s="50" t="n"/>
      <c r="E459" s="50" t="n">
        <v>119.9</v>
      </c>
      <c r="F459" s="50" t="n">
        <v>3.184</v>
      </c>
      <c r="G459" s="50" t="n"/>
      <c r="H459" s="50" t="n">
        <v>121.1</v>
      </c>
      <c r="I459" s="50" t="n">
        <v>4.307</v>
      </c>
      <c r="J459" s="50" t="n"/>
      <c r="K459" s="50" t="n">
        <v>121.1</v>
      </c>
      <c r="L459" s="50" t="n">
        <v>4.307</v>
      </c>
      <c r="M459" s="50" t="n"/>
      <c r="N459" s="50" t="n">
        <v>160.4</v>
      </c>
      <c r="O459" s="50" t="n">
        <v>7.796</v>
      </c>
      <c r="P459" s="50" t="n"/>
      <c r="Q459" s="50" t="n">
        <v>160.6</v>
      </c>
      <c r="R459" s="50" t="n">
        <v>7.858</v>
      </c>
      <c r="S459" s="50" t="n"/>
    </row>
    <row r="460">
      <c r="A460" s="50" t="inlineStr">
        <is>
          <t>1988-11</t>
        </is>
      </c>
      <c r="B460" s="50" t="n">
        <v>119.2</v>
      </c>
      <c r="C460" s="50" t="n">
        <v>2.67</v>
      </c>
      <c r="D460" s="50" t="n"/>
      <c r="E460" s="50" t="n">
        <v>119.7</v>
      </c>
      <c r="F460" s="50" t="n">
        <v>2.747</v>
      </c>
      <c r="G460" s="50" t="n"/>
      <c r="H460" s="50" t="n">
        <v>121.5</v>
      </c>
      <c r="I460" s="50" t="n">
        <v>4.292</v>
      </c>
      <c r="J460" s="50" t="n"/>
      <c r="K460" s="50" t="n">
        <v>121.5</v>
      </c>
      <c r="L460" s="50" t="n">
        <v>4.292</v>
      </c>
      <c r="M460" s="50" t="n"/>
      <c r="N460" s="50" t="n">
        <v>161.4</v>
      </c>
      <c r="O460" s="50" t="n">
        <v>8.321999999999999</v>
      </c>
      <c r="P460" s="50" t="n"/>
      <c r="Q460" s="50" t="n">
        <v>162.1</v>
      </c>
      <c r="R460" s="50" t="n">
        <v>8.356</v>
      </c>
      <c r="S460" s="50" t="n"/>
    </row>
    <row r="461">
      <c r="A461" s="50" t="inlineStr">
        <is>
          <t>1988-12</t>
        </is>
      </c>
      <c r="B461" s="50" t="n">
        <v>119.7</v>
      </c>
      <c r="C461" s="50" t="n">
        <v>2.835</v>
      </c>
      <c r="D461" s="50" t="n"/>
      <c r="E461" s="50" t="n">
        <v>120.2</v>
      </c>
      <c r="F461" s="50" t="n">
        <v>3.353</v>
      </c>
      <c r="G461" s="50" t="n"/>
      <c r="H461" s="50" t="n">
        <v>121.5</v>
      </c>
      <c r="I461" s="50" t="n">
        <v>3.935</v>
      </c>
      <c r="J461" s="50" t="n"/>
      <c r="K461" s="50" t="n">
        <v>121.5</v>
      </c>
      <c r="L461" s="50" t="n">
        <v>3.935</v>
      </c>
      <c r="M461" s="50" t="n"/>
      <c r="N461" s="50" t="n">
        <v>161.8</v>
      </c>
      <c r="O461" s="50" t="n">
        <v>8.518000000000001</v>
      </c>
      <c r="P461" s="50" t="n"/>
      <c r="Q461" s="50" t="n">
        <v>162</v>
      </c>
      <c r="R461" s="50" t="n">
        <v>8.433999999999999</v>
      </c>
      <c r="S461" s="50" t="n"/>
    </row>
    <row r="462">
      <c r="A462" s="50" t="inlineStr">
        <is>
          <t>1989-01</t>
        </is>
      </c>
      <c r="B462" s="50" t="n">
        <v>121.1</v>
      </c>
      <c r="C462" s="50" t="n">
        <v>4.487</v>
      </c>
      <c r="D462" s="50" t="n"/>
      <c r="E462" s="50" t="n">
        <v>120.5</v>
      </c>
      <c r="F462" s="50" t="n">
        <v>3.879</v>
      </c>
      <c r="G462" s="50" t="n"/>
      <c r="H462" s="50" t="n">
        <v>122.5</v>
      </c>
      <c r="I462" s="50" t="n">
        <v>4.522</v>
      </c>
      <c r="J462" s="50" t="n"/>
      <c r="K462" s="50" t="n">
        <v>122.4</v>
      </c>
      <c r="L462" s="50" t="n">
        <v>4.437</v>
      </c>
      <c r="M462" s="50" t="n"/>
      <c r="N462" s="50" t="n">
        <v>162.2</v>
      </c>
      <c r="O462" s="50" t="n">
        <v>7.488</v>
      </c>
      <c r="P462" s="50" t="n"/>
      <c r="Q462" s="50" t="n">
        <v>162.8</v>
      </c>
      <c r="R462" s="50" t="n">
        <v>7.388</v>
      </c>
      <c r="S462" s="50" t="n"/>
    </row>
    <row r="463">
      <c r="A463" s="50" t="inlineStr">
        <is>
          <t>1989-02</t>
        </is>
      </c>
      <c r="B463" s="50" t="n">
        <v>122.3</v>
      </c>
      <c r="C463" s="50" t="n">
        <v>5.069</v>
      </c>
      <c r="D463" s="50" t="n"/>
      <c r="E463" s="50" t="n">
        <v>120.5</v>
      </c>
      <c r="F463" s="50" t="n">
        <v>3.879</v>
      </c>
      <c r="G463" s="50" t="n"/>
      <c r="H463" s="50" t="n">
        <v>123.3</v>
      </c>
      <c r="I463" s="50" t="n">
        <v>4.758</v>
      </c>
      <c r="J463" s="50" t="n"/>
      <c r="K463" s="50" t="n">
        <v>123.3</v>
      </c>
      <c r="L463" s="50" t="n">
        <v>4.758</v>
      </c>
      <c r="M463" s="50" t="n"/>
      <c r="N463" s="50" t="n">
        <v>162.8</v>
      </c>
      <c r="O463" s="50" t="n">
        <v>7.246</v>
      </c>
      <c r="P463" s="50" t="n"/>
      <c r="Q463" s="50" t="n">
        <v>163.2</v>
      </c>
      <c r="R463" s="50" t="n">
        <v>7.157</v>
      </c>
      <c r="S463" s="50" t="n"/>
    </row>
    <row r="464">
      <c r="A464" s="50" t="inlineStr">
        <is>
          <t>1989-03</t>
        </is>
      </c>
      <c r="B464" s="50" t="n">
        <v>122.7</v>
      </c>
      <c r="C464" s="50" t="n">
        <v>4.962</v>
      </c>
      <c r="D464" s="50" t="n"/>
      <c r="E464" s="50" t="n">
        <v>120.5</v>
      </c>
      <c r="F464" s="50" t="n">
        <v>3.79</v>
      </c>
      <c r="G464" s="50" t="n"/>
      <c r="H464" s="50" t="n">
        <v>123.3</v>
      </c>
      <c r="I464" s="50" t="n">
        <v>4.051</v>
      </c>
      <c r="J464" s="50" t="n"/>
      <c r="K464" s="50" t="n">
        <v>123.5</v>
      </c>
      <c r="L464" s="50" t="n">
        <v>4.219</v>
      </c>
      <c r="M464" s="50" t="n"/>
      <c r="N464" s="50" t="n">
        <v>163.1</v>
      </c>
      <c r="O464" s="50" t="n">
        <v>7.162</v>
      </c>
      <c r="P464" s="50" t="n"/>
      <c r="Q464" s="50" t="n">
        <v>163.3</v>
      </c>
      <c r="R464" s="50" t="n">
        <v>7.012</v>
      </c>
      <c r="S464" s="50" t="n"/>
    </row>
    <row r="465">
      <c r="A465" s="50" t="inlineStr">
        <is>
          <t>1989-04</t>
        </is>
      </c>
      <c r="B465" s="50" t="n">
        <v>122.7</v>
      </c>
      <c r="C465" s="50" t="n">
        <v>4.604</v>
      </c>
      <c r="D465" s="50" t="n"/>
      <c r="E465" s="50" t="n">
        <v>120.7</v>
      </c>
      <c r="F465" s="50" t="n">
        <v>3.516</v>
      </c>
      <c r="G465" s="50" t="n"/>
      <c r="H465" s="50" t="n">
        <v>123.8</v>
      </c>
      <c r="I465" s="50" t="n">
        <v>4.209</v>
      </c>
      <c r="J465" s="50" t="n"/>
      <c r="K465" s="50" t="n">
        <v>123.8</v>
      </c>
      <c r="L465" s="50" t="n">
        <v>4.209</v>
      </c>
      <c r="M465" s="50" t="n"/>
      <c r="N465" s="50" t="n">
        <v>164.5</v>
      </c>
      <c r="O465" s="50" t="n">
        <v>7.096</v>
      </c>
      <c r="P465" s="50" t="n"/>
      <c r="Q465" s="50" t="n">
        <v>164.3</v>
      </c>
      <c r="R465" s="50" t="n">
        <v>6.966</v>
      </c>
      <c r="S465" s="50" t="n"/>
    </row>
    <row r="466">
      <c r="A466" s="50" t="inlineStr">
        <is>
          <t>1989-05</t>
        </is>
      </c>
      <c r="B466" s="50" t="n">
        <v>121.7</v>
      </c>
      <c r="C466" s="50" t="n">
        <v>3.663</v>
      </c>
      <c r="D466" s="50" t="n"/>
      <c r="E466" s="50" t="n">
        <v>121</v>
      </c>
      <c r="F466" s="50" t="n">
        <v>3.419</v>
      </c>
      <c r="G466" s="50" t="n"/>
      <c r="H466" s="50" t="n">
        <v>124.3</v>
      </c>
      <c r="I466" s="50" t="n">
        <v>4.191</v>
      </c>
      <c r="J466" s="50" t="n"/>
      <c r="K466" s="50" t="n">
        <v>124.3</v>
      </c>
      <c r="L466" s="50" t="n">
        <v>4.191</v>
      </c>
      <c r="M466" s="50" t="n"/>
      <c r="N466" s="50" t="n">
        <v>165.5</v>
      </c>
      <c r="O466" s="50" t="n">
        <v>6.912</v>
      </c>
      <c r="P466" s="50" t="n"/>
      <c r="Q466" s="50" t="n">
        <v>165.4</v>
      </c>
      <c r="R466" s="50" t="n">
        <v>6.848</v>
      </c>
      <c r="S466" s="50" t="n"/>
    </row>
    <row r="467">
      <c r="A467" s="50" t="inlineStr">
        <is>
          <t>1989-06</t>
        </is>
      </c>
      <c r="B467" s="50" t="n">
        <v>120.9</v>
      </c>
      <c r="C467" s="50" t="n">
        <v>2.806</v>
      </c>
      <c r="D467" s="50" t="n"/>
      <c r="E467" s="50" t="n">
        <v>121.3</v>
      </c>
      <c r="F467" s="50" t="n">
        <v>3.146</v>
      </c>
      <c r="G467" s="50" t="n"/>
      <c r="H467" s="50" t="n">
        <v>124.6</v>
      </c>
      <c r="I467" s="50" t="n">
        <v>4.094</v>
      </c>
      <c r="J467" s="50" t="n"/>
      <c r="K467" s="50" t="n">
        <v>124.5</v>
      </c>
      <c r="L467" s="50" t="n">
        <v>4.01</v>
      </c>
      <c r="M467" s="50" t="n"/>
      <c r="N467" s="50" t="n">
        <v>166.5</v>
      </c>
      <c r="O467" s="50" t="n">
        <v>6.594</v>
      </c>
      <c r="P467" s="50" t="n"/>
      <c r="Q467" s="50" t="n">
        <v>166.4</v>
      </c>
      <c r="R467" s="50" t="n">
        <v>6.598</v>
      </c>
      <c r="S467" s="50" t="n"/>
    </row>
    <row r="468">
      <c r="A468" s="50" t="inlineStr">
        <is>
          <t>1989-07</t>
        </is>
      </c>
      <c r="B468" s="50" t="n">
        <v>120.1</v>
      </c>
      <c r="C468" s="50" t="n">
        <v>1.866</v>
      </c>
      <c r="D468" s="50" t="n"/>
      <c r="E468" s="50" t="n">
        <v>121.1</v>
      </c>
      <c r="F468" s="50" t="n">
        <v>2.714</v>
      </c>
      <c r="G468" s="50" t="n"/>
      <c r="H468" s="50" t="n">
        <v>124.9</v>
      </c>
      <c r="I468" s="50" t="n">
        <v>4.083</v>
      </c>
      <c r="J468" s="50" t="n"/>
      <c r="K468" s="50" t="n">
        <v>124.8</v>
      </c>
      <c r="L468" s="50" t="n">
        <v>4</v>
      </c>
      <c r="M468" s="50" t="n"/>
      <c r="N468" s="50" t="n">
        <v>167.3</v>
      </c>
      <c r="O468" s="50" t="n">
        <v>6.357</v>
      </c>
      <c r="P468" s="50" t="n"/>
      <c r="Q468" s="50" t="n">
        <v>166.8</v>
      </c>
      <c r="R468" s="50" t="n">
        <v>6.31</v>
      </c>
      <c r="S468" s="50" t="n"/>
    </row>
    <row r="469">
      <c r="A469" s="50" t="inlineStr">
        <is>
          <t>1989-08</t>
        </is>
      </c>
      <c r="B469" s="50" t="n">
        <v>119.1</v>
      </c>
      <c r="C469" s="50" t="n">
        <v>0.506</v>
      </c>
      <c r="D469" s="50" t="n"/>
      <c r="E469" s="50" t="n">
        <v>120.3</v>
      </c>
      <c r="F469" s="50" t="n">
        <v>0.923</v>
      </c>
      <c r="G469" s="50" t="n"/>
      <c r="H469" s="50" t="n">
        <v>125.6</v>
      </c>
      <c r="I469" s="50" t="n">
        <v>4.406</v>
      </c>
      <c r="J469" s="50" t="n"/>
      <c r="K469" s="50" t="n">
        <v>125.4</v>
      </c>
      <c r="L469" s="50" t="n">
        <v>4.239</v>
      </c>
      <c r="M469" s="50" t="n"/>
      <c r="N469" s="50" t="n">
        <v>167.7</v>
      </c>
      <c r="O469" s="50" t="n">
        <v>5.405</v>
      </c>
      <c r="P469" s="50" t="n"/>
      <c r="Q469" s="50" t="n">
        <v>167</v>
      </c>
      <c r="R469" s="50" t="n">
        <v>5.629</v>
      </c>
      <c r="S469" s="50" t="n"/>
    </row>
    <row r="470">
      <c r="A470" s="50" t="inlineStr">
        <is>
          <t>1989-09</t>
        </is>
      </c>
      <c r="B470" s="50" t="n">
        <v>118.6</v>
      </c>
      <c r="C470" s="50" t="n">
        <v>-0.252</v>
      </c>
      <c r="D470" s="50" t="n"/>
      <c r="E470" s="50" t="n">
        <v>119.8</v>
      </c>
      <c r="F470" s="50" t="n">
        <v>0.335</v>
      </c>
      <c r="G470" s="50" t="n"/>
      <c r="H470" s="50" t="n">
        <v>126</v>
      </c>
      <c r="I470" s="50" t="n">
        <v>4.218</v>
      </c>
      <c r="J470" s="50" t="n"/>
      <c r="K470" s="50" t="n">
        <v>126.2</v>
      </c>
      <c r="L470" s="50" t="n">
        <v>4.384</v>
      </c>
      <c r="M470" s="50" t="n"/>
      <c r="N470" s="50" t="n">
        <v>168.6</v>
      </c>
      <c r="O470" s="50" t="n">
        <v>5.573</v>
      </c>
      <c r="P470" s="50" t="n"/>
      <c r="Q470" s="50" t="n">
        <v>167.4</v>
      </c>
      <c r="R470" s="50" t="n">
        <v>5.682</v>
      </c>
      <c r="S470" s="50" t="n"/>
    </row>
    <row r="471">
      <c r="A471" s="50" t="inlineStr">
        <is>
          <t>1989-10</t>
        </is>
      </c>
      <c r="B471" s="50" t="n">
        <v>118.4</v>
      </c>
      <c r="C471" s="50" t="n">
        <v>-0.671</v>
      </c>
      <c r="D471" s="50" t="n"/>
      <c r="E471" s="50" t="n">
        <v>119.7</v>
      </c>
      <c r="F471" s="50" t="n">
        <v>-0.167</v>
      </c>
      <c r="G471" s="50" t="n"/>
      <c r="H471" s="50" t="n">
        <v>126.5</v>
      </c>
      <c r="I471" s="50" t="n">
        <v>4.459</v>
      </c>
      <c r="J471" s="50" t="n"/>
      <c r="K471" s="50" t="n">
        <v>126.7</v>
      </c>
      <c r="L471" s="50" t="n">
        <v>4.624</v>
      </c>
      <c r="M471" s="50" t="n"/>
      <c r="N471" s="50" t="n">
        <v>169.1</v>
      </c>
      <c r="O471" s="50" t="n">
        <v>5.424</v>
      </c>
      <c r="P471" s="50" t="n"/>
      <c r="Q471" s="50" t="n">
        <v>169.4</v>
      </c>
      <c r="R471" s="50" t="n">
        <v>5.479</v>
      </c>
      <c r="S471" s="50" t="n"/>
    </row>
    <row r="472">
      <c r="A472" s="50" t="inlineStr">
        <is>
          <t>1989-11</t>
        </is>
      </c>
      <c r="B472" s="50" t="n">
        <v>118.6</v>
      </c>
      <c r="C472" s="50" t="n">
        <v>-0.503</v>
      </c>
      <c r="D472" s="50" t="n"/>
      <c r="E472" s="50" t="n">
        <v>120.1</v>
      </c>
      <c r="F472" s="50" t="n">
        <v>0.334</v>
      </c>
      <c r="G472" s="50" t="n"/>
      <c r="H472" s="50" t="n">
        <v>126.7</v>
      </c>
      <c r="I472" s="50" t="n">
        <v>4.28</v>
      </c>
      <c r="J472" s="50" t="n"/>
      <c r="K472" s="50" t="n">
        <v>126.7</v>
      </c>
      <c r="L472" s="50" t="n">
        <v>4.28</v>
      </c>
      <c r="M472" s="50" t="n"/>
      <c r="N472" s="50" t="n">
        <v>170.2</v>
      </c>
      <c r="O472" s="50" t="n">
        <v>5.452</v>
      </c>
      <c r="P472" s="50" t="n"/>
      <c r="Q472" s="50" t="n">
        <v>171.1</v>
      </c>
      <c r="R472" s="50" t="n">
        <v>5.552</v>
      </c>
      <c r="S472" s="50" t="n"/>
    </row>
    <row r="473">
      <c r="A473" s="50" t="inlineStr">
        <is>
          <t>1989-12</t>
        </is>
      </c>
      <c r="B473" s="50" t="n">
        <v>119.2</v>
      </c>
      <c r="C473" s="50" t="n">
        <v>-0.418</v>
      </c>
      <c r="D473" s="50" t="n"/>
      <c r="E473" s="50" t="n">
        <v>119.7</v>
      </c>
      <c r="F473" s="50" t="n">
        <v>-0.416</v>
      </c>
      <c r="G473" s="50" t="n"/>
      <c r="H473" s="50" t="n">
        <v>127.1</v>
      </c>
      <c r="I473" s="50" t="n">
        <v>4.609</v>
      </c>
      <c r="J473" s="50" t="n"/>
      <c r="K473" s="50" t="n">
        <v>126.9</v>
      </c>
      <c r="L473" s="50" t="n">
        <v>4.444</v>
      </c>
      <c r="M473" s="50" t="n"/>
      <c r="N473" s="50" t="n">
        <v>171.2</v>
      </c>
      <c r="O473" s="50" t="n">
        <v>5.81</v>
      </c>
      <c r="P473" s="50" t="n"/>
      <c r="Q473" s="50" t="n">
        <v>171.5</v>
      </c>
      <c r="R473" s="50" t="n">
        <v>5.864</v>
      </c>
      <c r="S473" s="50" t="n"/>
    </row>
    <row r="474">
      <c r="A474" s="50" t="inlineStr">
        <is>
          <t>1990-01</t>
        </is>
      </c>
      <c r="B474" s="50" t="n">
        <v>119.2</v>
      </c>
      <c r="C474" s="50" t="n">
        <v>-1.569</v>
      </c>
      <c r="D474" s="50" t="n"/>
      <c r="E474" s="50" t="n">
        <v>118.9</v>
      </c>
      <c r="F474" s="50" t="n">
        <v>-1.328</v>
      </c>
      <c r="G474" s="50" t="n"/>
      <c r="H474" s="50" t="n">
        <v>127.5</v>
      </c>
      <c r="I474" s="50" t="n">
        <v>4.082</v>
      </c>
      <c r="J474" s="50" t="n"/>
      <c r="K474" s="50" t="n">
        <v>127.3</v>
      </c>
      <c r="L474" s="50" t="n">
        <v>4.003</v>
      </c>
      <c r="M474" s="50" t="n"/>
      <c r="N474" s="50" t="n">
        <v>172.3</v>
      </c>
      <c r="O474" s="50" t="n">
        <v>6.227</v>
      </c>
      <c r="P474" s="50" t="n"/>
      <c r="Q474" s="50" t="n">
        <v>173.3</v>
      </c>
      <c r="R474" s="50" t="n">
        <v>6.45</v>
      </c>
      <c r="S474" s="50" t="n"/>
    </row>
    <row r="475">
      <c r="A475" s="50" t="inlineStr">
        <is>
          <t>1990-02</t>
        </is>
      </c>
      <c r="B475" s="50" t="n">
        <v>118.7</v>
      </c>
      <c r="C475" s="50" t="n">
        <v>-2.944</v>
      </c>
      <c r="D475" s="50" t="n"/>
      <c r="E475" s="50" t="n">
        <v>117.4</v>
      </c>
      <c r="F475" s="50" t="n">
        <v>-2.573</v>
      </c>
      <c r="G475" s="50" t="n"/>
      <c r="H475" s="50" t="n">
        <v>127.6</v>
      </c>
      <c r="I475" s="50" t="n">
        <v>3.487</v>
      </c>
      <c r="J475" s="50" t="n"/>
      <c r="K475" s="50" t="n">
        <v>127.6</v>
      </c>
      <c r="L475" s="50" t="n">
        <v>3.487</v>
      </c>
      <c r="M475" s="50" t="n"/>
      <c r="N475" s="50" t="n">
        <v>173.6</v>
      </c>
      <c r="O475" s="50" t="n">
        <v>6.634</v>
      </c>
      <c r="P475" s="50" t="n"/>
      <c r="Q475" s="50" t="n">
        <v>174.4</v>
      </c>
      <c r="R475" s="50" t="n">
        <v>6.863</v>
      </c>
      <c r="S475" s="50" t="n"/>
    </row>
    <row r="476">
      <c r="A476" s="50" t="inlineStr">
        <is>
          <t>1990-03</t>
        </is>
      </c>
      <c r="B476" s="50" t="n">
        <v>118.5</v>
      </c>
      <c r="C476" s="50" t="n">
        <v>-3.423</v>
      </c>
      <c r="D476" s="50" t="n"/>
      <c r="E476" s="50" t="n">
        <v>116.6</v>
      </c>
      <c r="F476" s="50" t="n">
        <v>-3.237</v>
      </c>
      <c r="G476" s="50" t="n"/>
      <c r="H476" s="50" t="n">
        <v>128.6</v>
      </c>
      <c r="I476" s="50" t="n">
        <v>4.298</v>
      </c>
      <c r="J476" s="50" t="n"/>
      <c r="K476" s="50" t="n">
        <v>128.8</v>
      </c>
      <c r="L476" s="50" t="n">
        <v>4.291</v>
      </c>
      <c r="M476" s="50" t="n"/>
      <c r="N476" s="50" t="n">
        <v>174.5</v>
      </c>
      <c r="O476" s="50" t="n">
        <v>6.99</v>
      </c>
      <c r="P476" s="50" t="n"/>
      <c r="Q476" s="50" t="n">
        <v>175</v>
      </c>
      <c r="R476" s="50" t="n">
        <v>7.165</v>
      </c>
      <c r="S476" s="50" t="n"/>
    </row>
    <row r="477">
      <c r="A477" s="50" t="inlineStr">
        <is>
          <t>1990-04</t>
        </is>
      </c>
      <c r="B477" s="50" t="n">
        <v>118.2</v>
      </c>
      <c r="C477" s="50" t="n">
        <v>-3.667</v>
      </c>
      <c r="D477" s="50" t="n"/>
      <c r="E477" s="50" t="n">
        <v>116.2</v>
      </c>
      <c r="F477" s="50" t="n">
        <v>-3.728</v>
      </c>
      <c r="G477" s="50" t="n"/>
      <c r="H477" s="50" t="n">
        <v>129.4</v>
      </c>
      <c r="I477" s="50" t="n">
        <v>4.523</v>
      </c>
      <c r="J477" s="50" t="n"/>
      <c r="K477" s="50" t="n">
        <v>129.4</v>
      </c>
      <c r="L477" s="50" t="n">
        <v>4.523</v>
      </c>
      <c r="M477" s="50" t="n"/>
      <c r="N477" s="50" t="n">
        <v>175.6</v>
      </c>
      <c r="O477" s="50" t="n">
        <v>6.748</v>
      </c>
      <c r="P477" s="50" t="n"/>
      <c r="Q477" s="50" t="n">
        <v>175.4</v>
      </c>
      <c r="R477" s="50" t="n">
        <v>6.756</v>
      </c>
      <c r="S477" s="50" t="n"/>
    </row>
    <row r="478">
      <c r="A478" s="50" t="inlineStr">
        <is>
          <t>1990-05</t>
        </is>
      </c>
      <c r="B478" s="50" t="n">
        <v>117.6</v>
      </c>
      <c r="C478" s="50" t="n">
        <v>-3.369</v>
      </c>
      <c r="D478" s="50" t="n"/>
      <c r="E478" s="50" t="n">
        <v>116.9</v>
      </c>
      <c r="F478" s="50" t="n">
        <v>-3.388</v>
      </c>
      <c r="G478" s="50" t="n"/>
      <c r="H478" s="50" t="n">
        <v>129.4</v>
      </c>
      <c r="I478" s="50" t="n">
        <v>4.103</v>
      </c>
      <c r="J478" s="50" t="n"/>
      <c r="K478" s="50" t="n">
        <v>129.4</v>
      </c>
      <c r="L478" s="50" t="n">
        <v>4.103</v>
      </c>
      <c r="M478" s="50" t="n"/>
      <c r="N478" s="50" t="n">
        <v>176.5</v>
      </c>
      <c r="O478" s="50" t="n">
        <v>6.647</v>
      </c>
      <c r="P478" s="50" t="n"/>
      <c r="Q478" s="50" t="n">
        <v>176.4</v>
      </c>
      <c r="R478" s="50" t="n">
        <v>6.651</v>
      </c>
      <c r="S478" s="50" t="n"/>
    </row>
    <row r="479">
      <c r="A479" s="50" t="inlineStr">
        <is>
          <t>1990-06</t>
        </is>
      </c>
      <c r="B479" s="50" t="n">
        <v>117.3</v>
      </c>
      <c r="C479" s="50" t="n">
        <v>-2.978</v>
      </c>
      <c r="D479" s="50" t="n"/>
      <c r="E479" s="50" t="n">
        <v>117.6</v>
      </c>
      <c r="F479" s="50" t="n">
        <v>-3.05</v>
      </c>
      <c r="G479" s="50" t="n"/>
      <c r="H479" s="50" t="n">
        <v>129.7</v>
      </c>
      <c r="I479" s="50" t="n">
        <v>4.093</v>
      </c>
      <c r="J479" s="50" t="n"/>
      <c r="K479" s="50" t="n">
        <v>129.6</v>
      </c>
      <c r="L479" s="50" t="n">
        <v>4.096</v>
      </c>
      <c r="M479" s="50" t="n"/>
      <c r="N479" s="50" t="n">
        <v>177.8</v>
      </c>
      <c r="O479" s="50" t="n">
        <v>6.787</v>
      </c>
      <c r="P479" s="50" t="n"/>
      <c r="Q479" s="50" t="n">
        <v>176.9</v>
      </c>
      <c r="R479" s="50" t="n">
        <v>6.31</v>
      </c>
      <c r="S479" s="50" t="n"/>
    </row>
    <row r="480">
      <c r="A480" s="50" t="inlineStr">
        <is>
          <t>1990-07</t>
        </is>
      </c>
      <c r="B480" s="50" t="n">
        <v>117.5</v>
      </c>
      <c r="C480" s="50" t="n">
        <v>-2.165</v>
      </c>
      <c r="D480" s="50" t="n"/>
      <c r="E480" s="50" t="n">
        <v>118.2</v>
      </c>
      <c r="F480" s="50" t="n">
        <v>-2.395</v>
      </c>
      <c r="G480" s="50" t="n"/>
      <c r="H480" s="50" t="n">
        <v>130.3</v>
      </c>
      <c r="I480" s="50" t="n">
        <v>4.323</v>
      </c>
      <c r="J480" s="50" t="n"/>
      <c r="K480" s="50" t="n">
        <v>130.2</v>
      </c>
      <c r="L480" s="50" t="n">
        <v>4.327</v>
      </c>
      <c r="M480" s="50" t="n"/>
      <c r="N480" s="50" t="n">
        <v>178</v>
      </c>
      <c r="O480" s="50" t="n">
        <v>6.396</v>
      </c>
      <c r="P480" s="50" t="n"/>
      <c r="Q480" s="50" t="n">
        <v>176.9</v>
      </c>
      <c r="R480" s="50" t="n">
        <v>6.055</v>
      </c>
      <c r="S480" s="50" t="n"/>
    </row>
    <row r="481">
      <c r="A481" s="50" t="inlineStr">
        <is>
          <t>1990-08</t>
        </is>
      </c>
      <c r="B481" s="50" t="n">
        <v>117.2</v>
      </c>
      <c r="C481" s="50" t="n">
        <v>-1.595</v>
      </c>
      <c r="D481" s="50" t="n"/>
      <c r="E481" s="50" t="n">
        <v>118.3</v>
      </c>
      <c r="F481" s="50" t="n">
        <v>-1.663</v>
      </c>
      <c r="G481" s="50" t="n"/>
      <c r="H481" s="50" t="n">
        <v>130.5</v>
      </c>
      <c r="I481" s="50" t="n">
        <v>3.901</v>
      </c>
      <c r="J481" s="50" t="n"/>
      <c r="K481" s="50" t="n">
        <v>130.4</v>
      </c>
      <c r="L481" s="50" t="n">
        <v>3.987</v>
      </c>
      <c r="M481" s="50" t="n"/>
      <c r="N481" s="50" t="n">
        <v>179</v>
      </c>
      <c r="O481" s="50" t="n">
        <v>6.738</v>
      </c>
      <c r="P481" s="50" t="n"/>
      <c r="Q481" s="50" t="n">
        <v>177.6</v>
      </c>
      <c r="R481" s="50" t="n">
        <v>6.347</v>
      </c>
      <c r="S481" s="50" t="n"/>
    </row>
    <row r="482">
      <c r="A482" s="50" t="inlineStr">
        <is>
          <t>1990-09</t>
        </is>
      </c>
      <c r="B482" s="50" t="n">
        <v>117.2</v>
      </c>
      <c r="C482" s="50" t="n">
        <v>-1.18</v>
      </c>
      <c r="D482" s="50" t="n"/>
      <c r="E482" s="50" t="n">
        <v>118.3</v>
      </c>
      <c r="F482" s="50" t="n">
        <v>-1.252</v>
      </c>
      <c r="G482" s="50" t="n"/>
      <c r="H482" s="50" t="n">
        <v>131.3</v>
      </c>
      <c r="I482" s="50" t="n">
        <v>4.206</v>
      </c>
      <c r="J482" s="50" t="n"/>
      <c r="K482" s="50" t="n">
        <v>131.5</v>
      </c>
      <c r="L482" s="50" t="n">
        <v>4.2</v>
      </c>
      <c r="M482" s="50" t="n"/>
      <c r="N482" s="50" t="n">
        <v>180.2</v>
      </c>
      <c r="O482" s="50" t="n">
        <v>6.88</v>
      </c>
      <c r="P482" s="50" t="n"/>
      <c r="Q482" s="50" t="n">
        <v>178.6</v>
      </c>
      <c r="R482" s="50" t="n">
        <v>6.691</v>
      </c>
      <c r="S482" s="50" t="n"/>
    </row>
    <row r="483">
      <c r="A483" s="50" t="inlineStr">
        <is>
          <t>1990-10</t>
        </is>
      </c>
      <c r="B483" s="50" t="n">
        <v>116.8</v>
      </c>
      <c r="C483" s="50" t="n">
        <v>-1.351</v>
      </c>
      <c r="D483" s="50" t="n"/>
      <c r="E483" s="50" t="n">
        <v>118.1</v>
      </c>
      <c r="F483" s="50" t="n">
        <v>-1.337</v>
      </c>
      <c r="G483" s="50" t="n"/>
      <c r="H483" s="50" t="n">
        <v>131.9</v>
      </c>
      <c r="I483" s="50" t="n">
        <v>4.269</v>
      </c>
      <c r="J483" s="50" t="n"/>
      <c r="K483" s="50" t="n">
        <v>132.1</v>
      </c>
      <c r="L483" s="50" t="n">
        <v>4.262</v>
      </c>
      <c r="M483" s="50" t="n"/>
      <c r="N483" s="50" t="n">
        <v>181.2</v>
      </c>
      <c r="O483" s="50" t="n">
        <v>7.156</v>
      </c>
      <c r="P483" s="50" t="n"/>
      <c r="Q483" s="50" t="n">
        <v>181.8</v>
      </c>
      <c r="R483" s="50" t="n">
        <v>7.32</v>
      </c>
      <c r="S483" s="50" t="n"/>
    </row>
    <row r="484">
      <c r="A484" s="50" t="inlineStr">
        <is>
          <t>1990-11</t>
        </is>
      </c>
      <c r="B484" s="50" t="n">
        <v>115.4</v>
      </c>
      <c r="C484" s="50" t="n">
        <v>-2.698</v>
      </c>
      <c r="D484" s="50" t="n"/>
      <c r="E484" s="50" t="n">
        <v>117.2</v>
      </c>
      <c r="F484" s="50" t="n">
        <v>-2.415</v>
      </c>
      <c r="G484" s="50" t="n"/>
      <c r="H484" s="50" t="n">
        <v>132.5</v>
      </c>
      <c r="I484" s="50" t="n">
        <v>4.578</v>
      </c>
      <c r="J484" s="50" t="n"/>
      <c r="K484" s="50" t="n">
        <v>132.5</v>
      </c>
      <c r="L484" s="50" t="n">
        <v>4.578</v>
      </c>
      <c r="M484" s="50" t="n"/>
      <c r="N484" s="50" t="n">
        <v>182.4</v>
      </c>
      <c r="O484" s="50" t="n">
        <v>7.168</v>
      </c>
      <c r="P484" s="50" t="n"/>
      <c r="Q484" s="50" t="n">
        <v>183.7</v>
      </c>
      <c r="R484" s="50" t="n">
        <v>7.364</v>
      </c>
      <c r="S484" s="50" t="n"/>
    </row>
    <row r="485">
      <c r="A485" s="50" t="inlineStr">
        <is>
          <t>1990-12</t>
        </is>
      </c>
      <c r="B485" s="50" t="n">
        <v>116.3</v>
      </c>
      <c r="C485" s="50" t="n">
        <v>-2.433</v>
      </c>
      <c r="D485" s="50" t="n"/>
      <c r="E485" s="50" t="n">
        <v>117.1</v>
      </c>
      <c r="F485" s="50" t="n">
        <v>-2.172</v>
      </c>
      <c r="G485" s="50" t="n"/>
      <c r="H485" s="50" t="n">
        <v>132.7</v>
      </c>
      <c r="I485" s="50" t="n">
        <v>4.406</v>
      </c>
      <c r="J485" s="50" t="n"/>
      <c r="K485" s="50" t="n">
        <v>132.5</v>
      </c>
      <c r="L485" s="50" t="n">
        <v>4.413</v>
      </c>
      <c r="M485" s="50" t="n"/>
      <c r="N485" s="50" t="n">
        <v>183.2</v>
      </c>
      <c r="O485" s="50" t="n">
        <v>7.009</v>
      </c>
      <c r="P485" s="50" t="n"/>
      <c r="Q485" s="50" t="n">
        <v>184.4</v>
      </c>
      <c r="R485" s="50" t="n">
        <v>7.522</v>
      </c>
      <c r="S485" s="50" t="n"/>
    </row>
    <row r="486">
      <c r="A486" s="50" t="inlineStr">
        <is>
          <t>1991-01</t>
        </is>
      </c>
      <c r="B486" s="50" t="n">
        <v>116.6</v>
      </c>
      <c r="C486" s="50" t="n">
        <v>-2.181</v>
      </c>
      <c r="D486" s="50" t="n"/>
      <c r="E486" s="50" t="n">
        <v>116.1</v>
      </c>
      <c r="F486" s="50" t="n">
        <v>-2.355</v>
      </c>
      <c r="G486" s="50" t="n"/>
      <c r="H486" s="50" t="n">
        <v>133.3</v>
      </c>
      <c r="I486" s="50" t="n">
        <v>4.549</v>
      </c>
      <c r="J486" s="50" t="n"/>
      <c r="K486" s="50" t="n">
        <v>133.1</v>
      </c>
      <c r="L486" s="50" t="n">
        <v>4.556</v>
      </c>
      <c r="M486" s="50" t="n"/>
      <c r="N486" s="50" t="n">
        <v>184.3</v>
      </c>
      <c r="O486" s="50" t="n">
        <v>6.965</v>
      </c>
      <c r="P486" s="50" t="n"/>
      <c r="Q486" s="50" t="n">
        <v>185.4</v>
      </c>
      <c r="R486" s="50" t="n">
        <v>6.982</v>
      </c>
      <c r="S486" s="50" t="n"/>
    </row>
    <row r="487">
      <c r="A487" s="50" t="inlineStr">
        <is>
          <t>1991-02</t>
        </is>
      </c>
      <c r="B487" s="50" t="n">
        <v>116.6</v>
      </c>
      <c r="C487" s="50" t="n">
        <v>-1.769</v>
      </c>
      <c r="D487" s="50" t="n"/>
      <c r="E487" s="50" t="n">
        <v>115.1</v>
      </c>
      <c r="F487" s="50" t="n">
        <v>-1.959</v>
      </c>
      <c r="G487" s="50" t="n"/>
      <c r="H487" s="50" t="n">
        <v>133.5</v>
      </c>
      <c r="I487" s="50" t="n">
        <v>4.624</v>
      </c>
      <c r="J487" s="50" t="n"/>
      <c r="K487" s="50" t="n">
        <v>133.5</v>
      </c>
      <c r="L487" s="50" t="n">
        <v>4.624</v>
      </c>
      <c r="M487" s="50" t="n"/>
      <c r="N487" s="50" t="n">
        <v>185.7</v>
      </c>
      <c r="O487" s="50" t="n">
        <v>6.97</v>
      </c>
      <c r="P487" s="50" t="n"/>
      <c r="Q487" s="50" t="n">
        <v>186.5</v>
      </c>
      <c r="R487" s="50" t="n">
        <v>6.938</v>
      </c>
      <c r="S487" s="50" t="n"/>
    </row>
    <row r="488">
      <c r="A488" s="50" t="inlineStr">
        <is>
          <t>1991-03</t>
        </is>
      </c>
      <c r="B488" s="50" t="n">
        <v>116.8</v>
      </c>
      <c r="C488" s="50" t="n">
        <v>-1.435</v>
      </c>
      <c r="D488" s="50" t="n"/>
      <c r="E488" s="50" t="n">
        <v>114.4</v>
      </c>
      <c r="F488" s="50" t="n">
        <v>-1.887</v>
      </c>
      <c r="G488" s="50" t="n"/>
      <c r="H488" s="50" t="n">
        <v>133.9</v>
      </c>
      <c r="I488" s="50" t="n">
        <v>4.121</v>
      </c>
      <c r="J488" s="50" t="n"/>
      <c r="K488" s="50" t="n">
        <v>134.1</v>
      </c>
      <c r="L488" s="50" t="n">
        <v>4.115</v>
      </c>
      <c r="M488" s="50" t="n"/>
      <c r="N488" s="50" t="n">
        <v>186.9</v>
      </c>
      <c r="O488" s="50" t="n">
        <v>7.106</v>
      </c>
      <c r="P488" s="50" t="n"/>
      <c r="Q488" s="50" t="n">
        <v>187.4</v>
      </c>
      <c r="R488" s="50" t="n">
        <v>7.086</v>
      </c>
      <c r="S488" s="50" t="n"/>
    </row>
    <row r="489">
      <c r="A489" s="50" t="inlineStr">
        <is>
          <t>1991-04</t>
        </is>
      </c>
      <c r="B489" s="50" t="n">
        <v>117.2</v>
      </c>
      <c r="C489" s="50" t="n">
        <v>-0.846</v>
      </c>
      <c r="D489" s="50" t="n"/>
      <c r="E489" s="50" t="n">
        <v>115</v>
      </c>
      <c r="F489" s="50" t="n">
        <v>-1.033</v>
      </c>
      <c r="G489" s="50" t="n"/>
      <c r="H489" s="50" t="n">
        <v>134.4</v>
      </c>
      <c r="I489" s="50" t="n">
        <v>3.864</v>
      </c>
      <c r="J489" s="50" t="n"/>
      <c r="K489" s="50" t="n">
        <v>134.4</v>
      </c>
      <c r="L489" s="50" t="n">
        <v>3.864</v>
      </c>
      <c r="M489" s="50" t="n"/>
      <c r="N489" s="50" t="n">
        <v>187.7</v>
      </c>
      <c r="O489" s="50" t="n">
        <v>6.891</v>
      </c>
      <c r="P489" s="50" t="n"/>
      <c r="Q489" s="50" t="n">
        <v>187.5</v>
      </c>
      <c r="R489" s="50" t="n">
        <v>6.899</v>
      </c>
      <c r="S489" s="50" t="n"/>
    </row>
    <row r="490">
      <c r="A490" s="50" t="inlineStr">
        <is>
          <t>1991-05</t>
        </is>
      </c>
      <c r="B490" s="50" t="n">
        <v>117.9</v>
      </c>
      <c r="C490" s="50" t="n">
        <v>0.255</v>
      </c>
      <c r="D490" s="50" t="n"/>
      <c r="E490" s="50" t="n">
        <v>117</v>
      </c>
      <c r="F490" s="50" t="n">
        <v>0.08599999999999999</v>
      </c>
      <c r="G490" s="50" t="n"/>
      <c r="H490" s="50" t="n">
        <v>134.7</v>
      </c>
      <c r="I490" s="50" t="n">
        <v>4.096</v>
      </c>
      <c r="J490" s="50" t="n"/>
      <c r="K490" s="50" t="n">
        <v>134.7</v>
      </c>
      <c r="L490" s="50" t="n">
        <v>4.096</v>
      </c>
      <c r="M490" s="50" t="n"/>
      <c r="N490" s="50" t="n">
        <v>188.5</v>
      </c>
      <c r="O490" s="50" t="n">
        <v>6.799</v>
      </c>
      <c r="P490" s="50" t="n"/>
      <c r="Q490" s="50" t="n">
        <v>188.4</v>
      </c>
      <c r="R490" s="50" t="n">
        <v>6.803</v>
      </c>
      <c r="S490" s="50" t="n"/>
    </row>
    <row r="491">
      <c r="A491" s="50" t="inlineStr">
        <is>
          <t>1991-06</t>
        </is>
      </c>
      <c r="B491" s="50" t="n">
        <v>118.4</v>
      </c>
      <c r="C491" s="50" t="n">
        <v>0.9379999999999999</v>
      </c>
      <c r="D491" s="50" t="n"/>
      <c r="E491" s="50" t="n">
        <v>118.8</v>
      </c>
      <c r="F491" s="50" t="n">
        <v>1.02</v>
      </c>
      <c r="G491" s="50" t="n"/>
      <c r="H491" s="50" t="n">
        <v>135.7</v>
      </c>
      <c r="I491" s="50" t="n">
        <v>4.626</v>
      </c>
      <c r="J491" s="50" t="n"/>
      <c r="K491" s="50" t="n">
        <v>135.6</v>
      </c>
      <c r="L491" s="50" t="n">
        <v>4.63</v>
      </c>
      <c r="M491" s="50" t="n"/>
      <c r="N491" s="50" t="n">
        <v>190.5</v>
      </c>
      <c r="O491" s="50" t="n">
        <v>7.143</v>
      </c>
      <c r="P491" s="50" t="n"/>
      <c r="Q491" s="50" t="n">
        <v>189.6</v>
      </c>
      <c r="R491" s="50" t="n">
        <v>7.179</v>
      </c>
      <c r="S491" s="50" t="n"/>
    </row>
    <row r="492">
      <c r="A492" s="50" t="inlineStr">
        <is>
          <t>1991-07</t>
        </is>
      </c>
      <c r="B492" s="50" t="n">
        <v>119.4</v>
      </c>
      <c r="C492" s="50" t="n">
        <v>1.617</v>
      </c>
      <c r="D492" s="50" t="n"/>
      <c r="E492" s="50" t="n">
        <v>120.4</v>
      </c>
      <c r="F492" s="50" t="n">
        <v>1.861</v>
      </c>
      <c r="G492" s="50" t="n"/>
      <c r="H492" s="50" t="n">
        <v>136.4</v>
      </c>
      <c r="I492" s="50" t="n">
        <v>4.682</v>
      </c>
      <c r="J492" s="50" t="n"/>
      <c r="K492" s="50" t="n">
        <v>136.4</v>
      </c>
      <c r="L492" s="50" t="n">
        <v>4.762</v>
      </c>
      <c r="M492" s="50" t="n"/>
      <c r="N492" s="50" t="n">
        <v>192.8</v>
      </c>
      <c r="O492" s="50" t="n">
        <v>8.315</v>
      </c>
      <c r="P492" s="50" t="n"/>
      <c r="Q492" s="50" t="n">
        <v>191.6</v>
      </c>
      <c r="R492" s="50" t="n">
        <v>8.31</v>
      </c>
      <c r="S492" s="50" t="n"/>
    </row>
    <row r="493">
      <c r="A493" s="50" t="inlineStr">
        <is>
          <t>1991-08</t>
        </is>
      </c>
      <c r="B493" s="50" t="n">
        <v>118.7</v>
      </c>
      <c r="C493" s="50" t="n">
        <v>1.28</v>
      </c>
      <c r="D493" s="50" t="n"/>
      <c r="E493" s="50" t="n">
        <v>120</v>
      </c>
      <c r="F493" s="50" t="n">
        <v>1.437</v>
      </c>
      <c r="G493" s="50" t="n"/>
      <c r="H493" s="50" t="n">
        <v>137</v>
      </c>
      <c r="I493" s="50" t="n">
        <v>4.981</v>
      </c>
      <c r="J493" s="50" t="n"/>
      <c r="K493" s="50" t="n">
        <v>136.9</v>
      </c>
      <c r="L493" s="50" t="n">
        <v>4.985</v>
      </c>
      <c r="M493" s="50" t="n"/>
      <c r="N493" s="50" t="n">
        <v>194.9</v>
      </c>
      <c r="O493" s="50" t="n">
        <v>8.882999999999999</v>
      </c>
      <c r="P493" s="50" t="n"/>
      <c r="Q493" s="50" t="n">
        <v>193.3</v>
      </c>
      <c r="R493" s="50" t="n">
        <v>8.84</v>
      </c>
      <c r="S493" s="50" t="n"/>
    </row>
    <row r="494">
      <c r="A494" s="50" t="inlineStr">
        <is>
          <t>1991-09</t>
        </is>
      </c>
      <c r="B494" s="50" t="n">
        <v>118.4</v>
      </c>
      <c r="C494" s="50" t="n">
        <v>1.024</v>
      </c>
      <c r="D494" s="50" t="n"/>
      <c r="E494" s="50" t="n">
        <v>119.8</v>
      </c>
      <c r="F494" s="50" t="n">
        <v>1.268</v>
      </c>
      <c r="G494" s="50" t="n"/>
      <c r="H494" s="50" t="n">
        <v>137.6</v>
      </c>
      <c r="I494" s="50" t="n">
        <v>4.798</v>
      </c>
      <c r="J494" s="50" t="n"/>
      <c r="K494" s="50" t="n">
        <v>137.8</v>
      </c>
      <c r="L494" s="50" t="n">
        <v>4.791</v>
      </c>
      <c r="M494" s="50" t="n"/>
      <c r="N494" s="50" t="n">
        <v>195.3</v>
      </c>
      <c r="O494" s="50" t="n">
        <v>8.380000000000001</v>
      </c>
      <c r="P494" s="50" t="n"/>
      <c r="Q494" s="50" t="n">
        <v>193.6</v>
      </c>
      <c r="R494" s="50" t="n">
        <v>8.398999999999999</v>
      </c>
      <c r="S494" s="50" t="n"/>
    </row>
    <row r="495">
      <c r="A495" s="50" t="inlineStr">
        <is>
          <t>1991-10</t>
        </is>
      </c>
      <c r="B495" s="50" t="n">
        <v>118.6</v>
      </c>
      <c r="C495" s="50" t="n">
        <v>1.541</v>
      </c>
      <c r="D495" s="50" t="n"/>
      <c r="E495" s="50" t="n">
        <v>120.2</v>
      </c>
      <c r="F495" s="50" t="n">
        <v>1.778</v>
      </c>
      <c r="G495" s="50" t="n"/>
      <c r="H495" s="50" t="n">
        <v>138.1</v>
      </c>
      <c r="I495" s="50" t="n">
        <v>4.701</v>
      </c>
      <c r="J495" s="50" t="n"/>
      <c r="K495" s="50" t="n">
        <v>138.4</v>
      </c>
      <c r="L495" s="50" t="n">
        <v>4.769</v>
      </c>
      <c r="M495" s="50" t="n"/>
      <c r="N495" s="50" t="n">
        <v>196.4</v>
      </c>
      <c r="O495" s="50" t="n">
        <v>8.388999999999999</v>
      </c>
      <c r="P495" s="50" t="n"/>
      <c r="Q495" s="50" t="n">
        <v>197</v>
      </c>
      <c r="R495" s="50" t="n">
        <v>8.361000000000001</v>
      </c>
      <c r="S495" s="50" t="n"/>
    </row>
    <row r="496">
      <c r="A496" s="50" t="inlineStr">
        <is>
          <t>1991-11</t>
        </is>
      </c>
      <c r="B496" s="50" t="n">
        <v>119</v>
      </c>
      <c r="C496" s="50" t="n">
        <v>3.12</v>
      </c>
      <c r="D496" s="50" t="n"/>
      <c r="E496" s="50" t="n">
        <v>120.6</v>
      </c>
      <c r="F496" s="50" t="n">
        <v>2.901</v>
      </c>
      <c r="G496" s="50" t="n"/>
      <c r="H496" s="50" t="n">
        <v>138.5</v>
      </c>
      <c r="I496" s="50" t="n">
        <v>4.528</v>
      </c>
      <c r="J496" s="50" t="n"/>
      <c r="K496" s="50" t="n">
        <v>138.5</v>
      </c>
      <c r="L496" s="50" t="n">
        <v>4.528</v>
      </c>
      <c r="M496" s="50" t="n"/>
      <c r="N496" s="50" t="n">
        <v>197.4</v>
      </c>
      <c r="O496" s="50" t="n">
        <v>8.224</v>
      </c>
      <c r="P496" s="50" t="n"/>
      <c r="Q496" s="50" t="n">
        <v>198.8</v>
      </c>
      <c r="R496" s="50" t="n">
        <v>8.220000000000001</v>
      </c>
      <c r="S496" s="50" t="n"/>
    </row>
    <row r="497">
      <c r="A497" s="50" t="inlineStr">
        <is>
          <t>1991-12</t>
        </is>
      </c>
      <c r="B497" s="50" t="n">
        <v>119.1</v>
      </c>
      <c r="C497" s="50" t="n">
        <v>2.408</v>
      </c>
      <c r="D497" s="50" t="n"/>
      <c r="E497" s="50" t="n">
        <v>120.1</v>
      </c>
      <c r="F497" s="50" t="n">
        <v>2.562</v>
      </c>
      <c r="G497" s="50" t="n"/>
      <c r="H497" s="50" t="n">
        <v>138.6</v>
      </c>
      <c r="I497" s="50" t="n">
        <v>4.446</v>
      </c>
      <c r="J497" s="50" t="n"/>
      <c r="K497" s="50" t="n">
        <v>138.4</v>
      </c>
      <c r="L497" s="50" t="n">
        <v>4.453</v>
      </c>
      <c r="M497" s="50" t="n"/>
      <c r="N497" s="50" t="n">
        <v>197.8</v>
      </c>
      <c r="O497" s="50" t="n">
        <v>7.969</v>
      </c>
      <c r="P497" s="50" t="n"/>
      <c r="Q497" s="50" t="n">
        <v>199.1</v>
      </c>
      <c r="R497" s="50" t="n">
        <v>7.972</v>
      </c>
      <c r="S497" s="50" t="n"/>
    </row>
    <row r="498">
      <c r="A498" s="50" t="inlineStr">
        <is>
          <t>1992-01</t>
        </is>
      </c>
      <c r="B498" s="50" t="n">
        <v>118.6</v>
      </c>
      <c r="C498" s="50" t="n">
        <v>1.715</v>
      </c>
      <c r="D498" s="50" t="n"/>
      <c r="E498" s="50" t="n">
        <v>117.8</v>
      </c>
      <c r="F498" s="50" t="n">
        <v>1.464</v>
      </c>
      <c r="G498" s="50" t="n"/>
      <c r="H498" s="50" t="n">
        <v>139.2</v>
      </c>
      <c r="I498" s="50" t="n">
        <v>4.426</v>
      </c>
      <c r="J498" s="50" t="n"/>
      <c r="K498" s="50" t="n">
        <v>139</v>
      </c>
      <c r="L498" s="50" t="n">
        <v>4.433</v>
      </c>
      <c r="M498" s="50" t="n"/>
      <c r="N498" s="50" t="n">
        <v>199.6</v>
      </c>
      <c r="O498" s="50" t="n">
        <v>8.302</v>
      </c>
      <c r="P498" s="50" t="n"/>
      <c r="Q498" s="50" t="n">
        <v>200.8</v>
      </c>
      <c r="R498" s="50" t="n">
        <v>8.305999999999999</v>
      </c>
      <c r="S498" s="50" t="n"/>
    </row>
    <row r="499">
      <c r="A499" s="50" t="inlineStr">
        <is>
          <t>1992-02</t>
        </is>
      </c>
      <c r="B499" s="50" t="n">
        <v>118</v>
      </c>
      <c r="C499" s="50" t="n">
        <v>1.201</v>
      </c>
      <c r="D499" s="50" t="n"/>
      <c r="E499" s="50" t="n">
        <v>116.1</v>
      </c>
      <c r="F499" s="50" t="n">
        <v>0.869</v>
      </c>
      <c r="G499" s="50" t="n"/>
      <c r="H499" s="50" t="n">
        <v>139.7</v>
      </c>
      <c r="I499" s="50" t="n">
        <v>4.644</v>
      </c>
      <c r="J499" s="50" t="n"/>
      <c r="K499" s="50" t="n">
        <v>139.7</v>
      </c>
      <c r="L499" s="50" t="n">
        <v>4.644</v>
      </c>
      <c r="M499" s="50" t="n"/>
      <c r="N499" s="50" t="n">
        <v>200.9</v>
      </c>
      <c r="O499" s="50" t="n">
        <v>8.185</v>
      </c>
      <c r="P499" s="50" t="n"/>
      <c r="Q499" s="50" t="n">
        <v>201.8</v>
      </c>
      <c r="R499" s="50" t="n">
        <v>8.204000000000001</v>
      </c>
      <c r="S499" s="50" t="n"/>
    </row>
    <row r="500">
      <c r="A500" s="50" t="inlineStr">
        <is>
          <t>1992-03</t>
        </is>
      </c>
      <c r="B500" s="50" t="n">
        <v>118.6</v>
      </c>
      <c r="C500" s="50" t="n">
        <v>1.541</v>
      </c>
      <c r="D500" s="50" t="n"/>
      <c r="E500" s="50" t="n">
        <v>115.7</v>
      </c>
      <c r="F500" s="50" t="n">
        <v>1.136</v>
      </c>
      <c r="G500" s="50" t="n"/>
      <c r="H500" s="50" t="n">
        <v>140.2</v>
      </c>
      <c r="I500" s="50" t="n">
        <v>4.705</v>
      </c>
      <c r="J500" s="50" t="n"/>
      <c r="K500" s="50" t="n">
        <v>140.3</v>
      </c>
      <c r="L500" s="50" t="n">
        <v>4.623</v>
      </c>
      <c r="M500" s="50" t="n"/>
      <c r="N500" s="50" t="n">
        <v>202.5</v>
      </c>
      <c r="O500" s="50" t="n">
        <v>8.347</v>
      </c>
      <c r="P500" s="50" t="n"/>
      <c r="Q500" s="50" t="n">
        <v>203</v>
      </c>
      <c r="R500" s="50" t="n">
        <v>8.324</v>
      </c>
      <c r="S500" s="50" t="n"/>
    </row>
    <row r="501">
      <c r="A501" s="50" t="inlineStr">
        <is>
          <t>1992-04</t>
        </is>
      </c>
      <c r="B501" s="50" t="n">
        <v>120.2</v>
      </c>
      <c r="C501" s="50" t="n">
        <v>2.56</v>
      </c>
      <c r="D501" s="50" t="n"/>
      <c r="E501" s="50" t="n">
        <v>117.9</v>
      </c>
      <c r="F501" s="50" t="n">
        <v>2.522</v>
      </c>
      <c r="G501" s="50" t="n"/>
      <c r="H501" s="50" t="n">
        <v>140.5</v>
      </c>
      <c r="I501" s="50" t="n">
        <v>4.539</v>
      </c>
      <c r="J501" s="50" t="n"/>
      <c r="K501" s="50" t="n">
        <v>140.5</v>
      </c>
      <c r="L501" s="50" t="n">
        <v>4.539</v>
      </c>
      <c r="M501" s="50" t="n"/>
      <c r="N501" s="50" t="n">
        <v>204.4</v>
      </c>
      <c r="O501" s="50" t="n">
        <v>8.897</v>
      </c>
      <c r="P501" s="50" t="n"/>
      <c r="Q501" s="50" t="n">
        <v>204.1</v>
      </c>
      <c r="R501" s="50" t="n">
        <v>8.853</v>
      </c>
      <c r="S501" s="50" t="n"/>
    </row>
    <row r="502">
      <c r="A502" s="50" t="inlineStr">
        <is>
          <t>1992-05</t>
        </is>
      </c>
      <c r="B502" s="50" t="n">
        <v>121.3</v>
      </c>
      <c r="C502" s="50" t="n">
        <v>2.884</v>
      </c>
      <c r="D502" s="50" t="n"/>
      <c r="E502" s="50" t="n">
        <v>120.5</v>
      </c>
      <c r="F502" s="50" t="n">
        <v>2.991</v>
      </c>
      <c r="G502" s="50" t="n"/>
      <c r="H502" s="50" t="n">
        <v>140.8</v>
      </c>
      <c r="I502" s="50" t="n">
        <v>4.529</v>
      </c>
      <c r="J502" s="50" t="n"/>
      <c r="K502" s="50" t="n">
        <v>140.8</v>
      </c>
      <c r="L502" s="50" t="n">
        <v>4.529</v>
      </c>
      <c r="M502" s="50" t="n"/>
      <c r="N502" s="50" t="n">
        <v>204.8</v>
      </c>
      <c r="O502" s="50" t="n">
        <v>8.647</v>
      </c>
      <c r="P502" s="50" t="n"/>
      <c r="Q502" s="50" t="n">
        <v>204.6</v>
      </c>
      <c r="R502" s="50" t="n">
        <v>8.599</v>
      </c>
      <c r="S502" s="50" t="n"/>
    </row>
    <row r="503">
      <c r="A503" s="50" t="inlineStr">
        <is>
          <t>1992-06</t>
        </is>
      </c>
      <c r="B503" s="50" t="n">
        <v>122.5</v>
      </c>
      <c r="C503" s="50" t="n">
        <v>3.463</v>
      </c>
      <c r="D503" s="50" t="n"/>
      <c r="E503" s="50" t="n">
        <v>123.1</v>
      </c>
      <c r="F503" s="50" t="n">
        <v>3.62</v>
      </c>
      <c r="G503" s="50" t="n"/>
      <c r="H503" s="50" t="n">
        <v>141.3</v>
      </c>
      <c r="I503" s="50" t="n">
        <v>4.127</v>
      </c>
      <c r="J503" s="50" t="n"/>
      <c r="K503" s="50" t="n">
        <v>141.2</v>
      </c>
      <c r="L503" s="50" t="n">
        <v>4.13</v>
      </c>
      <c r="M503" s="50" t="n"/>
      <c r="N503" s="50" t="n">
        <v>205.3</v>
      </c>
      <c r="O503" s="50" t="n">
        <v>7.769</v>
      </c>
      <c r="P503" s="50" t="n"/>
      <c r="Q503" s="50" t="n">
        <v>204.3</v>
      </c>
      <c r="R503" s="50" t="n">
        <v>7.753</v>
      </c>
      <c r="S503" s="50" t="n"/>
    </row>
    <row r="504">
      <c r="A504" s="50" t="inlineStr">
        <is>
          <t>1992-07</t>
        </is>
      </c>
      <c r="B504" s="50" t="n">
        <v>123.5</v>
      </c>
      <c r="C504" s="50" t="n">
        <v>3.434</v>
      </c>
      <c r="D504" s="50" t="n"/>
      <c r="E504" s="50" t="n">
        <v>124.8</v>
      </c>
      <c r="F504" s="50" t="n">
        <v>3.654</v>
      </c>
      <c r="G504" s="50" t="n"/>
      <c r="H504" s="50" t="n">
        <v>141.5</v>
      </c>
      <c r="I504" s="50" t="n">
        <v>3.739</v>
      </c>
      <c r="J504" s="50" t="n"/>
      <c r="K504" s="50" t="n">
        <v>141.4</v>
      </c>
      <c r="L504" s="50" t="n">
        <v>3.666</v>
      </c>
      <c r="M504" s="50" t="n"/>
      <c r="N504" s="50" t="n">
        <v>205.8</v>
      </c>
      <c r="O504" s="50" t="n">
        <v>6.743</v>
      </c>
      <c r="P504" s="50" t="n"/>
      <c r="Q504" s="50" t="n">
        <v>204.6</v>
      </c>
      <c r="R504" s="50" t="n">
        <v>6.785</v>
      </c>
      <c r="S504" s="50" t="n"/>
    </row>
    <row r="505">
      <c r="A505" s="50" t="inlineStr">
        <is>
          <t>1992-08</t>
        </is>
      </c>
      <c r="B505" s="50" t="n">
        <v>125</v>
      </c>
      <c r="C505" s="50" t="n">
        <v>5.307</v>
      </c>
      <c r="D505" s="50" t="n"/>
      <c r="E505" s="50" t="n">
        <v>126.4</v>
      </c>
      <c r="F505" s="50" t="n">
        <v>5.333</v>
      </c>
      <c r="G505" s="50" t="n"/>
      <c r="H505" s="50" t="n">
        <v>141.7</v>
      </c>
      <c r="I505" s="50" t="n">
        <v>3.431</v>
      </c>
      <c r="J505" s="50" t="n"/>
      <c r="K505" s="50" t="n">
        <v>141.6</v>
      </c>
      <c r="L505" s="50" t="n">
        <v>3.433</v>
      </c>
      <c r="M505" s="50" t="n"/>
      <c r="N505" s="50" t="n">
        <v>206.6</v>
      </c>
      <c r="O505" s="50" t="n">
        <v>6.003</v>
      </c>
      <c r="P505" s="50" t="n"/>
      <c r="Q505" s="50" t="n">
        <v>204.9</v>
      </c>
      <c r="R505" s="50" t="n">
        <v>6.001</v>
      </c>
      <c r="S505" s="50" t="n"/>
    </row>
    <row r="506">
      <c r="A506" s="50" t="inlineStr">
        <is>
          <t>1992-09</t>
        </is>
      </c>
      <c r="B506" s="50" t="n">
        <v>126.2</v>
      </c>
      <c r="C506" s="50" t="n">
        <v>6.588</v>
      </c>
      <c r="D506" s="50" t="n"/>
      <c r="E506" s="50" t="n">
        <v>127.7</v>
      </c>
      <c r="F506" s="50" t="n">
        <v>6.594</v>
      </c>
      <c r="G506" s="50" t="n"/>
      <c r="H506" s="50" t="n">
        <v>142</v>
      </c>
      <c r="I506" s="50" t="n">
        <v>3.198</v>
      </c>
      <c r="J506" s="50" t="n"/>
      <c r="K506" s="50" t="n">
        <v>142.2</v>
      </c>
      <c r="L506" s="50" t="n">
        <v>3.193</v>
      </c>
      <c r="M506" s="50" t="n"/>
      <c r="N506" s="50" t="n">
        <v>206.8</v>
      </c>
      <c r="O506" s="50" t="n">
        <v>5.888</v>
      </c>
      <c r="P506" s="50" t="n"/>
      <c r="Q506" s="50" t="n">
        <v>205</v>
      </c>
      <c r="R506" s="50" t="n">
        <v>5.888</v>
      </c>
      <c r="S506" s="50" t="n"/>
    </row>
    <row r="507">
      <c r="A507" s="50" t="inlineStr">
        <is>
          <t>1992-10</t>
        </is>
      </c>
      <c r="B507" s="50" t="n">
        <v>127.4</v>
      </c>
      <c r="C507" s="50" t="n">
        <v>7.42</v>
      </c>
      <c r="D507" s="50" t="n"/>
      <c r="E507" s="50" t="n">
        <v>129.1</v>
      </c>
      <c r="F507" s="50" t="n">
        <v>7.404</v>
      </c>
      <c r="G507" s="50" t="n"/>
      <c r="H507" s="50" t="n">
        <v>142.3</v>
      </c>
      <c r="I507" s="50" t="n">
        <v>3.041</v>
      </c>
      <c r="J507" s="50" t="n"/>
      <c r="K507" s="50" t="n">
        <v>142.5</v>
      </c>
      <c r="L507" s="50" t="n">
        <v>2.962</v>
      </c>
      <c r="M507" s="50" t="n"/>
      <c r="N507" s="50" t="n">
        <v>208.6</v>
      </c>
      <c r="O507" s="50" t="n">
        <v>6.212</v>
      </c>
      <c r="P507" s="50" t="n"/>
      <c r="Q507" s="50" t="n">
        <v>209.3</v>
      </c>
      <c r="R507" s="50" t="n">
        <v>6.244</v>
      </c>
      <c r="S507" s="50" t="n"/>
    </row>
    <row r="508">
      <c r="A508" s="50" t="inlineStr">
        <is>
          <t>1992-11</t>
        </is>
      </c>
      <c r="B508" s="50" t="n">
        <v>128.3</v>
      </c>
      <c r="C508" s="50" t="n">
        <v>7.815</v>
      </c>
      <c r="D508" s="50" t="n"/>
      <c r="E508" s="50" t="n">
        <v>129.9</v>
      </c>
      <c r="F508" s="50" t="n">
        <v>7.711</v>
      </c>
      <c r="G508" s="50" t="n"/>
      <c r="H508" s="50" t="n">
        <v>142.7</v>
      </c>
      <c r="I508" s="50" t="n">
        <v>3.032</v>
      </c>
      <c r="J508" s="50" t="n"/>
      <c r="K508" s="50" t="n">
        <v>142.8</v>
      </c>
      <c r="L508" s="50" t="n">
        <v>3.105</v>
      </c>
      <c r="M508" s="50" t="n"/>
      <c r="N508" s="50" t="n">
        <v>209.5</v>
      </c>
      <c r="O508" s="50" t="n">
        <v>6.13</v>
      </c>
      <c r="P508" s="50" t="n"/>
      <c r="Q508" s="50" t="n">
        <v>211.1</v>
      </c>
      <c r="R508" s="50" t="n">
        <v>6.187</v>
      </c>
      <c r="S508" s="50" t="n"/>
    </row>
    <row r="509">
      <c r="A509" s="50" t="inlineStr">
        <is>
          <t>1992-12</t>
        </is>
      </c>
      <c r="B509" s="50" t="n">
        <v>128</v>
      </c>
      <c r="C509" s="50" t="n">
        <v>7.473</v>
      </c>
      <c r="D509" s="50" t="n"/>
      <c r="E509" s="50" t="n">
        <v>129</v>
      </c>
      <c r="F509" s="50" t="n">
        <v>7.41</v>
      </c>
      <c r="G509" s="50" t="n"/>
      <c r="H509" s="50" t="n">
        <v>143.3</v>
      </c>
      <c r="I509" s="50" t="n">
        <v>3.391</v>
      </c>
      <c r="J509" s="50" t="n"/>
      <c r="K509" s="50" t="n">
        <v>143.2</v>
      </c>
      <c r="L509" s="50" t="n">
        <v>3.468</v>
      </c>
      <c r="M509" s="50" t="n"/>
      <c r="N509" s="50" t="n">
        <v>210.8</v>
      </c>
      <c r="O509" s="50" t="n">
        <v>6.572</v>
      </c>
      <c r="P509" s="50" t="n"/>
      <c r="Q509" s="50" t="n">
        <v>212.2</v>
      </c>
      <c r="R509" s="50" t="n">
        <v>6.58</v>
      </c>
      <c r="S509" s="50" t="n"/>
    </row>
    <row r="510">
      <c r="A510" s="50" t="inlineStr">
        <is>
          <t>1993-01</t>
        </is>
      </c>
      <c r="B510" s="50" t="n">
        <v>127.4</v>
      </c>
      <c r="C510" s="50" t="n">
        <v>7.42</v>
      </c>
      <c r="D510" s="50" t="n"/>
      <c r="E510" s="50" t="n">
        <v>127.4</v>
      </c>
      <c r="F510" s="50" t="n">
        <v>8.148999999999999</v>
      </c>
      <c r="G510" s="50" t="n"/>
      <c r="H510" s="50" t="n">
        <v>143.6</v>
      </c>
      <c r="I510" s="50" t="n">
        <v>3.161</v>
      </c>
      <c r="J510" s="50" t="n"/>
      <c r="K510" s="50" t="n">
        <v>143.4</v>
      </c>
      <c r="L510" s="50" t="n">
        <v>3.165</v>
      </c>
      <c r="M510" s="50" t="n"/>
      <c r="N510" s="50" t="n">
        <v>211.9</v>
      </c>
      <c r="O510" s="50" t="n">
        <v>6.162</v>
      </c>
      <c r="P510" s="50" t="n"/>
      <c r="Q510" s="50" t="n">
        <v>213.2</v>
      </c>
      <c r="R510" s="50" t="n">
        <v>6.175</v>
      </c>
      <c r="S510" s="50" t="n"/>
    </row>
    <row r="511">
      <c r="A511" s="50" t="inlineStr">
        <is>
          <t>1993-02</t>
        </is>
      </c>
      <c r="B511" s="50" t="n">
        <v>126</v>
      </c>
      <c r="C511" s="50" t="n">
        <v>6.78</v>
      </c>
      <c r="D511" s="50" t="n"/>
      <c r="E511" s="50" t="n">
        <v>126</v>
      </c>
      <c r="F511" s="50" t="n">
        <v>8.526999999999999</v>
      </c>
      <c r="G511" s="50" t="n"/>
      <c r="H511" s="50" t="n">
        <v>144.3</v>
      </c>
      <c r="I511" s="50" t="n">
        <v>3.293</v>
      </c>
      <c r="J511" s="50" t="n"/>
      <c r="K511" s="50" t="n">
        <v>144.3</v>
      </c>
      <c r="L511" s="50" t="n">
        <v>3.293</v>
      </c>
      <c r="M511" s="50" t="n"/>
      <c r="N511" s="50" t="n">
        <v>212.8</v>
      </c>
      <c r="O511" s="50" t="n">
        <v>5.923</v>
      </c>
      <c r="P511" s="50" t="n"/>
      <c r="Q511" s="50" t="n">
        <v>213.7</v>
      </c>
      <c r="R511" s="50" t="n">
        <v>5.897</v>
      </c>
      <c r="S511" s="50" t="n"/>
    </row>
    <row r="512">
      <c r="A512" s="50" t="inlineStr">
        <is>
          <t>1993-03</t>
        </is>
      </c>
      <c r="B512" s="50" t="n">
        <v>126.6</v>
      </c>
      <c r="C512" s="50" t="n">
        <v>6.745</v>
      </c>
      <c r="D512" s="50" t="n"/>
      <c r="E512" s="50" t="n">
        <v>126.6</v>
      </c>
      <c r="F512" s="50" t="n">
        <v>9.420999999999999</v>
      </c>
      <c r="G512" s="50" t="n"/>
      <c r="H512" s="50" t="n">
        <v>144.6</v>
      </c>
      <c r="I512" s="50" t="n">
        <v>3.138</v>
      </c>
      <c r="J512" s="50" t="n"/>
      <c r="K512" s="50" t="n">
        <v>144.7</v>
      </c>
      <c r="L512" s="50" t="n">
        <v>3.136</v>
      </c>
      <c r="M512" s="50" t="n"/>
      <c r="N512" s="50" t="n">
        <v>213.4</v>
      </c>
      <c r="O512" s="50" t="n">
        <v>5.383</v>
      </c>
      <c r="P512" s="50" t="n"/>
      <c r="Q512" s="50" t="n">
        <v>213.8</v>
      </c>
      <c r="R512" s="50" t="n">
        <v>5.32</v>
      </c>
      <c r="S512" s="50" t="n"/>
    </row>
    <row r="513">
      <c r="A513" s="50" t="inlineStr">
        <is>
          <t>1993-04</t>
        </is>
      </c>
      <c r="B513" s="50" t="n">
        <v>128.7</v>
      </c>
      <c r="C513" s="50" t="n">
        <v>7.072</v>
      </c>
      <c r="D513" s="50" t="n"/>
      <c r="E513" s="50" t="n">
        <v>128.7</v>
      </c>
      <c r="F513" s="50" t="n">
        <v>9.16</v>
      </c>
      <c r="G513" s="50" t="n"/>
      <c r="H513" s="50" t="n">
        <v>145.2</v>
      </c>
      <c r="I513" s="50" t="n">
        <v>3.345</v>
      </c>
      <c r="J513" s="50" t="n"/>
      <c r="K513" s="50" t="n">
        <v>145.2</v>
      </c>
      <c r="L513" s="50" t="n">
        <v>3.345</v>
      </c>
      <c r="M513" s="50" t="n"/>
      <c r="N513" s="50" t="n">
        <v>214</v>
      </c>
      <c r="O513" s="50" t="n">
        <v>4.697</v>
      </c>
      <c r="P513" s="50" t="n"/>
      <c r="Q513" s="50" t="n">
        <v>213.8</v>
      </c>
      <c r="R513" s="50" t="n">
        <v>4.753</v>
      </c>
      <c r="S513" s="50" t="n"/>
    </row>
    <row r="514">
      <c r="A514" s="50" t="inlineStr">
        <is>
          <t>1993-05</t>
        </is>
      </c>
      <c r="B514" s="50" t="n">
        <v>131.5</v>
      </c>
      <c r="C514" s="50" t="n">
        <v>8.409000000000001</v>
      </c>
      <c r="D514" s="50" t="n"/>
      <c r="E514" s="50" t="n">
        <v>131.5</v>
      </c>
      <c r="F514" s="50" t="n">
        <v>9.129</v>
      </c>
      <c r="G514" s="50" t="n"/>
      <c r="H514" s="50" t="n">
        <v>145.4</v>
      </c>
      <c r="I514" s="50" t="n">
        <v>3.267</v>
      </c>
      <c r="J514" s="50" t="n"/>
      <c r="K514" s="50" t="n">
        <v>145.4</v>
      </c>
      <c r="L514" s="50" t="n">
        <v>3.267</v>
      </c>
      <c r="M514" s="50" t="n"/>
      <c r="N514" s="50" t="n">
        <v>215.1</v>
      </c>
      <c r="O514" s="50" t="n">
        <v>5.029</v>
      </c>
      <c r="P514" s="50" t="n"/>
      <c r="Q514" s="50" t="n">
        <v>214.8</v>
      </c>
      <c r="R514" s="50" t="n">
        <v>4.985</v>
      </c>
      <c r="S514" s="50" t="n"/>
    </row>
    <row r="515">
      <c r="A515" s="50" t="inlineStr">
        <is>
          <t>1993-06</t>
        </is>
      </c>
      <c r="B515" s="50" t="n">
        <v>134.3</v>
      </c>
      <c r="C515" s="50" t="n">
        <v>9.632999999999999</v>
      </c>
      <c r="D515" s="50" t="n"/>
      <c r="E515" s="50" t="n">
        <v>134.3</v>
      </c>
      <c r="F515" s="50" t="n">
        <v>9.098000000000001</v>
      </c>
      <c r="G515" s="50" t="n"/>
      <c r="H515" s="50" t="n">
        <v>145.9</v>
      </c>
      <c r="I515" s="50" t="n">
        <v>3.255</v>
      </c>
      <c r="J515" s="50" t="n"/>
      <c r="K515" s="50" t="n">
        <v>145.8</v>
      </c>
      <c r="L515" s="50" t="n">
        <v>3.258</v>
      </c>
      <c r="M515" s="50" t="n"/>
      <c r="N515" s="50" t="n">
        <v>216.3</v>
      </c>
      <c r="O515" s="50" t="n">
        <v>5.358</v>
      </c>
      <c r="P515" s="50" t="n"/>
      <c r="Q515" s="50" t="n">
        <v>215.3</v>
      </c>
      <c r="R515" s="50" t="n">
        <v>5.384</v>
      </c>
      <c r="S515" s="50" t="n"/>
    </row>
    <row r="516">
      <c r="A516" s="50" t="inlineStr">
        <is>
          <t>1993-07</t>
        </is>
      </c>
      <c r="B516" s="50" t="n">
        <v>136.1</v>
      </c>
      <c r="C516" s="50" t="n">
        <v>10.202</v>
      </c>
      <c r="D516" s="50" t="n"/>
      <c r="E516" s="50" t="n">
        <v>136.1</v>
      </c>
      <c r="F516" s="50" t="n">
        <v>9.054</v>
      </c>
      <c r="G516" s="50" t="n"/>
      <c r="H516" s="50" t="n">
        <v>146.3</v>
      </c>
      <c r="I516" s="50" t="n">
        <v>3.392</v>
      </c>
      <c r="J516" s="50" t="n"/>
      <c r="K516" s="50" t="n">
        <v>146.2</v>
      </c>
      <c r="L516" s="50" t="n">
        <v>3.395</v>
      </c>
      <c r="M516" s="50" t="n"/>
      <c r="N516" s="50" t="n">
        <v>217.3</v>
      </c>
      <c r="O516" s="50" t="n">
        <v>5.588</v>
      </c>
      <c r="P516" s="50" t="n"/>
      <c r="Q516" s="50" t="n">
        <v>216</v>
      </c>
      <c r="R516" s="50" t="n">
        <v>5.572</v>
      </c>
      <c r="S516" s="50" t="n"/>
    </row>
    <row r="517">
      <c r="A517" s="50" t="inlineStr">
        <is>
          <t>1993-08</t>
        </is>
      </c>
      <c r="B517" s="50" t="n">
        <v>137.5</v>
      </c>
      <c r="C517" s="50" t="n">
        <v>10</v>
      </c>
      <c r="D517" s="50" t="n"/>
      <c r="E517" s="50" t="n">
        <v>137.5</v>
      </c>
      <c r="F517" s="50" t="n">
        <v>8.782</v>
      </c>
      <c r="G517" s="50" t="n"/>
      <c r="H517" s="50" t="n">
        <v>146.3</v>
      </c>
      <c r="I517" s="50" t="n">
        <v>3.246</v>
      </c>
      <c r="J517" s="50" t="n"/>
      <c r="K517" s="50" t="n">
        <v>146.2</v>
      </c>
      <c r="L517" s="50" t="n">
        <v>3.249</v>
      </c>
      <c r="M517" s="50" t="n"/>
      <c r="N517" s="50" t="n">
        <v>219</v>
      </c>
      <c r="O517" s="50" t="n">
        <v>6.002</v>
      </c>
      <c r="P517" s="50" t="n"/>
      <c r="Q517" s="50" t="n">
        <v>217.4</v>
      </c>
      <c r="R517" s="50" t="n">
        <v>6.101</v>
      </c>
      <c r="S517" s="50" t="n"/>
    </row>
    <row r="518">
      <c r="A518" s="50" t="inlineStr">
        <is>
          <t>1993-09</t>
        </is>
      </c>
      <c r="B518" s="50" t="n">
        <v>138.7</v>
      </c>
      <c r="C518" s="50" t="n">
        <v>9.904999999999999</v>
      </c>
      <c r="D518" s="50" t="n"/>
      <c r="E518" s="50" t="n">
        <v>138.7</v>
      </c>
      <c r="F518" s="50" t="n">
        <v>8.614000000000001</v>
      </c>
      <c r="G518" s="50" t="n"/>
      <c r="H518" s="50" t="n">
        <v>146.6</v>
      </c>
      <c r="I518" s="50" t="n">
        <v>3.239</v>
      </c>
      <c r="J518" s="50" t="n"/>
      <c r="K518" s="50" t="n">
        <v>146.8</v>
      </c>
      <c r="L518" s="50" t="n">
        <v>3.235</v>
      </c>
      <c r="M518" s="50" t="n"/>
      <c r="N518" s="50" t="n">
        <v>219.2</v>
      </c>
      <c r="O518" s="50" t="n">
        <v>5.996</v>
      </c>
      <c r="P518" s="50" t="n"/>
      <c r="Q518" s="50" t="n">
        <v>217.2</v>
      </c>
      <c r="R518" s="50" t="n">
        <v>5.951</v>
      </c>
      <c r="S518" s="50" t="n"/>
    </row>
    <row r="519">
      <c r="A519" s="50" t="inlineStr">
        <is>
          <t>1993-10</t>
        </is>
      </c>
      <c r="B519" s="50" t="n">
        <v>139.8</v>
      </c>
      <c r="C519" s="50" t="n">
        <v>9.733000000000001</v>
      </c>
      <c r="D519" s="50" t="n"/>
      <c r="E519" s="50" t="n">
        <v>139.8</v>
      </c>
      <c r="F519" s="50" t="n">
        <v>8.288</v>
      </c>
      <c r="G519" s="50" t="n"/>
      <c r="H519" s="50" t="n">
        <v>146.9</v>
      </c>
      <c r="I519" s="50" t="n">
        <v>3.233</v>
      </c>
      <c r="J519" s="50" t="n"/>
      <c r="K519" s="50" t="n">
        <v>147.1</v>
      </c>
      <c r="L519" s="50" t="n">
        <v>3.228</v>
      </c>
      <c r="M519" s="50" t="n"/>
      <c r="N519" s="50" t="n">
        <v>219.3</v>
      </c>
      <c r="O519" s="50" t="n">
        <v>5.129</v>
      </c>
      <c r="P519" s="50" t="n"/>
      <c r="Q519" s="50" t="n">
        <v>220.1</v>
      </c>
      <c r="R519" s="50" t="n">
        <v>5.16</v>
      </c>
      <c r="S519" s="50" t="n"/>
    </row>
    <row r="520">
      <c r="A520" s="50" t="inlineStr">
        <is>
          <t>1993-11</t>
        </is>
      </c>
      <c r="B520" s="50" t="n">
        <v>140.7</v>
      </c>
      <c r="C520" s="50" t="n">
        <v>9.664999999999999</v>
      </c>
      <c r="D520" s="50" t="n"/>
      <c r="E520" s="50" t="n">
        <v>140.7</v>
      </c>
      <c r="F520" s="50" t="n">
        <v>8.314</v>
      </c>
      <c r="G520" s="50" t="n"/>
      <c r="H520" s="50" t="n">
        <v>147.3</v>
      </c>
      <c r="I520" s="50" t="n">
        <v>3.224</v>
      </c>
      <c r="J520" s="50" t="n"/>
      <c r="K520" s="50" t="n">
        <v>147.4</v>
      </c>
      <c r="L520" s="50" t="n">
        <v>3.221</v>
      </c>
      <c r="M520" s="50" t="n"/>
      <c r="N520" s="50" t="n">
        <v>220.5</v>
      </c>
      <c r="O520" s="50" t="n">
        <v>5.251</v>
      </c>
      <c r="P520" s="50" t="n"/>
      <c r="Q520" s="50" t="n">
        <v>222.1</v>
      </c>
      <c r="R520" s="50" t="n">
        <v>5.211</v>
      </c>
      <c r="S520" s="50" t="n"/>
    </row>
    <row r="521">
      <c r="A521" s="50" t="inlineStr">
        <is>
          <t>1993-12</t>
        </is>
      </c>
      <c r="B521" s="50" t="n">
        <v>139.3</v>
      </c>
      <c r="C521" s="50" t="n">
        <v>8.827999999999999</v>
      </c>
      <c r="D521" s="50" t="n"/>
      <c r="E521" s="50" t="n">
        <v>139.3</v>
      </c>
      <c r="F521" s="50" t="n">
        <v>7.984</v>
      </c>
      <c r="G521" s="50" t="n"/>
      <c r="H521" s="50" t="n">
        <v>147.8</v>
      </c>
      <c r="I521" s="50" t="n">
        <v>3.14</v>
      </c>
      <c r="J521" s="50" t="n"/>
      <c r="K521" s="50" t="n">
        <v>147.7</v>
      </c>
      <c r="L521" s="50" t="n">
        <v>3.142</v>
      </c>
      <c r="M521" s="50" t="n"/>
      <c r="N521" s="50" t="n">
        <v>221.3</v>
      </c>
      <c r="O521" s="50" t="n">
        <v>4.981</v>
      </c>
      <c r="P521" s="50" t="n"/>
      <c r="Q521" s="50" t="n">
        <v>222.8</v>
      </c>
      <c r="R521" s="50" t="n">
        <v>4.995</v>
      </c>
      <c r="S521" s="50" t="n"/>
    </row>
    <row r="522">
      <c r="A522" s="50" t="inlineStr">
        <is>
          <t>1994-01</t>
        </is>
      </c>
      <c r="B522" s="50" t="n">
        <v>136.8</v>
      </c>
      <c r="C522" s="50" t="n">
        <v>7.378</v>
      </c>
      <c r="D522" s="50" t="n"/>
      <c r="E522" s="50" t="n">
        <v>136.8</v>
      </c>
      <c r="F522" s="50" t="n">
        <v>7.378</v>
      </c>
      <c r="G522" s="50" t="n"/>
      <c r="H522" s="50" t="n">
        <v>148.2</v>
      </c>
      <c r="I522" s="50" t="n">
        <v>3.203</v>
      </c>
      <c r="J522" s="50" t="n"/>
      <c r="K522" s="50" t="n">
        <v>148.1</v>
      </c>
      <c r="L522" s="50" t="n">
        <v>3.278</v>
      </c>
      <c r="M522" s="50" t="n"/>
      <c r="N522" s="50" t="n">
        <v>221.9</v>
      </c>
      <c r="O522" s="50" t="n">
        <v>4.719</v>
      </c>
      <c r="P522" s="50" t="n"/>
      <c r="Q522" s="50" t="n">
        <v>223.3</v>
      </c>
      <c r="R522" s="50" t="n">
        <v>4.737</v>
      </c>
      <c r="S522" s="50" t="n"/>
    </row>
    <row r="523">
      <c r="A523" s="50" t="inlineStr">
        <is>
          <t>1994-02</t>
        </is>
      </c>
      <c r="B523" s="50" t="n">
        <v>134.1</v>
      </c>
      <c r="C523" s="50" t="n">
        <v>6.429</v>
      </c>
      <c r="D523" s="50" t="n"/>
      <c r="E523" s="50" t="n">
        <v>134.1</v>
      </c>
      <c r="F523" s="50" t="n">
        <v>6.429</v>
      </c>
      <c r="G523" s="50" t="n"/>
      <c r="H523" s="50" t="n">
        <v>148.6</v>
      </c>
      <c r="I523" s="50" t="n">
        <v>2.98</v>
      </c>
      <c r="J523" s="50" t="n"/>
      <c r="K523" s="50" t="n">
        <v>148.6</v>
      </c>
      <c r="L523" s="50" t="n">
        <v>2.98</v>
      </c>
      <c r="M523" s="50" t="n"/>
      <c r="N523" s="50" t="n">
        <v>222.1</v>
      </c>
      <c r="O523" s="50" t="n">
        <v>4.37</v>
      </c>
      <c r="P523" s="50" t="n"/>
      <c r="Q523" s="50" t="n">
        <v>223</v>
      </c>
      <c r="R523" s="50" t="n">
        <v>4.352</v>
      </c>
      <c r="S523" s="50" t="n"/>
    </row>
    <row r="524">
      <c r="A524" s="50" t="inlineStr">
        <is>
          <t>1994-03</t>
        </is>
      </c>
      <c r="B524" s="50" t="n">
        <v>133.6</v>
      </c>
      <c r="C524" s="50" t="n">
        <v>5.529</v>
      </c>
      <c r="D524" s="50" t="n"/>
      <c r="E524" s="50" t="n">
        <v>133.6</v>
      </c>
      <c r="F524" s="50" t="n">
        <v>5.529</v>
      </c>
      <c r="G524" s="50" t="n"/>
      <c r="H524" s="50" t="n">
        <v>148.9</v>
      </c>
      <c r="I524" s="50" t="n">
        <v>2.974</v>
      </c>
      <c r="J524" s="50" t="n"/>
      <c r="K524" s="50" t="n">
        <v>149</v>
      </c>
      <c r="L524" s="50" t="n">
        <v>2.972</v>
      </c>
      <c r="M524" s="50" t="n"/>
      <c r="N524" s="50" t="n">
        <v>222.7</v>
      </c>
      <c r="O524" s="50" t="n">
        <v>4.358</v>
      </c>
      <c r="P524" s="50" t="n"/>
      <c r="Q524" s="50" t="n">
        <v>223</v>
      </c>
      <c r="R524" s="50" t="n">
        <v>4.303</v>
      </c>
      <c r="S524" s="50" t="n"/>
    </row>
    <row r="525">
      <c r="A525" s="50" t="inlineStr">
        <is>
          <t>1994-04</t>
        </is>
      </c>
      <c r="B525" s="50" t="n">
        <v>135.3</v>
      </c>
      <c r="C525" s="50" t="n">
        <v>5.128</v>
      </c>
      <c r="D525" s="50" t="n"/>
      <c r="E525" s="50" t="n">
        <v>135.3</v>
      </c>
      <c r="F525" s="50" t="n">
        <v>5.128</v>
      </c>
      <c r="G525" s="50" t="n"/>
      <c r="H525" s="50" t="n">
        <v>149.3</v>
      </c>
      <c r="I525" s="50" t="n">
        <v>2.824</v>
      </c>
      <c r="J525" s="50" t="n"/>
      <c r="K525" s="50" t="n">
        <v>149.4</v>
      </c>
      <c r="L525" s="50" t="n">
        <v>2.893</v>
      </c>
      <c r="M525" s="50" t="n"/>
      <c r="N525" s="50" t="n">
        <v>223.2</v>
      </c>
      <c r="O525" s="50" t="n">
        <v>4.299</v>
      </c>
      <c r="P525" s="50" t="n"/>
      <c r="Q525" s="50" t="n">
        <v>223</v>
      </c>
      <c r="R525" s="50" t="n">
        <v>4.303</v>
      </c>
      <c r="S525" s="50" t="n"/>
    </row>
    <row r="526">
      <c r="A526" s="50" t="inlineStr">
        <is>
          <t>1994-05</t>
        </is>
      </c>
      <c r="B526" s="50" t="n">
        <v>137.9</v>
      </c>
      <c r="C526" s="50" t="n">
        <v>4.867</v>
      </c>
      <c r="D526" s="50" t="n"/>
      <c r="E526" s="50" t="n">
        <v>137.9</v>
      </c>
      <c r="F526" s="50" t="n">
        <v>4.867</v>
      </c>
      <c r="G526" s="50" t="n"/>
      <c r="H526" s="50" t="n">
        <v>149.7</v>
      </c>
      <c r="I526" s="50" t="n">
        <v>2.957</v>
      </c>
      <c r="J526" s="50" t="n"/>
      <c r="K526" s="50" t="n">
        <v>149.7</v>
      </c>
      <c r="L526" s="50" t="n">
        <v>2.957</v>
      </c>
      <c r="M526" s="50" t="n"/>
      <c r="N526" s="50" t="n">
        <v>223.6</v>
      </c>
      <c r="O526" s="50" t="n">
        <v>3.952</v>
      </c>
      <c r="P526" s="50" t="n"/>
      <c r="Q526" s="50" t="n">
        <v>223.3</v>
      </c>
      <c r="R526" s="50" t="n">
        <v>3.957</v>
      </c>
      <c r="S526" s="50" t="n"/>
    </row>
    <row r="527">
      <c r="A527" s="50" t="inlineStr">
        <is>
          <t>1994-06</t>
        </is>
      </c>
      <c r="B527" s="50" t="n">
        <v>140.9</v>
      </c>
      <c r="C527" s="50" t="n">
        <v>4.914</v>
      </c>
      <c r="D527" s="50" t="n"/>
      <c r="E527" s="50" t="n">
        <v>140.9</v>
      </c>
      <c r="F527" s="50" t="n">
        <v>4.914</v>
      </c>
      <c r="G527" s="50" t="n"/>
      <c r="H527" s="50" t="n">
        <v>149.9</v>
      </c>
      <c r="I527" s="50" t="n">
        <v>2.742</v>
      </c>
      <c r="J527" s="50" t="n"/>
      <c r="K527" s="50" t="n">
        <v>149.8</v>
      </c>
      <c r="L527" s="50" t="n">
        <v>2.743</v>
      </c>
      <c r="M527" s="50" t="n"/>
      <c r="N527" s="50" t="n">
        <v>224.4</v>
      </c>
      <c r="O527" s="50" t="n">
        <v>3.745</v>
      </c>
      <c r="P527" s="50" t="n"/>
      <c r="Q527" s="50" t="n">
        <v>223.4</v>
      </c>
      <c r="R527" s="50" t="n">
        <v>3.762</v>
      </c>
      <c r="S527" s="50" t="n"/>
    </row>
    <row r="528">
      <c r="A528" s="50" t="inlineStr">
        <is>
          <t>1994-07</t>
        </is>
      </c>
      <c r="B528" s="50" t="n">
        <v>142.6</v>
      </c>
      <c r="C528" s="50" t="n">
        <v>4.776</v>
      </c>
      <c r="D528" s="50" t="n"/>
      <c r="E528" s="50" t="n">
        <v>142.6</v>
      </c>
      <c r="F528" s="50" t="n">
        <v>4.776</v>
      </c>
      <c r="G528" s="50" t="n"/>
      <c r="H528" s="50" t="n">
        <v>150.2</v>
      </c>
      <c r="I528" s="50" t="n">
        <v>2.666</v>
      </c>
      <c r="J528" s="50" t="n"/>
      <c r="K528" s="50" t="n">
        <v>150</v>
      </c>
      <c r="L528" s="50" t="n">
        <v>2.599</v>
      </c>
      <c r="M528" s="50" t="n"/>
      <c r="N528" s="50" t="n">
        <v>224.5</v>
      </c>
      <c r="O528" s="50" t="n">
        <v>3.313</v>
      </c>
      <c r="P528" s="50" t="n"/>
      <c r="Q528" s="50" t="n">
        <v>223.2</v>
      </c>
      <c r="R528" s="50" t="n">
        <v>3.333</v>
      </c>
      <c r="S528" s="50" t="n"/>
    </row>
    <row r="529">
      <c r="A529" s="50" t="inlineStr">
        <is>
          <t>1994-08</t>
        </is>
      </c>
      <c r="B529" s="50" t="n">
        <v>144</v>
      </c>
      <c r="C529" s="50" t="n">
        <v>4.727</v>
      </c>
      <c r="D529" s="50" t="n"/>
      <c r="E529" s="50" t="n">
        <v>144</v>
      </c>
      <c r="F529" s="50" t="n">
        <v>4.727</v>
      </c>
      <c r="G529" s="50" t="n"/>
      <c r="H529" s="50" t="n">
        <v>150.8</v>
      </c>
      <c r="I529" s="50" t="n">
        <v>3.076</v>
      </c>
      <c r="J529" s="50" t="n"/>
      <c r="K529" s="50" t="n">
        <v>150.7</v>
      </c>
      <c r="L529" s="50" t="n">
        <v>3.078</v>
      </c>
      <c r="M529" s="50" t="n"/>
      <c r="N529" s="50" t="n">
        <v>225.2</v>
      </c>
      <c r="O529" s="50" t="n">
        <v>2.831</v>
      </c>
      <c r="P529" s="50" t="n"/>
      <c r="Q529" s="50" t="n">
        <v>223.6</v>
      </c>
      <c r="R529" s="50" t="n">
        <v>2.852</v>
      </c>
      <c r="S529" s="50" t="n"/>
    </row>
    <row r="530">
      <c r="A530" s="50" t="inlineStr">
        <is>
          <t>1994-09</t>
        </is>
      </c>
      <c r="B530" s="50" t="n">
        <v>145.4</v>
      </c>
      <c r="C530" s="50" t="n">
        <v>4.831</v>
      </c>
      <c r="D530" s="50" t="n"/>
      <c r="E530" s="50" t="n">
        <v>145.4</v>
      </c>
      <c r="F530" s="50" t="n">
        <v>4.831</v>
      </c>
      <c r="G530" s="50" t="n"/>
      <c r="H530" s="50" t="n">
        <v>151.1</v>
      </c>
      <c r="I530" s="50" t="n">
        <v>3.07</v>
      </c>
      <c r="J530" s="50" t="n"/>
      <c r="K530" s="50" t="n">
        <v>151.2</v>
      </c>
      <c r="L530" s="50" t="n">
        <v>2.997</v>
      </c>
      <c r="M530" s="50" t="n"/>
      <c r="N530" s="50" t="n">
        <v>226</v>
      </c>
      <c r="O530" s="50" t="n">
        <v>3.102</v>
      </c>
      <c r="P530" s="50" t="n"/>
      <c r="Q530" s="50" t="n">
        <v>223.9</v>
      </c>
      <c r="R530" s="50" t="n">
        <v>3.085</v>
      </c>
      <c r="S530" s="50" t="n"/>
    </row>
    <row r="531">
      <c r="A531" s="50" t="inlineStr">
        <is>
          <t>1994-10</t>
        </is>
      </c>
      <c r="B531" s="50" t="n">
        <v>147.7</v>
      </c>
      <c r="C531" s="50" t="n">
        <v>5.651</v>
      </c>
      <c r="D531" s="50" t="n"/>
      <c r="E531" s="50" t="n">
        <v>147.7</v>
      </c>
      <c r="F531" s="50" t="n">
        <v>5.651</v>
      </c>
      <c r="G531" s="50" t="n"/>
      <c r="H531" s="50" t="n">
        <v>151.5</v>
      </c>
      <c r="I531" s="50" t="n">
        <v>3.131</v>
      </c>
      <c r="J531" s="50" t="n"/>
      <c r="K531" s="50" t="n">
        <v>151.7</v>
      </c>
      <c r="L531" s="50" t="n">
        <v>3.127</v>
      </c>
      <c r="M531" s="50" t="n"/>
      <c r="N531" s="50" t="n">
        <v>226.9</v>
      </c>
      <c r="O531" s="50" t="n">
        <v>3.466</v>
      </c>
      <c r="P531" s="50" t="n"/>
      <c r="Q531" s="50" t="n">
        <v>227.6</v>
      </c>
      <c r="R531" s="50" t="n">
        <v>3.408</v>
      </c>
      <c r="S531" s="50" t="n"/>
    </row>
    <row r="532">
      <c r="A532" s="50" t="inlineStr">
        <is>
          <t>1994-11</t>
        </is>
      </c>
      <c r="B532" s="50" t="n">
        <v>150.1</v>
      </c>
      <c r="C532" s="50" t="n">
        <v>6.681</v>
      </c>
      <c r="D532" s="50" t="n"/>
      <c r="E532" s="50" t="n">
        <v>150.1</v>
      </c>
      <c r="F532" s="50" t="n">
        <v>6.681</v>
      </c>
      <c r="G532" s="50" t="n"/>
      <c r="H532" s="50" t="n">
        <v>151.7</v>
      </c>
      <c r="I532" s="50" t="n">
        <v>2.987</v>
      </c>
      <c r="J532" s="50" t="n"/>
      <c r="K532" s="50" t="n">
        <v>151.8</v>
      </c>
      <c r="L532" s="50" t="n">
        <v>2.985</v>
      </c>
      <c r="M532" s="50" t="n"/>
      <c r="N532" s="50" t="n">
        <v>228.3</v>
      </c>
      <c r="O532" s="50" t="n">
        <v>3.537</v>
      </c>
      <c r="P532" s="50" t="n"/>
      <c r="Q532" s="50" t="n">
        <v>230</v>
      </c>
      <c r="R532" s="50" t="n">
        <v>3.557</v>
      </c>
      <c r="S532" s="50" t="n"/>
    </row>
    <row r="533">
      <c r="A533" s="50" t="inlineStr">
        <is>
          <t>1994-12</t>
        </is>
      </c>
      <c r="B533" s="50" t="n">
        <v>151.5</v>
      </c>
      <c r="C533" s="50" t="n">
        <v>8.757999999999999</v>
      </c>
      <c r="D533" s="50" t="n"/>
      <c r="E533" s="50" t="n">
        <v>151.5</v>
      </c>
      <c r="F533" s="50" t="n">
        <v>8.757999999999999</v>
      </c>
      <c r="G533" s="50" t="n"/>
      <c r="H533" s="50" t="n">
        <v>152</v>
      </c>
      <c r="I533" s="50" t="n">
        <v>2.842</v>
      </c>
      <c r="J533" s="50" t="n"/>
      <c r="K533" s="50" t="n">
        <v>151.9</v>
      </c>
      <c r="L533" s="50" t="n">
        <v>2.844</v>
      </c>
      <c r="M533" s="50" t="n"/>
      <c r="N533" s="50" t="n">
        <v>228.9</v>
      </c>
      <c r="O533" s="50" t="n">
        <v>3.434</v>
      </c>
      <c r="P533" s="50" t="n"/>
      <c r="Q533" s="50" t="n">
        <v>230.4</v>
      </c>
      <c r="R533" s="50" t="n">
        <v>3.411</v>
      </c>
      <c r="S533" s="50" t="n"/>
    </row>
    <row r="534">
      <c r="A534" s="50" t="inlineStr">
        <is>
          <t>1995-01</t>
        </is>
      </c>
      <c r="B534" s="50" t="n">
        <v>152.4</v>
      </c>
      <c r="C534" s="50" t="n">
        <v>11.404</v>
      </c>
      <c r="D534" s="50" t="n"/>
      <c r="E534" s="50" t="n">
        <v>152.4</v>
      </c>
      <c r="F534" s="50" t="n">
        <v>11.404</v>
      </c>
      <c r="G534" s="50" t="n"/>
      <c r="H534" s="50" t="n">
        <v>152</v>
      </c>
      <c r="I534" s="50" t="n">
        <v>2.564</v>
      </c>
      <c r="J534" s="50" t="n"/>
      <c r="K534" s="50" t="n">
        <v>152</v>
      </c>
      <c r="L534" s="50" t="n">
        <v>2.633</v>
      </c>
      <c r="M534" s="50" t="n"/>
      <c r="N534" s="50" t="n">
        <v>229.4</v>
      </c>
      <c r="O534" s="50" t="n">
        <v>3.38</v>
      </c>
      <c r="P534" s="50" t="n"/>
      <c r="Q534" s="50" t="n">
        <v>230.9</v>
      </c>
      <c r="R534" s="50" t="n">
        <v>3.403</v>
      </c>
      <c r="S534" s="50" t="n"/>
    </row>
    <row r="535">
      <c r="A535" s="50" t="inlineStr">
        <is>
          <t>1995-02</t>
        </is>
      </c>
      <c r="B535" s="50" t="n">
        <v>153.3</v>
      </c>
      <c r="C535" s="50" t="n">
        <v>14.318</v>
      </c>
      <c r="D535" s="50" t="n"/>
      <c r="E535" s="50" t="n">
        <v>153.3</v>
      </c>
      <c r="F535" s="50" t="n">
        <v>14.318</v>
      </c>
      <c r="G535" s="50" t="n"/>
      <c r="H535" s="50" t="n">
        <v>152.5</v>
      </c>
      <c r="I535" s="50" t="n">
        <v>2.624</v>
      </c>
      <c r="J535" s="50" t="n"/>
      <c r="K535" s="50" t="n">
        <v>152.5</v>
      </c>
      <c r="L535" s="50" t="n">
        <v>2.624</v>
      </c>
      <c r="M535" s="50" t="n"/>
      <c r="N535" s="50" t="n">
        <v>230.6</v>
      </c>
      <c r="O535" s="50" t="n">
        <v>3.827</v>
      </c>
      <c r="P535" s="50" t="n"/>
      <c r="Q535" s="50" t="n">
        <v>231.3</v>
      </c>
      <c r="R535" s="50" t="n">
        <v>3.722</v>
      </c>
      <c r="S535" s="50" t="n"/>
    </row>
    <row r="536">
      <c r="A536" s="50" t="inlineStr">
        <is>
          <t>1995-03</t>
        </is>
      </c>
      <c r="B536" s="50" t="n">
        <v>154.8</v>
      </c>
      <c r="C536" s="50" t="n">
        <v>15.868</v>
      </c>
      <c r="D536" s="50" t="n"/>
      <c r="E536" s="50" t="n">
        <v>154.8</v>
      </c>
      <c r="F536" s="50" t="n">
        <v>15.868</v>
      </c>
      <c r="G536" s="50" t="n"/>
      <c r="H536" s="50" t="n">
        <v>152.7</v>
      </c>
      <c r="I536" s="50" t="n">
        <v>2.552</v>
      </c>
      <c r="J536" s="50" t="n"/>
      <c r="K536" s="50" t="n">
        <v>152.7</v>
      </c>
      <c r="L536" s="50" t="n">
        <v>2.483</v>
      </c>
      <c r="M536" s="50" t="n"/>
      <c r="N536" s="50" t="n">
        <v>231.2</v>
      </c>
      <c r="O536" s="50" t="n">
        <v>3.817</v>
      </c>
      <c r="P536" s="50" t="n"/>
      <c r="Q536" s="50" t="n">
        <v>231.4</v>
      </c>
      <c r="R536" s="50" t="n">
        <v>3.767</v>
      </c>
      <c r="S536" s="50" t="n"/>
    </row>
    <row r="537">
      <c r="A537" s="50" t="inlineStr">
        <is>
          <t>1995-04</t>
        </is>
      </c>
      <c r="B537" s="50" t="n">
        <v>156.7</v>
      </c>
      <c r="C537" s="50" t="n">
        <v>15.817</v>
      </c>
      <c r="D537" s="50" t="n"/>
      <c r="E537" s="50" t="n">
        <v>156.7</v>
      </c>
      <c r="F537" s="50" t="n">
        <v>15.817</v>
      </c>
      <c r="G537" s="50" t="n"/>
      <c r="H537" s="50" t="n">
        <v>153.2</v>
      </c>
      <c r="I537" s="50" t="n">
        <v>2.612</v>
      </c>
      <c r="J537" s="50" t="n"/>
      <c r="K537" s="50" t="n">
        <v>153.2</v>
      </c>
      <c r="L537" s="50" t="n">
        <v>2.544</v>
      </c>
      <c r="M537" s="50" t="n"/>
      <c r="N537" s="50" t="n">
        <v>232.4</v>
      </c>
      <c r="O537" s="50" t="n">
        <v>4.122</v>
      </c>
      <c r="P537" s="50" t="n"/>
      <c r="Q537" s="50" t="n">
        <v>232.2</v>
      </c>
      <c r="R537" s="50" t="n">
        <v>4.126</v>
      </c>
      <c r="S537" s="50" t="n"/>
    </row>
    <row r="538">
      <c r="A538" s="50" t="inlineStr">
        <is>
          <t>1995-05</t>
        </is>
      </c>
      <c r="B538" s="50" t="n">
        <v>157.7</v>
      </c>
      <c r="C538" s="50" t="n">
        <v>14.358</v>
      </c>
      <c r="D538" s="50" t="n"/>
      <c r="E538" s="50" t="n">
        <v>157.7</v>
      </c>
      <c r="F538" s="50" t="n">
        <v>14.358</v>
      </c>
      <c r="G538" s="50" t="n"/>
      <c r="H538" s="50" t="n">
        <v>153.8</v>
      </c>
      <c r="I538" s="50" t="n">
        <v>2.739</v>
      </c>
      <c r="J538" s="50" t="n"/>
      <c r="K538" s="50" t="n">
        <v>153.8</v>
      </c>
      <c r="L538" s="50" t="n">
        <v>2.739</v>
      </c>
      <c r="M538" s="50" t="n"/>
      <c r="N538" s="50" t="n">
        <v>233.1</v>
      </c>
      <c r="O538" s="50" t="n">
        <v>4.249</v>
      </c>
      <c r="P538" s="50" t="n"/>
      <c r="Q538" s="50" t="n">
        <v>232.8</v>
      </c>
      <c r="R538" s="50" t="n">
        <v>4.254</v>
      </c>
      <c r="S538" s="50" t="n"/>
    </row>
    <row r="539">
      <c r="A539" s="50" t="inlineStr">
        <is>
          <t>1995-06</t>
        </is>
      </c>
      <c r="B539" s="50" t="n">
        <v>158.3</v>
      </c>
      <c r="C539" s="50" t="n">
        <v>12.349</v>
      </c>
      <c r="D539" s="50" t="n"/>
      <c r="E539" s="50" t="n">
        <v>158.3</v>
      </c>
      <c r="F539" s="50" t="n">
        <v>12.349</v>
      </c>
      <c r="G539" s="50" t="n"/>
      <c r="H539" s="50" t="n">
        <v>153.6</v>
      </c>
      <c r="I539" s="50" t="n">
        <v>2.468</v>
      </c>
      <c r="J539" s="50" t="n"/>
      <c r="K539" s="50" t="n">
        <v>153.6</v>
      </c>
      <c r="L539" s="50" t="n">
        <v>2.537</v>
      </c>
      <c r="M539" s="50" t="n"/>
      <c r="N539" s="50" t="n">
        <v>234</v>
      </c>
      <c r="O539" s="50" t="n">
        <v>4.278</v>
      </c>
      <c r="P539" s="50" t="n"/>
      <c r="Q539" s="50" t="n">
        <v>233</v>
      </c>
      <c r="R539" s="50" t="n">
        <v>4.297</v>
      </c>
      <c r="S539" s="50" t="n"/>
    </row>
    <row r="540">
      <c r="A540" s="50" t="inlineStr">
        <is>
          <t>1995-07</t>
        </is>
      </c>
      <c r="B540" s="50" t="n">
        <v>157.5</v>
      </c>
      <c r="C540" s="50" t="n">
        <v>10.449</v>
      </c>
      <c r="D540" s="50" t="n"/>
      <c r="E540" s="50" t="n">
        <v>157.5</v>
      </c>
      <c r="F540" s="50" t="n">
        <v>10.449</v>
      </c>
      <c r="G540" s="50" t="n"/>
      <c r="H540" s="50" t="n">
        <v>154</v>
      </c>
      <c r="I540" s="50" t="n">
        <v>2.53</v>
      </c>
      <c r="J540" s="50" t="n"/>
      <c r="K540" s="50" t="n">
        <v>154</v>
      </c>
      <c r="L540" s="50" t="n">
        <v>2.667</v>
      </c>
      <c r="M540" s="50" t="n"/>
      <c r="N540" s="50" t="n">
        <v>234.9</v>
      </c>
      <c r="O540" s="50" t="n">
        <v>4.633</v>
      </c>
      <c r="P540" s="50" t="n"/>
      <c r="Q540" s="50" t="n">
        <v>233.5</v>
      </c>
      <c r="R540" s="50" t="n">
        <v>4.615</v>
      </c>
      <c r="S540" s="50" t="n"/>
    </row>
    <row r="541">
      <c r="A541" s="50" t="inlineStr">
        <is>
          <t>1995-08</t>
        </is>
      </c>
      <c r="B541" s="50" t="n">
        <v>157</v>
      </c>
      <c r="C541" s="50" t="n">
        <v>9.028</v>
      </c>
      <c r="D541" s="50" t="n"/>
      <c r="E541" s="50" t="n">
        <v>157</v>
      </c>
      <c r="F541" s="50" t="n">
        <v>9.028</v>
      </c>
      <c r="G541" s="50" t="n"/>
      <c r="H541" s="50" t="n">
        <v>154.5</v>
      </c>
      <c r="I541" s="50" t="n">
        <v>2.454</v>
      </c>
      <c r="J541" s="50" t="n"/>
      <c r="K541" s="50" t="n">
        <v>154.5</v>
      </c>
      <c r="L541" s="50" t="n">
        <v>2.522</v>
      </c>
      <c r="M541" s="50" t="n"/>
      <c r="N541" s="50" t="n">
        <v>235.5</v>
      </c>
      <c r="O541" s="50" t="n">
        <v>4.574</v>
      </c>
      <c r="P541" s="50" t="n"/>
      <c r="Q541" s="50" t="n">
        <v>233.8</v>
      </c>
      <c r="R541" s="50" t="n">
        <v>4.562</v>
      </c>
      <c r="S541" s="50" t="n"/>
    </row>
    <row r="542">
      <c r="A542" s="50" t="inlineStr">
        <is>
          <t>1995-09</t>
        </is>
      </c>
      <c r="B542" s="50" t="n">
        <v>156.5</v>
      </c>
      <c r="C542" s="50" t="n">
        <v>7.634</v>
      </c>
      <c r="D542" s="50" t="n"/>
      <c r="E542" s="50" t="n">
        <v>156.5</v>
      </c>
      <c r="F542" s="50" t="n">
        <v>7.634</v>
      </c>
      <c r="G542" s="50" t="n"/>
      <c r="H542" s="50" t="n">
        <v>155.1</v>
      </c>
      <c r="I542" s="50" t="n">
        <v>2.647</v>
      </c>
      <c r="J542" s="50" t="n"/>
      <c r="K542" s="50" t="n">
        <v>155.1</v>
      </c>
      <c r="L542" s="50" t="n">
        <v>2.579</v>
      </c>
      <c r="M542" s="50" t="n"/>
      <c r="N542" s="50" t="n">
        <v>236.5</v>
      </c>
      <c r="O542" s="50" t="n">
        <v>4.646</v>
      </c>
      <c r="P542" s="50" t="n"/>
      <c r="Q542" s="50" t="n">
        <v>234.5</v>
      </c>
      <c r="R542" s="50" t="n">
        <v>4.734</v>
      </c>
      <c r="S542" s="50" t="n"/>
    </row>
    <row r="543">
      <c r="A543" s="50" t="inlineStr">
        <is>
          <t>1995-10</t>
        </is>
      </c>
      <c r="B543" s="50" t="n">
        <v>157.2</v>
      </c>
      <c r="C543" s="50" t="n">
        <v>6.432</v>
      </c>
      <c r="D543" s="50" t="n"/>
      <c r="E543" s="50" t="n">
        <v>157.2</v>
      </c>
      <c r="F543" s="50" t="n">
        <v>6.432</v>
      </c>
      <c r="G543" s="50" t="n"/>
      <c r="H543" s="50" t="n">
        <v>155.4</v>
      </c>
      <c r="I543" s="50" t="n">
        <v>2.574</v>
      </c>
      <c r="J543" s="50" t="n"/>
      <c r="K543" s="50" t="n">
        <v>155.4</v>
      </c>
      <c r="L543" s="50" t="n">
        <v>2.439</v>
      </c>
      <c r="M543" s="50" t="n"/>
      <c r="N543" s="50" t="n">
        <v>237.5</v>
      </c>
      <c r="O543" s="50" t="n">
        <v>4.672</v>
      </c>
      <c r="P543" s="50" t="n"/>
      <c r="Q543" s="50" t="n">
        <v>238.2</v>
      </c>
      <c r="R543" s="50" t="n">
        <v>4.657</v>
      </c>
      <c r="S543" s="50" t="n"/>
    </row>
    <row r="544">
      <c r="A544" s="50" t="inlineStr">
        <is>
          <t>1995-11</t>
        </is>
      </c>
      <c r="B544" s="50" t="n">
        <v>157.8</v>
      </c>
      <c r="C544" s="50" t="n">
        <v>5.13</v>
      </c>
      <c r="D544" s="50" t="n"/>
      <c r="E544" s="50" t="n">
        <v>157.8</v>
      </c>
      <c r="F544" s="50" t="n">
        <v>5.13</v>
      </c>
      <c r="G544" s="50" t="n"/>
      <c r="H544" s="50" t="n">
        <v>155.7</v>
      </c>
      <c r="I544" s="50" t="n">
        <v>2.637</v>
      </c>
      <c r="J544" s="50" t="n"/>
      <c r="K544" s="50" t="n">
        <v>155.7</v>
      </c>
      <c r="L544" s="50" t="n">
        <v>2.569</v>
      </c>
      <c r="M544" s="50" t="n"/>
      <c r="N544" s="50" t="n">
        <v>238</v>
      </c>
      <c r="O544" s="50" t="n">
        <v>4.249</v>
      </c>
      <c r="P544" s="50" t="n"/>
      <c r="Q544" s="50" t="n">
        <v>239.7</v>
      </c>
      <c r="R544" s="50" t="n">
        <v>4.217</v>
      </c>
      <c r="S544" s="50" t="n"/>
    </row>
    <row r="545">
      <c r="A545" s="50" t="inlineStr">
        <is>
          <t>1995-12</t>
        </is>
      </c>
      <c r="B545" s="50" t="n">
        <v>158.2</v>
      </c>
      <c r="C545" s="50" t="n">
        <v>4.422</v>
      </c>
      <c r="D545" s="50" t="n"/>
      <c r="E545" s="50" t="n">
        <v>158.2</v>
      </c>
      <c r="F545" s="50" t="n">
        <v>4.422</v>
      </c>
      <c r="G545" s="50" t="n"/>
      <c r="H545" s="50" t="n">
        <v>155.7</v>
      </c>
      <c r="I545" s="50" t="n">
        <v>2.434</v>
      </c>
      <c r="J545" s="50" t="n"/>
      <c r="K545" s="50" t="n">
        <v>155.7</v>
      </c>
      <c r="L545" s="50" t="n">
        <v>2.502</v>
      </c>
      <c r="M545" s="50" t="n"/>
      <c r="N545" s="50" t="n">
        <v>238.7</v>
      </c>
      <c r="O545" s="50" t="n">
        <v>4.281</v>
      </c>
      <c r="P545" s="50" t="n"/>
      <c r="Q545" s="50" t="n">
        <v>240.2</v>
      </c>
      <c r="R545" s="50" t="n">
        <v>4.253</v>
      </c>
      <c r="S545" s="50" t="n"/>
    </row>
    <row r="546">
      <c r="A546" s="50" t="inlineStr">
        <is>
          <t>1996-01</t>
        </is>
      </c>
      <c r="B546" s="50" t="n">
        <v>158.1</v>
      </c>
      <c r="C546" s="50" t="n">
        <v>3.74</v>
      </c>
      <c r="D546" s="50" t="n"/>
      <c r="E546" s="50" t="n">
        <v>157.9</v>
      </c>
      <c r="F546" s="50" t="n">
        <v>3.609</v>
      </c>
      <c r="G546" s="50" t="n"/>
      <c r="H546" s="50" t="n">
        <v>156.2</v>
      </c>
      <c r="I546" s="50" t="n">
        <v>2.763</v>
      </c>
      <c r="J546" s="50" t="n"/>
      <c r="K546" s="50" t="n">
        <v>156.2</v>
      </c>
      <c r="L546" s="50" t="n">
        <v>2.763</v>
      </c>
      <c r="M546" s="50" t="n"/>
      <c r="N546" s="50" t="n">
        <v>239.7</v>
      </c>
      <c r="O546" s="50" t="n">
        <v>4.49</v>
      </c>
      <c r="P546" s="50" t="n"/>
      <c r="Q546" s="50" t="n">
        <v>241</v>
      </c>
      <c r="R546" s="50" t="n">
        <v>4.374</v>
      </c>
      <c r="S546" s="50" t="n"/>
    </row>
    <row r="547">
      <c r="A547" s="50" t="inlineStr">
        <is>
          <t>1996-02</t>
        </is>
      </c>
      <c r="B547" s="50" t="n">
        <v>158.4</v>
      </c>
      <c r="C547" s="50" t="n">
        <v>3.327</v>
      </c>
      <c r="D547" s="50" t="n"/>
      <c r="E547" s="50" t="n">
        <v>157.5</v>
      </c>
      <c r="F547" s="50" t="n">
        <v>2.74</v>
      </c>
      <c r="G547" s="50" t="n"/>
      <c r="H547" s="50" t="n">
        <v>156.5</v>
      </c>
      <c r="I547" s="50" t="n">
        <v>2.623</v>
      </c>
      <c r="J547" s="50" t="n"/>
      <c r="K547" s="50" t="n">
        <v>156.6</v>
      </c>
      <c r="L547" s="50" t="n">
        <v>2.689</v>
      </c>
      <c r="M547" s="50" t="n"/>
      <c r="N547" s="50" t="n">
        <v>240.2</v>
      </c>
      <c r="O547" s="50" t="n">
        <v>4.163</v>
      </c>
      <c r="P547" s="50" t="n"/>
      <c r="Q547" s="50" t="n">
        <v>240.9</v>
      </c>
      <c r="R547" s="50" t="n">
        <v>4.15</v>
      </c>
      <c r="S547" s="50" t="n"/>
    </row>
    <row r="548">
      <c r="A548" s="50" t="inlineStr">
        <is>
          <t>1996-03</t>
        </is>
      </c>
      <c r="B548" s="50" t="n">
        <v>159.1</v>
      </c>
      <c r="C548" s="50" t="n">
        <v>2.778</v>
      </c>
      <c r="D548" s="50" t="n"/>
      <c r="E548" s="50" t="n">
        <v>157.3</v>
      </c>
      <c r="F548" s="50" t="n">
        <v>1.615</v>
      </c>
      <c r="G548" s="50" t="n"/>
      <c r="H548" s="50" t="n">
        <v>156.9</v>
      </c>
      <c r="I548" s="50" t="n">
        <v>2.75</v>
      </c>
      <c r="J548" s="50" t="n"/>
      <c r="K548" s="50" t="n">
        <v>156.9</v>
      </c>
      <c r="L548" s="50" t="n">
        <v>2.75</v>
      </c>
      <c r="M548" s="50" t="n"/>
      <c r="N548" s="50" t="n">
        <v>240.5</v>
      </c>
      <c r="O548" s="50" t="n">
        <v>4.022</v>
      </c>
      <c r="P548" s="50" t="n"/>
      <c r="Q548" s="50" t="n">
        <v>240.7</v>
      </c>
      <c r="R548" s="50" t="n">
        <v>4.019</v>
      </c>
      <c r="S548" s="50" t="n"/>
    </row>
    <row r="549">
      <c r="A549" s="50" t="inlineStr">
        <is>
          <t>1996-04</t>
        </is>
      </c>
      <c r="B549" s="50" t="n">
        <v>158.1</v>
      </c>
      <c r="C549" s="50" t="n">
        <v>0.893</v>
      </c>
      <c r="D549" s="50" t="n"/>
      <c r="E549" s="50" t="n">
        <v>157.4</v>
      </c>
      <c r="F549" s="50" t="n">
        <v>0.447</v>
      </c>
      <c r="G549" s="50" t="n"/>
      <c r="H549" s="50" t="n">
        <v>157.2</v>
      </c>
      <c r="I549" s="50" t="n">
        <v>2.611</v>
      </c>
      <c r="J549" s="50" t="n"/>
      <c r="K549" s="50" t="n">
        <v>157.2</v>
      </c>
      <c r="L549" s="50" t="n">
        <v>2.611</v>
      </c>
      <c r="M549" s="50" t="n"/>
      <c r="N549" s="50" t="n">
        <v>241.6</v>
      </c>
      <c r="O549" s="50" t="n">
        <v>3.959</v>
      </c>
      <c r="P549" s="50" t="n"/>
      <c r="Q549" s="50" t="n">
        <v>241.5</v>
      </c>
      <c r="R549" s="50" t="n">
        <v>4.005</v>
      </c>
      <c r="S549" s="50" t="n"/>
    </row>
    <row r="550">
      <c r="A550" s="50" t="inlineStr">
        <is>
          <t>1996-05</t>
        </is>
      </c>
      <c r="B550" s="50" t="n">
        <v>157.4</v>
      </c>
      <c r="C550" s="50" t="n">
        <v>-0.19</v>
      </c>
      <c r="D550" s="50" t="n"/>
      <c r="E550" s="50" t="n">
        <v>157.6</v>
      </c>
      <c r="F550" s="50" t="n">
        <v>-0.063</v>
      </c>
      <c r="G550" s="50" t="n"/>
      <c r="H550" s="50" t="n">
        <v>157.6</v>
      </c>
      <c r="I550" s="50" t="n">
        <v>2.471</v>
      </c>
      <c r="J550" s="50" t="n"/>
      <c r="K550" s="50" t="n">
        <v>157.5</v>
      </c>
      <c r="L550" s="50" t="n">
        <v>2.406</v>
      </c>
      <c r="M550" s="50" t="n"/>
      <c r="N550" s="50" t="n">
        <v>242.7</v>
      </c>
      <c r="O550" s="50" t="n">
        <v>4.118</v>
      </c>
      <c r="P550" s="50" t="n"/>
      <c r="Q550" s="50" t="n">
        <v>242.5</v>
      </c>
      <c r="R550" s="50" t="n">
        <v>4.167</v>
      </c>
      <c r="S550" s="50" t="n"/>
    </row>
    <row r="551">
      <c r="A551" s="50" t="inlineStr">
        <is>
          <t>1996-06</t>
        </is>
      </c>
      <c r="B551" s="50" t="n">
        <v>156.7</v>
      </c>
      <c r="C551" s="50" t="n">
        <v>-1.011</v>
      </c>
      <c r="D551" s="50" t="n"/>
      <c r="E551" s="50" t="n">
        <v>157.2</v>
      </c>
      <c r="F551" s="50" t="n">
        <v>-0.695</v>
      </c>
      <c r="G551" s="50" t="n"/>
      <c r="H551" s="50" t="n">
        <v>157.9</v>
      </c>
      <c r="I551" s="50" t="n">
        <v>2.799</v>
      </c>
      <c r="J551" s="50" t="n"/>
      <c r="K551" s="50" t="n">
        <v>157.7</v>
      </c>
      <c r="L551" s="50" t="n">
        <v>2.669</v>
      </c>
      <c r="M551" s="50" t="n"/>
      <c r="N551" s="50" t="n">
        <v>243.4</v>
      </c>
      <c r="O551" s="50" t="n">
        <v>4.017</v>
      </c>
      <c r="P551" s="50" t="n"/>
      <c r="Q551" s="50" t="n">
        <v>242.5</v>
      </c>
      <c r="R551" s="50" t="n">
        <v>4.077</v>
      </c>
      <c r="S551" s="50" t="n"/>
    </row>
    <row r="552">
      <c r="A552" s="50" t="inlineStr">
        <is>
          <t>1996-07</t>
        </is>
      </c>
      <c r="B552" s="50" t="n">
        <v>156.7</v>
      </c>
      <c r="C552" s="50" t="n">
        <v>-0.508</v>
      </c>
      <c r="D552" s="50" t="n"/>
      <c r="E552" s="50" t="n">
        <v>156.9</v>
      </c>
      <c r="F552" s="50" t="n">
        <v>-0.381</v>
      </c>
      <c r="G552" s="50" t="n"/>
      <c r="H552" s="50" t="n">
        <v>158.3</v>
      </c>
      <c r="I552" s="50" t="n">
        <v>2.792</v>
      </c>
      <c r="J552" s="50" t="n"/>
      <c r="K552" s="50" t="n">
        <v>158.1</v>
      </c>
      <c r="L552" s="50" t="n">
        <v>2.662</v>
      </c>
      <c r="M552" s="50" t="n"/>
      <c r="N552" s="50" t="n">
        <v>244.4</v>
      </c>
      <c r="O552" s="50" t="n">
        <v>4.044</v>
      </c>
      <c r="P552" s="50" t="n"/>
      <c r="Q552" s="50" t="n">
        <v>243.1</v>
      </c>
      <c r="R552" s="50" t="n">
        <v>4.111</v>
      </c>
      <c r="S552" s="50" t="n"/>
    </row>
    <row r="553">
      <c r="A553" s="50" t="inlineStr">
        <is>
          <t>1996-08</t>
        </is>
      </c>
      <c r="B553" s="50" t="n">
        <v>156.6</v>
      </c>
      <c r="C553" s="50" t="n">
        <v>-0.255</v>
      </c>
      <c r="D553" s="50" t="n"/>
      <c r="E553" s="50" t="n">
        <v>156.6</v>
      </c>
      <c r="F553" s="50" t="n">
        <v>-0.255</v>
      </c>
      <c r="G553" s="50" t="n"/>
      <c r="H553" s="50" t="n">
        <v>158.7</v>
      </c>
      <c r="I553" s="50" t="n">
        <v>2.718</v>
      </c>
      <c r="J553" s="50" t="n"/>
      <c r="K553" s="50" t="n">
        <v>158.6</v>
      </c>
      <c r="L553" s="50" t="n">
        <v>2.654</v>
      </c>
      <c r="M553" s="50" t="n"/>
      <c r="N553" s="50" t="n">
        <v>245.3</v>
      </c>
      <c r="O553" s="50" t="n">
        <v>4.161</v>
      </c>
      <c r="P553" s="50" t="n"/>
      <c r="Q553" s="50" t="n">
        <v>243.7</v>
      </c>
      <c r="R553" s="50" t="n">
        <v>4.234</v>
      </c>
      <c r="S553" s="50" t="n"/>
    </row>
    <row r="554">
      <c r="A554" s="50" t="inlineStr">
        <is>
          <t>1996-09</t>
        </is>
      </c>
      <c r="B554" s="50" t="n">
        <v>156.8</v>
      </c>
      <c r="C554" s="50" t="n">
        <v>0.192</v>
      </c>
      <c r="D554" s="50" t="n"/>
      <c r="E554" s="50" t="n">
        <v>157</v>
      </c>
      <c r="F554" s="50" t="n">
        <v>0.319</v>
      </c>
      <c r="G554" s="50" t="n"/>
      <c r="H554" s="50" t="n">
        <v>159.8</v>
      </c>
      <c r="I554" s="50" t="n">
        <v>3.03</v>
      </c>
      <c r="J554" s="50" t="n"/>
      <c r="K554" s="50" t="n">
        <v>160</v>
      </c>
      <c r="L554" s="50" t="n">
        <v>3.159</v>
      </c>
      <c r="M554" s="50" t="n"/>
      <c r="N554" s="50" t="n">
        <v>246</v>
      </c>
      <c r="O554" s="50" t="n">
        <v>4.017</v>
      </c>
      <c r="P554" s="50" t="n"/>
      <c r="Q554" s="50" t="n">
        <v>244</v>
      </c>
      <c r="R554" s="50" t="n">
        <v>4.051</v>
      </c>
      <c r="S554" s="50" t="n"/>
    </row>
    <row r="555">
      <c r="A555" s="50" t="inlineStr">
        <is>
          <t>1996-10</t>
        </is>
      </c>
      <c r="B555" s="50" t="n">
        <v>156.2</v>
      </c>
      <c r="C555" s="50" t="n">
        <v>-0.636</v>
      </c>
      <c r="D555" s="50" t="n"/>
      <c r="E555" s="50" t="n">
        <v>157</v>
      </c>
      <c r="F555" s="50" t="n">
        <v>-0.127</v>
      </c>
      <c r="G555" s="50" t="n"/>
      <c r="H555" s="50" t="n">
        <v>160.2</v>
      </c>
      <c r="I555" s="50" t="n">
        <v>3.089</v>
      </c>
      <c r="J555" s="50" t="n"/>
      <c r="K555" s="50" t="n">
        <v>160.5</v>
      </c>
      <c r="L555" s="50" t="n">
        <v>3.282</v>
      </c>
      <c r="M555" s="50" t="n"/>
      <c r="N555" s="50" t="n">
        <v>247</v>
      </c>
      <c r="O555" s="50" t="n">
        <v>4</v>
      </c>
      <c r="P555" s="50" t="n"/>
      <c r="Q555" s="50" t="n">
        <v>247.6</v>
      </c>
      <c r="R555" s="50" t="n">
        <v>3.946</v>
      </c>
      <c r="S555" s="50" t="n"/>
    </row>
    <row r="556">
      <c r="A556" s="50" t="inlineStr">
        <is>
          <t>1996-11</t>
        </is>
      </c>
      <c r="B556" s="50" t="n">
        <v>155.7</v>
      </c>
      <c r="C556" s="50" t="n">
        <v>-1.331</v>
      </c>
      <c r="D556" s="50" t="n"/>
      <c r="E556" s="50" t="n">
        <v>156.5</v>
      </c>
      <c r="F556" s="50" t="n">
        <v>-0.824</v>
      </c>
      <c r="G556" s="50" t="n"/>
      <c r="H556" s="50" t="n">
        <v>160.3</v>
      </c>
      <c r="I556" s="50" t="n">
        <v>2.954</v>
      </c>
      <c r="J556" s="50" t="n"/>
      <c r="K556" s="50" t="n">
        <v>160.5</v>
      </c>
      <c r="L556" s="50" t="n">
        <v>3.083</v>
      </c>
      <c r="M556" s="50" t="n"/>
      <c r="N556" s="50" t="n">
        <v>247.7</v>
      </c>
      <c r="O556" s="50" t="n">
        <v>4.076</v>
      </c>
      <c r="P556" s="50" t="n"/>
      <c r="Q556" s="50" t="n">
        <v>249.4</v>
      </c>
      <c r="R556" s="50" t="n">
        <v>4.047</v>
      </c>
      <c r="S556" s="50" t="n"/>
    </row>
    <row r="557">
      <c r="A557" s="50" t="inlineStr">
        <is>
          <t>1996-12</t>
        </is>
      </c>
      <c r="B557" s="50" t="n">
        <v>154.9</v>
      </c>
      <c r="C557" s="50" t="n">
        <v>-2.086</v>
      </c>
      <c r="D557" s="50" t="n"/>
      <c r="E557" s="50" t="n">
        <v>155.6</v>
      </c>
      <c r="F557" s="50" t="n">
        <v>-1.643</v>
      </c>
      <c r="G557" s="50" t="n"/>
      <c r="H557" s="50" t="n">
        <v>160.6</v>
      </c>
      <c r="I557" s="50" t="n">
        <v>3.147</v>
      </c>
      <c r="J557" s="50" t="n"/>
      <c r="K557" s="50" t="n">
        <v>160.6</v>
      </c>
      <c r="L557" s="50" t="n">
        <v>3.147</v>
      </c>
      <c r="M557" s="50" t="n"/>
      <c r="N557" s="50" t="n">
        <v>247.9</v>
      </c>
      <c r="O557" s="50" t="n">
        <v>3.854</v>
      </c>
      <c r="P557" s="50" t="n"/>
      <c r="Q557" s="50" t="n">
        <v>249.3</v>
      </c>
      <c r="R557" s="50" t="n">
        <v>3.789</v>
      </c>
      <c r="S557" s="50" t="n"/>
    </row>
    <row r="558">
      <c r="A558" s="50" t="inlineStr">
        <is>
          <t>1997-01</t>
        </is>
      </c>
      <c r="B558" s="50" t="n">
        <v>154.8</v>
      </c>
      <c r="C558" s="50" t="n">
        <v>-2.087</v>
      </c>
      <c r="D558" s="50" t="n"/>
      <c r="E558" s="50" t="n">
        <v>154.7</v>
      </c>
      <c r="F558" s="50" t="n">
        <v>-2.027</v>
      </c>
      <c r="G558" s="50" t="n"/>
      <c r="H558" s="50" t="n">
        <v>161.1</v>
      </c>
      <c r="I558" s="50" t="n">
        <v>3.137</v>
      </c>
      <c r="J558" s="50" t="n"/>
      <c r="K558" s="50" t="n">
        <v>161.1</v>
      </c>
      <c r="L558" s="50" t="n">
        <v>3.137</v>
      </c>
      <c r="M558" s="50" t="n"/>
      <c r="N558" s="50" t="n">
        <v>248.4</v>
      </c>
      <c r="O558" s="50" t="n">
        <v>3.63</v>
      </c>
      <c r="P558" s="50" t="n"/>
      <c r="Q558" s="50" t="n">
        <v>249.5</v>
      </c>
      <c r="R558" s="50" t="n">
        <v>3.527</v>
      </c>
      <c r="S558" s="50" t="n"/>
    </row>
    <row r="559">
      <c r="A559" s="50" t="inlineStr">
        <is>
          <t>1997-02</t>
        </is>
      </c>
      <c r="B559" s="50" t="n">
        <v>154.7</v>
      </c>
      <c r="C559" s="50" t="n">
        <v>-2.336</v>
      </c>
      <c r="D559" s="50" t="n"/>
      <c r="E559" s="50" t="n">
        <v>154.4</v>
      </c>
      <c r="F559" s="50" t="n">
        <v>-1.968</v>
      </c>
      <c r="G559" s="50" t="n"/>
      <c r="H559" s="50" t="n">
        <v>161.1</v>
      </c>
      <c r="I559" s="50" t="n">
        <v>2.939</v>
      </c>
      <c r="J559" s="50" t="n"/>
      <c r="K559" s="50" t="n">
        <v>161.2</v>
      </c>
      <c r="L559" s="50" t="n">
        <v>2.937</v>
      </c>
      <c r="M559" s="50" t="n"/>
      <c r="N559" s="50" t="n">
        <v>249.2</v>
      </c>
      <c r="O559" s="50" t="n">
        <v>3.747</v>
      </c>
      <c r="P559" s="50" t="n"/>
      <c r="Q559" s="50" t="n">
        <v>249.9</v>
      </c>
      <c r="R559" s="50" t="n">
        <v>3.736</v>
      </c>
      <c r="S559" s="50" t="n"/>
    </row>
    <row r="560">
      <c r="A560" s="50" t="inlineStr">
        <is>
          <t>1997-03</t>
        </is>
      </c>
      <c r="B560" s="50" t="n">
        <v>155</v>
      </c>
      <c r="C560" s="50" t="n">
        <v>-2.577</v>
      </c>
      <c r="D560" s="50" t="n"/>
      <c r="E560" s="50" t="n">
        <v>154.4</v>
      </c>
      <c r="F560" s="50" t="n">
        <v>-1.844</v>
      </c>
      <c r="G560" s="50" t="n"/>
      <c r="H560" s="50" t="n">
        <v>161.5</v>
      </c>
      <c r="I560" s="50" t="n">
        <v>2.932</v>
      </c>
      <c r="J560" s="50" t="n"/>
      <c r="K560" s="50" t="n">
        <v>161.5</v>
      </c>
      <c r="L560" s="50" t="n">
        <v>2.932</v>
      </c>
      <c r="M560" s="50" t="n"/>
      <c r="N560" s="50" t="n">
        <v>250</v>
      </c>
      <c r="O560" s="50" t="n">
        <v>3.95</v>
      </c>
      <c r="P560" s="50" t="n"/>
      <c r="Q560" s="50" t="n">
        <v>250.2</v>
      </c>
      <c r="R560" s="50" t="n">
        <v>3.947</v>
      </c>
      <c r="S560" s="50" t="n"/>
    </row>
    <row r="561">
      <c r="A561" s="50" t="inlineStr">
        <is>
          <t>1997-04</t>
        </is>
      </c>
      <c r="B561" s="50" t="n">
        <v>154.3</v>
      </c>
      <c r="C561" s="50" t="n">
        <v>-2.404</v>
      </c>
      <c r="D561" s="50" t="n"/>
      <c r="E561" s="50" t="n">
        <v>154.3</v>
      </c>
      <c r="F561" s="50" t="n">
        <v>-1.97</v>
      </c>
      <c r="G561" s="50" t="n"/>
      <c r="H561" s="50" t="n">
        <v>162</v>
      </c>
      <c r="I561" s="50" t="n">
        <v>3.053</v>
      </c>
      <c r="J561" s="50" t="n"/>
      <c r="K561" s="50" t="n">
        <v>161.9</v>
      </c>
      <c r="L561" s="50" t="n">
        <v>2.99</v>
      </c>
      <c r="M561" s="50" t="n"/>
      <c r="N561" s="50" t="n">
        <v>250.5</v>
      </c>
      <c r="O561" s="50" t="n">
        <v>3.684</v>
      </c>
      <c r="P561" s="50" t="n"/>
      <c r="Q561" s="50" t="n">
        <v>250.4</v>
      </c>
      <c r="R561" s="50" t="n">
        <v>3.685</v>
      </c>
      <c r="S561" s="50" t="n"/>
    </row>
    <row r="562">
      <c r="A562" s="50" t="inlineStr">
        <is>
          <t>1997-05</t>
        </is>
      </c>
      <c r="B562" s="50" t="n">
        <v>153.5</v>
      </c>
      <c r="C562" s="50" t="n">
        <v>-2.478</v>
      </c>
      <c r="D562" s="50" t="n"/>
      <c r="E562" s="50" t="n">
        <v>153.9</v>
      </c>
      <c r="F562" s="50" t="n">
        <v>-2.348</v>
      </c>
      <c r="G562" s="50" t="n"/>
      <c r="H562" s="50" t="n">
        <v>162.4</v>
      </c>
      <c r="I562" s="50" t="n">
        <v>3.046</v>
      </c>
      <c r="J562" s="50" t="n"/>
      <c r="K562" s="50" t="n">
        <v>162.2</v>
      </c>
      <c r="L562" s="50" t="n">
        <v>2.984</v>
      </c>
      <c r="M562" s="50" t="n"/>
      <c r="N562" s="50" t="n">
        <v>251</v>
      </c>
      <c r="O562" s="50" t="n">
        <v>3.42</v>
      </c>
      <c r="P562" s="50" t="n"/>
      <c r="Q562" s="50" t="n">
        <v>251</v>
      </c>
      <c r="R562" s="50" t="n">
        <v>3.505</v>
      </c>
      <c r="S562" s="50" t="n"/>
    </row>
    <row r="563">
      <c r="A563" s="50" t="inlineStr">
        <is>
          <t>1997-06</t>
        </is>
      </c>
      <c r="B563" s="50" t="n">
        <v>151.6</v>
      </c>
      <c r="C563" s="50" t="n">
        <v>-3.255</v>
      </c>
      <c r="D563" s="50" t="n"/>
      <c r="E563" s="50" t="n">
        <v>151.8</v>
      </c>
      <c r="F563" s="50" t="n">
        <v>-3.435</v>
      </c>
      <c r="G563" s="50" t="n"/>
      <c r="H563" s="50" t="n">
        <v>162.8</v>
      </c>
      <c r="I563" s="50" t="n">
        <v>3.103</v>
      </c>
      <c r="J563" s="50" t="n"/>
      <c r="K563" s="50" t="n">
        <v>162.6</v>
      </c>
      <c r="L563" s="50" t="n">
        <v>3.107</v>
      </c>
      <c r="M563" s="50" t="n"/>
      <c r="N563" s="50" t="n">
        <v>251.3</v>
      </c>
      <c r="O563" s="50" t="n">
        <v>3.246</v>
      </c>
      <c r="P563" s="50" t="n"/>
      <c r="Q563" s="50" t="n">
        <v>250.6</v>
      </c>
      <c r="R563" s="50" t="n">
        <v>3.34</v>
      </c>
      <c r="S563" s="50" t="n"/>
    </row>
    <row r="564">
      <c r="A564" s="50" t="inlineStr">
        <is>
          <t>1997-07</t>
        </is>
      </c>
      <c r="B564" s="50" t="n">
        <v>150.1</v>
      </c>
      <c r="C564" s="50" t="n">
        <v>-4.212</v>
      </c>
      <c r="D564" s="50" t="n"/>
      <c r="E564" s="50" t="n">
        <v>149.9</v>
      </c>
      <c r="F564" s="50" t="n">
        <v>-4.461</v>
      </c>
      <c r="G564" s="50" t="n"/>
      <c r="H564" s="50" t="n">
        <v>163.1</v>
      </c>
      <c r="I564" s="50" t="n">
        <v>3.032</v>
      </c>
      <c r="J564" s="50" t="n"/>
      <c r="K564" s="50" t="n">
        <v>162.9</v>
      </c>
      <c r="L564" s="50" t="n">
        <v>3.036</v>
      </c>
      <c r="M564" s="50" t="n"/>
      <c r="N564" s="50" t="n">
        <v>251.8</v>
      </c>
      <c r="O564" s="50" t="n">
        <v>3.028</v>
      </c>
      <c r="P564" s="50" t="n"/>
      <c r="Q564" s="50" t="n">
        <v>250.6</v>
      </c>
      <c r="R564" s="50" t="n">
        <v>3.085</v>
      </c>
      <c r="S564" s="50" t="n"/>
    </row>
    <row r="565">
      <c r="A565" s="50" t="inlineStr">
        <is>
          <t>1997-08</t>
        </is>
      </c>
      <c r="B565" s="50" t="n">
        <v>149</v>
      </c>
      <c r="C565" s="50" t="n">
        <v>-4.853</v>
      </c>
      <c r="D565" s="50" t="n"/>
      <c r="E565" s="50" t="n">
        <v>148.5</v>
      </c>
      <c r="F565" s="50" t="n">
        <v>-5.172</v>
      </c>
      <c r="G565" s="50" t="n"/>
      <c r="H565" s="50" t="n">
        <v>163.4</v>
      </c>
      <c r="I565" s="50" t="n">
        <v>2.962</v>
      </c>
      <c r="J565" s="50" t="n"/>
      <c r="K565" s="50" t="n">
        <v>163.3</v>
      </c>
      <c r="L565" s="50" t="n">
        <v>2.963</v>
      </c>
      <c r="M565" s="50" t="n"/>
      <c r="N565" s="50" t="n">
        <v>252.6</v>
      </c>
      <c r="O565" s="50" t="n">
        <v>2.976</v>
      </c>
      <c r="P565" s="50" t="n"/>
      <c r="Q565" s="50" t="n">
        <v>251</v>
      </c>
      <c r="R565" s="50" t="n">
        <v>2.995</v>
      </c>
      <c r="S565" s="50" t="n"/>
    </row>
    <row r="566">
      <c r="A566" s="50" t="inlineStr">
        <is>
          <t>1997-09</t>
        </is>
      </c>
      <c r="B566" s="50" t="n">
        <v>148.2</v>
      </c>
      <c r="C566" s="50" t="n">
        <v>-5.485</v>
      </c>
      <c r="D566" s="50" t="n"/>
      <c r="E566" s="50" t="n">
        <v>148.2</v>
      </c>
      <c r="F566" s="50" t="n">
        <v>-5.605</v>
      </c>
      <c r="G566" s="50" t="n"/>
      <c r="H566" s="50" t="n">
        <v>163.3</v>
      </c>
      <c r="I566" s="50" t="n">
        <v>2.19</v>
      </c>
      <c r="J566" s="50" t="n"/>
      <c r="K566" s="50" t="n">
        <v>163.5</v>
      </c>
      <c r="L566" s="50" t="n">
        <v>2.188</v>
      </c>
      <c r="M566" s="50" t="n"/>
      <c r="N566" s="50" t="n">
        <v>253.6</v>
      </c>
      <c r="O566" s="50" t="n">
        <v>3.089</v>
      </c>
      <c r="P566" s="50" t="n"/>
      <c r="Q566" s="50" t="n">
        <v>251.6</v>
      </c>
      <c r="R566" s="50" t="n">
        <v>3.115</v>
      </c>
      <c r="S566" s="50" t="n"/>
    </row>
    <row r="567">
      <c r="A567" s="50" t="inlineStr">
        <is>
          <t>1997-10</t>
        </is>
      </c>
      <c r="B567" s="50" t="n">
        <v>147.3</v>
      </c>
      <c r="C567" s="50" t="n">
        <v>-5.698</v>
      </c>
      <c r="D567" s="50" t="n"/>
      <c r="E567" s="50" t="n">
        <v>147.9</v>
      </c>
      <c r="F567" s="50" t="n">
        <v>-5.796</v>
      </c>
      <c r="G567" s="50" t="n"/>
      <c r="H567" s="50" t="n">
        <v>163.6</v>
      </c>
      <c r="I567" s="50" t="n">
        <v>2.122</v>
      </c>
      <c r="J567" s="50" t="n"/>
      <c r="K567" s="50" t="n">
        <v>163.9</v>
      </c>
      <c r="L567" s="50" t="n">
        <v>2.118</v>
      </c>
      <c r="M567" s="50" t="n"/>
      <c r="N567" s="50" t="n">
        <v>253.4</v>
      </c>
      <c r="O567" s="50" t="n">
        <v>2.591</v>
      </c>
      <c r="P567" s="50" t="n"/>
      <c r="Q567" s="50" t="n">
        <v>253.9</v>
      </c>
      <c r="R567" s="50" t="n">
        <v>2.544</v>
      </c>
      <c r="S567" s="50" t="n"/>
    </row>
    <row r="568">
      <c r="A568" s="50" t="inlineStr">
        <is>
          <t>1997-11</t>
        </is>
      </c>
      <c r="B568" s="50" t="n">
        <v>147</v>
      </c>
      <c r="C568" s="50" t="n">
        <v>-5.588</v>
      </c>
      <c r="D568" s="50" t="n"/>
      <c r="E568" s="50" t="n">
        <v>147.6</v>
      </c>
      <c r="F568" s="50" t="n">
        <v>-5.687</v>
      </c>
      <c r="G568" s="50" t="n"/>
      <c r="H568" s="50" t="n">
        <v>163.8</v>
      </c>
      <c r="I568" s="50" t="n">
        <v>2.183</v>
      </c>
      <c r="J568" s="50" t="n"/>
      <c r="K568" s="50" t="n">
        <v>164</v>
      </c>
      <c r="L568" s="50" t="n">
        <v>2.181</v>
      </c>
      <c r="M568" s="50" t="n"/>
      <c r="N568" s="50" t="n">
        <v>253.6</v>
      </c>
      <c r="O568" s="50" t="n">
        <v>2.382</v>
      </c>
      <c r="P568" s="50" t="n"/>
      <c r="Q568" s="50" t="n">
        <v>255.2</v>
      </c>
      <c r="R568" s="50" t="n">
        <v>2.326</v>
      </c>
      <c r="S568" s="50" t="n"/>
    </row>
    <row r="569">
      <c r="A569" s="50" t="inlineStr">
        <is>
          <t>1997-12</t>
        </is>
      </c>
      <c r="B569" s="50" t="n">
        <v>147.4</v>
      </c>
      <c r="C569" s="50" t="n">
        <v>-4.842</v>
      </c>
      <c r="D569" s="50" t="n"/>
      <c r="E569" s="50" t="n">
        <v>147.9</v>
      </c>
      <c r="F569" s="50" t="n">
        <v>-4.949</v>
      </c>
      <c r="G569" s="50" t="n"/>
      <c r="H569" s="50" t="n">
        <v>164.7</v>
      </c>
      <c r="I569" s="50" t="n">
        <v>2.553</v>
      </c>
      <c r="J569" s="50" t="n"/>
      <c r="K569" s="50" t="n">
        <v>164.7</v>
      </c>
      <c r="L569" s="50" t="n">
        <v>2.553</v>
      </c>
      <c r="M569" s="50" t="n"/>
      <c r="N569" s="50" t="n">
        <v>254.1</v>
      </c>
      <c r="O569" s="50" t="n">
        <v>2.501</v>
      </c>
      <c r="P569" s="50" t="n"/>
      <c r="Q569" s="50" t="n">
        <v>255.3</v>
      </c>
      <c r="R569" s="50" t="n">
        <v>2.407</v>
      </c>
      <c r="S569" s="50" t="n"/>
    </row>
    <row r="570">
      <c r="A570" s="50" t="inlineStr">
        <is>
          <t>1998-01</t>
        </is>
      </c>
      <c r="B570" s="50" t="n">
        <v>148.1</v>
      </c>
      <c r="C570" s="50" t="n">
        <v>-4.328</v>
      </c>
      <c r="D570" s="50" t="n"/>
      <c r="E570" s="50" t="n">
        <v>148.1</v>
      </c>
      <c r="F570" s="50" t="n">
        <v>-4.266</v>
      </c>
      <c r="G570" s="50" t="n"/>
      <c r="H570" s="50" t="n">
        <v>164.9</v>
      </c>
      <c r="I570" s="50" t="n">
        <v>2.359</v>
      </c>
      <c r="J570" s="50" t="n"/>
      <c r="K570" s="50" t="n">
        <v>165</v>
      </c>
      <c r="L570" s="50" t="n">
        <v>2.421</v>
      </c>
      <c r="M570" s="50" t="n"/>
      <c r="N570" s="50" t="n">
        <v>255.1</v>
      </c>
      <c r="O570" s="50" t="n">
        <v>2.697</v>
      </c>
      <c r="P570" s="50" t="n"/>
      <c r="Q570" s="50" t="n">
        <v>256.1</v>
      </c>
      <c r="R570" s="50" t="n">
        <v>2.645</v>
      </c>
      <c r="S570" s="50" t="n"/>
    </row>
    <row r="571">
      <c r="A571" s="50" t="inlineStr">
        <is>
          <t>1998-02</t>
        </is>
      </c>
      <c r="B571" s="50" t="n">
        <v>148.7</v>
      </c>
      <c r="C571" s="50" t="n">
        <v>-3.878</v>
      </c>
      <c r="D571" s="50" t="n"/>
      <c r="E571" s="50" t="n">
        <v>148.4</v>
      </c>
      <c r="F571" s="50" t="n">
        <v>-3.886</v>
      </c>
      <c r="G571" s="50" t="n"/>
      <c r="H571" s="50" t="n">
        <v>165.3</v>
      </c>
      <c r="I571" s="50" t="n">
        <v>2.607</v>
      </c>
      <c r="J571" s="50" t="n"/>
      <c r="K571" s="50" t="n">
        <v>165.5</v>
      </c>
      <c r="L571" s="50" t="n">
        <v>2.667</v>
      </c>
      <c r="M571" s="50" t="n"/>
      <c r="N571" s="50" t="n">
        <v>254.5</v>
      </c>
      <c r="O571" s="50" t="n">
        <v>2.127</v>
      </c>
      <c r="P571" s="50" t="n"/>
      <c r="Q571" s="50" t="n">
        <v>255.3</v>
      </c>
      <c r="R571" s="50" t="n">
        <v>2.161</v>
      </c>
      <c r="S571" s="50" t="n"/>
    </row>
    <row r="572">
      <c r="A572" s="50" t="inlineStr">
        <is>
          <t>1998-03</t>
        </is>
      </c>
      <c r="B572" s="50" t="n">
        <v>148.4</v>
      </c>
      <c r="C572" s="50" t="n">
        <v>-4.258</v>
      </c>
      <c r="D572" s="50" t="n"/>
      <c r="E572" s="50" t="n">
        <v>147.3</v>
      </c>
      <c r="F572" s="50" t="n">
        <v>-4.598</v>
      </c>
      <c r="G572" s="50" t="n"/>
      <c r="H572" s="50" t="n">
        <v>165.7</v>
      </c>
      <c r="I572" s="50" t="n">
        <v>2.601</v>
      </c>
      <c r="J572" s="50" t="n"/>
      <c r="K572" s="50" t="n">
        <v>165.7</v>
      </c>
      <c r="L572" s="50" t="n">
        <v>2.601</v>
      </c>
      <c r="M572" s="50" t="n"/>
      <c r="N572" s="50" t="n">
        <v>254.7</v>
      </c>
      <c r="O572" s="50" t="n">
        <v>1.88</v>
      </c>
      <c r="P572" s="50" t="n"/>
      <c r="Q572" s="50" t="n">
        <v>255.2</v>
      </c>
      <c r="R572" s="50" t="n">
        <v>1.998</v>
      </c>
      <c r="S572" s="50" t="n"/>
    </row>
    <row r="573">
      <c r="A573" s="50" t="inlineStr">
        <is>
          <t>1998-04</t>
        </is>
      </c>
      <c r="B573" s="50" t="n">
        <v>148.9</v>
      </c>
      <c r="C573" s="50" t="n">
        <v>-3.5</v>
      </c>
      <c r="D573" s="50" t="n"/>
      <c r="E573" s="50" t="n">
        <v>148.2</v>
      </c>
      <c r="F573" s="50" t="n">
        <v>-3.953</v>
      </c>
      <c r="G573" s="50" t="n"/>
      <c r="H573" s="50" t="n">
        <v>165.8</v>
      </c>
      <c r="I573" s="50" t="n">
        <v>2.346</v>
      </c>
      <c r="J573" s="50" t="n"/>
      <c r="K573" s="50" t="n">
        <v>165.7</v>
      </c>
      <c r="L573" s="50" t="n">
        <v>2.347</v>
      </c>
      <c r="M573" s="50" t="n"/>
      <c r="N573" s="50" t="n">
        <v>254.9</v>
      </c>
      <c r="O573" s="50" t="n">
        <v>1.756</v>
      </c>
      <c r="P573" s="50" t="n"/>
      <c r="Q573" s="50" t="n">
        <v>255</v>
      </c>
      <c r="R573" s="50" t="n">
        <v>1.837</v>
      </c>
      <c r="S573" s="50" t="n"/>
    </row>
    <row r="574">
      <c r="A574" s="50" t="inlineStr">
        <is>
          <t>1998-05</t>
        </is>
      </c>
      <c r="B574" s="50" t="n">
        <v>149.9</v>
      </c>
      <c r="C574" s="50" t="n">
        <v>-2.345</v>
      </c>
      <c r="D574" s="50" t="n"/>
      <c r="E574" s="50" t="n">
        <v>150</v>
      </c>
      <c r="F574" s="50" t="n">
        <v>-2.534</v>
      </c>
      <c r="G574" s="50" t="n"/>
      <c r="H574" s="50" t="n">
        <v>166.1</v>
      </c>
      <c r="I574" s="50" t="n">
        <v>2.278</v>
      </c>
      <c r="J574" s="50" t="n"/>
      <c r="K574" s="50" t="n">
        <v>165.9</v>
      </c>
      <c r="L574" s="50" t="n">
        <v>2.281</v>
      </c>
      <c r="M574" s="50" t="n"/>
      <c r="N574" s="50" t="n">
        <v>255</v>
      </c>
      <c r="O574" s="50" t="n">
        <v>1.594</v>
      </c>
      <c r="P574" s="50" t="n"/>
      <c r="Q574" s="50" t="n">
        <v>255.1</v>
      </c>
      <c r="R574" s="50" t="n">
        <v>1.633</v>
      </c>
      <c r="S574" s="50" t="n"/>
    </row>
    <row r="575">
      <c r="A575" s="50" t="inlineStr">
        <is>
          <t>1998-06</t>
        </is>
      </c>
      <c r="B575" s="50" t="n">
        <v>150.8</v>
      </c>
      <c r="C575" s="50" t="n">
        <v>-0.528</v>
      </c>
      <c r="D575" s="50" t="n"/>
      <c r="E575" s="50" t="n">
        <v>150.9</v>
      </c>
      <c r="F575" s="50" t="n">
        <v>-0.593</v>
      </c>
      <c r="G575" s="50" t="n"/>
      <c r="H575" s="50" t="n">
        <v>166.7</v>
      </c>
      <c r="I575" s="50" t="n">
        <v>2.396</v>
      </c>
      <c r="J575" s="50" t="n"/>
      <c r="K575" s="50" t="n">
        <v>166.5</v>
      </c>
      <c r="L575" s="50" t="n">
        <v>2.399</v>
      </c>
      <c r="M575" s="50" t="n"/>
      <c r="N575" s="50" t="n">
        <v>255.1</v>
      </c>
      <c r="O575" s="50" t="n">
        <v>1.512</v>
      </c>
      <c r="P575" s="50" t="n"/>
      <c r="Q575" s="50" t="n">
        <v>254.5</v>
      </c>
      <c r="R575" s="50" t="n">
        <v>1.556</v>
      </c>
      <c r="S575" s="50" t="n"/>
    </row>
    <row r="576">
      <c r="A576" s="50" t="inlineStr">
        <is>
          <t>1998-07</t>
        </is>
      </c>
      <c r="B576" s="50" t="n">
        <v>151.4</v>
      </c>
      <c r="C576" s="50" t="n">
        <v>0.866</v>
      </c>
      <c r="D576" s="50" t="n"/>
      <c r="E576" s="50" t="n">
        <v>151.3</v>
      </c>
      <c r="F576" s="50" t="n">
        <v>0.9340000000000001</v>
      </c>
      <c r="G576" s="50" t="n"/>
      <c r="H576" s="50" t="n">
        <v>167</v>
      </c>
      <c r="I576" s="50" t="n">
        <v>2.391</v>
      </c>
      <c r="J576" s="50" t="n"/>
      <c r="K576" s="50" t="n">
        <v>166.8</v>
      </c>
      <c r="L576" s="50" t="n">
        <v>2.394</v>
      </c>
      <c r="M576" s="50" t="n"/>
      <c r="N576" s="50" t="n">
        <v>254.4</v>
      </c>
      <c r="O576" s="50" t="n">
        <v>1.033</v>
      </c>
      <c r="P576" s="50" t="n"/>
      <c r="Q576" s="50" t="n">
        <v>253.3</v>
      </c>
      <c r="R576" s="50" t="n">
        <v>1.077</v>
      </c>
      <c r="S576" s="50" t="n"/>
    </row>
    <row r="577">
      <c r="A577" s="50" t="inlineStr">
        <is>
          <t>1998-08</t>
        </is>
      </c>
      <c r="B577" s="50" t="n">
        <v>151.4</v>
      </c>
      <c r="C577" s="50" t="n">
        <v>1.611</v>
      </c>
      <c r="D577" s="50" t="n"/>
      <c r="E577" s="50" t="n">
        <v>151.1</v>
      </c>
      <c r="F577" s="50" t="n">
        <v>1.751</v>
      </c>
      <c r="G577" s="50" t="n"/>
      <c r="H577" s="50" t="n">
        <v>167.5</v>
      </c>
      <c r="I577" s="50" t="n">
        <v>2.509</v>
      </c>
      <c r="J577" s="50" t="n"/>
      <c r="K577" s="50" t="n">
        <v>167.3</v>
      </c>
      <c r="L577" s="50" t="n">
        <v>2.449</v>
      </c>
      <c r="M577" s="50" t="n"/>
      <c r="N577" s="50" t="n">
        <v>253.8</v>
      </c>
      <c r="O577" s="50" t="n">
        <v>0.475</v>
      </c>
      <c r="P577" s="50" t="n"/>
      <c r="Q577" s="50" t="n">
        <v>252.3</v>
      </c>
      <c r="R577" s="50" t="n">
        <v>0.518</v>
      </c>
      <c r="S577" s="50" t="n"/>
    </row>
    <row r="578">
      <c r="A578" s="50" t="inlineStr">
        <is>
          <t>1998-09</t>
        </is>
      </c>
      <c r="B578" s="50" t="n">
        <v>151.6</v>
      </c>
      <c r="C578" s="50" t="n">
        <v>2.294</v>
      </c>
      <c r="D578" s="50" t="n"/>
      <c r="E578" s="50" t="n">
        <v>151.9</v>
      </c>
      <c r="F578" s="50" t="n">
        <v>2.497</v>
      </c>
      <c r="G578" s="50" t="n"/>
      <c r="H578" s="50" t="n">
        <v>168.2</v>
      </c>
      <c r="I578" s="50" t="n">
        <v>3.001</v>
      </c>
      <c r="J578" s="50" t="n"/>
      <c r="K578" s="50" t="n">
        <v>168.3</v>
      </c>
      <c r="L578" s="50" t="n">
        <v>2.936</v>
      </c>
      <c r="M578" s="50" t="n"/>
      <c r="N578" s="50" t="n">
        <v>253</v>
      </c>
      <c r="O578" s="50" t="n">
        <v>-0.237</v>
      </c>
      <c r="P578" s="50" t="n"/>
      <c r="Q578" s="50" t="n">
        <v>251</v>
      </c>
      <c r="R578" s="50" t="n">
        <v>-0.238</v>
      </c>
      <c r="S578" s="50" t="n"/>
    </row>
    <row r="579">
      <c r="A579" s="50" t="inlineStr">
        <is>
          <t>1998-10</t>
        </is>
      </c>
      <c r="B579" s="50" t="n">
        <v>152</v>
      </c>
      <c r="C579" s="50" t="n">
        <v>3.191</v>
      </c>
      <c r="D579" s="50" t="n"/>
      <c r="E579" s="50" t="n">
        <v>153</v>
      </c>
      <c r="F579" s="50" t="n">
        <v>3.448</v>
      </c>
      <c r="G579" s="50" t="n"/>
      <c r="H579" s="50" t="n">
        <v>168.7</v>
      </c>
      <c r="I579" s="50" t="n">
        <v>3.117</v>
      </c>
      <c r="J579" s="50" t="n"/>
      <c r="K579" s="50" t="n">
        <v>169</v>
      </c>
      <c r="L579" s="50" t="n">
        <v>3.112</v>
      </c>
      <c r="M579" s="50" t="n"/>
      <c r="N579" s="50" t="n">
        <v>253.9</v>
      </c>
      <c r="O579" s="50" t="n">
        <v>0.197</v>
      </c>
      <c r="P579" s="50" t="n"/>
      <c r="Q579" s="50" t="n">
        <v>254</v>
      </c>
      <c r="R579" s="50" t="n">
        <v>0.039</v>
      </c>
      <c r="S579" s="50" t="n"/>
    </row>
    <row r="580">
      <c r="A580" s="50" t="inlineStr">
        <is>
          <t>1998-11</t>
        </is>
      </c>
      <c r="B580" s="50" t="n">
        <v>153</v>
      </c>
      <c r="C580" s="50" t="n">
        <v>4.082</v>
      </c>
      <c r="D580" s="50" t="n"/>
      <c r="E580" s="50" t="n">
        <v>154</v>
      </c>
      <c r="F580" s="50" t="n">
        <v>4.336</v>
      </c>
      <c r="G580" s="50" t="n"/>
      <c r="H580" s="50" t="n">
        <v>169.3</v>
      </c>
      <c r="I580" s="50" t="n">
        <v>3.358</v>
      </c>
      <c r="J580" s="50" t="n"/>
      <c r="K580" s="50" t="n">
        <v>169.5</v>
      </c>
      <c r="L580" s="50" t="n">
        <v>3.354</v>
      </c>
      <c r="M580" s="50" t="n"/>
      <c r="N580" s="50" t="n">
        <v>253.7</v>
      </c>
      <c r="O580" s="50" t="n">
        <v>0.039</v>
      </c>
      <c r="P580" s="50" t="n"/>
      <c r="Q580" s="50" t="n">
        <v>255.1</v>
      </c>
      <c r="R580" s="50" t="n">
        <v>-0.039</v>
      </c>
      <c r="S580" s="50" t="n"/>
    </row>
    <row r="581">
      <c r="A581" s="50" t="inlineStr">
        <is>
          <t>1998-12</t>
        </is>
      </c>
      <c r="B581" s="50" t="n">
        <v>152.4</v>
      </c>
      <c r="C581" s="50" t="n">
        <v>3.392</v>
      </c>
      <c r="D581" s="50" t="n"/>
      <c r="E581" s="50" t="n">
        <v>153.1</v>
      </c>
      <c r="F581" s="50" t="n">
        <v>3.516</v>
      </c>
      <c r="G581" s="50" t="n"/>
      <c r="H581" s="50" t="n">
        <v>169.7</v>
      </c>
      <c r="I581" s="50" t="n">
        <v>3.036</v>
      </c>
      <c r="J581" s="50" t="n"/>
      <c r="K581" s="50" t="n">
        <v>169.6</v>
      </c>
      <c r="L581" s="50" t="n">
        <v>2.975</v>
      </c>
      <c r="M581" s="50" t="n"/>
      <c r="N581" s="50" t="n">
        <v>253.4</v>
      </c>
      <c r="O581" s="50" t="n">
        <v>-0.275</v>
      </c>
      <c r="P581" s="50" t="n"/>
      <c r="Q581" s="50" t="n">
        <v>254.5</v>
      </c>
      <c r="R581" s="50" t="n">
        <v>-0.313</v>
      </c>
      <c r="S581" s="50" t="n"/>
    </row>
    <row r="582">
      <c r="A582" s="50" t="inlineStr">
        <is>
          <t>1999-01</t>
        </is>
      </c>
      <c r="B582" s="50" t="n">
        <v>150.6</v>
      </c>
      <c r="C582" s="50" t="n">
        <v>1.688</v>
      </c>
      <c r="D582" s="50" t="n"/>
      <c r="E582" s="50" t="n">
        <v>150.6</v>
      </c>
      <c r="F582" s="50" t="n">
        <v>1.688</v>
      </c>
      <c r="G582" s="50" t="n"/>
      <c r="H582" s="50" t="n">
        <v>169.7</v>
      </c>
      <c r="I582" s="50" t="n">
        <v>2.911</v>
      </c>
      <c r="J582" s="50" t="n"/>
      <c r="K582" s="50" t="n">
        <v>169.8</v>
      </c>
      <c r="L582" s="50" t="n">
        <v>2.909</v>
      </c>
      <c r="M582" s="50" t="n"/>
      <c r="N582" s="50" t="n">
        <v>253.7</v>
      </c>
      <c r="O582" s="50" t="n">
        <v>-0.549</v>
      </c>
      <c r="P582" s="50" t="n"/>
      <c r="Q582" s="50" t="n">
        <v>254.5</v>
      </c>
      <c r="R582" s="50" t="n">
        <v>-0.625</v>
      </c>
      <c r="S582" s="50" t="n"/>
    </row>
    <row r="583">
      <c r="A583" s="50" t="inlineStr">
        <is>
          <t>1999-02</t>
        </is>
      </c>
      <c r="B583" s="50" t="n">
        <v>148.3</v>
      </c>
      <c r="C583" s="50" t="n">
        <v>-0.269</v>
      </c>
      <c r="D583" s="50" t="n"/>
      <c r="E583" s="50" t="n">
        <v>148.3</v>
      </c>
      <c r="F583" s="50" t="n">
        <v>-0.067</v>
      </c>
      <c r="G583" s="50" t="n"/>
      <c r="H583" s="50" t="n">
        <v>170.2</v>
      </c>
      <c r="I583" s="50" t="n">
        <v>2.964</v>
      </c>
      <c r="J583" s="50" t="n"/>
      <c r="K583" s="50" t="n">
        <v>170.4</v>
      </c>
      <c r="L583" s="50" t="n">
        <v>2.961</v>
      </c>
      <c r="M583" s="50" t="n"/>
      <c r="N583" s="50" t="n">
        <v>253.5</v>
      </c>
      <c r="O583" s="50" t="n">
        <v>-0.393</v>
      </c>
      <c r="P583" s="50" t="n"/>
      <c r="Q583" s="50" t="n">
        <v>254.4</v>
      </c>
      <c r="R583" s="50" t="n">
        <v>-0.353</v>
      </c>
      <c r="S583" s="50" t="n"/>
    </row>
    <row r="584">
      <c r="A584" s="50" t="inlineStr">
        <is>
          <t>1999-03</t>
        </is>
      </c>
      <c r="B584" s="50" t="n">
        <v>147.4</v>
      </c>
      <c r="C584" s="50" t="n">
        <v>-0.674</v>
      </c>
      <c r="D584" s="50" t="n"/>
      <c r="E584" s="50" t="n">
        <v>147.4</v>
      </c>
      <c r="F584" s="50" t="n">
        <v>0.068</v>
      </c>
      <c r="G584" s="50" t="n"/>
      <c r="H584" s="50" t="n">
        <v>170.5</v>
      </c>
      <c r="I584" s="50" t="n">
        <v>2.897</v>
      </c>
      <c r="J584" s="50" t="n"/>
      <c r="K584" s="50" t="n">
        <v>170.6</v>
      </c>
      <c r="L584" s="50" t="n">
        <v>2.957</v>
      </c>
      <c r="M584" s="50" t="n"/>
      <c r="N584" s="50" t="n">
        <v>253.7</v>
      </c>
      <c r="O584" s="50" t="n">
        <v>-0.393</v>
      </c>
      <c r="P584" s="50" t="n"/>
      <c r="Q584" s="50" t="n">
        <v>254.5</v>
      </c>
      <c r="R584" s="50" t="n">
        <v>-0.274</v>
      </c>
      <c r="S584" s="50" t="n"/>
    </row>
    <row r="585">
      <c r="A585" s="50" t="inlineStr">
        <is>
          <t>1999-04</t>
        </is>
      </c>
      <c r="B585" s="50" t="n">
        <v>148.3</v>
      </c>
      <c r="C585" s="50" t="n">
        <v>-0.403</v>
      </c>
      <c r="D585" s="50" t="n"/>
      <c r="E585" s="50" t="n">
        <v>148.3</v>
      </c>
      <c r="F585" s="50" t="n">
        <v>0.067</v>
      </c>
      <c r="G585" s="50" t="n"/>
      <c r="H585" s="50" t="n">
        <v>171</v>
      </c>
      <c r="I585" s="50" t="n">
        <v>3.136</v>
      </c>
      <c r="J585" s="50" t="n"/>
      <c r="K585" s="50" t="n">
        <v>170.9</v>
      </c>
      <c r="L585" s="50" t="n">
        <v>3.138</v>
      </c>
      <c r="M585" s="50" t="n"/>
      <c r="N585" s="50" t="n">
        <v>253</v>
      </c>
      <c r="O585" s="50" t="n">
        <v>-0.745</v>
      </c>
      <c r="P585" s="50" t="n"/>
      <c r="Q585" s="50" t="n">
        <v>253.3</v>
      </c>
      <c r="R585" s="50" t="n">
        <v>-0.667</v>
      </c>
      <c r="S585" s="50" t="n"/>
    </row>
    <row r="586">
      <c r="A586" s="50" t="inlineStr">
        <is>
          <t>1999-05</t>
        </is>
      </c>
      <c r="B586" s="50" t="n">
        <v>149.6</v>
      </c>
      <c r="C586" s="50" t="n">
        <v>-0.2</v>
      </c>
      <c r="D586" s="50" t="n"/>
      <c r="E586" s="50" t="n">
        <v>149.6</v>
      </c>
      <c r="F586" s="50" t="n">
        <v>-0.267</v>
      </c>
      <c r="G586" s="50" t="n"/>
      <c r="H586" s="50" t="n">
        <v>171.5</v>
      </c>
      <c r="I586" s="50" t="n">
        <v>3.251</v>
      </c>
      <c r="J586" s="50" t="n"/>
      <c r="K586" s="50" t="n">
        <v>171.3</v>
      </c>
      <c r="L586" s="50" t="n">
        <v>3.255</v>
      </c>
      <c r="M586" s="50" t="n"/>
      <c r="N586" s="50" t="n">
        <v>252.9</v>
      </c>
      <c r="O586" s="50" t="n">
        <v>-0.824</v>
      </c>
      <c r="P586" s="50" t="n"/>
      <c r="Q586" s="50" t="n">
        <v>253.1</v>
      </c>
      <c r="R586" s="50" t="n">
        <v>-0.784</v>
      </c>
      <c r="S586" s="50" t="n"/>
    </row>
    <row r="587">
      <c r="A587" s="50" t="inlineStr">
        <is>
          <t>1999-06</t>
        </is>
      </c>
      <c r="B587" s="50" t="n">
        <v>150.9</v>
      </c>
      <c r="C587" s="50" t="n">
        <v>0.066</v>
      </c>
      <c r="D587" s="50" t="n"/>
      <c r="E587" s="50" t="n">
        <v>150.9</v>
      </c>
      <c r="F587" s="50" t="n">
        <v>0</v>
      </c>
      <c r="G587" s="50" t="n"/>
      <c r="H587" s="50" t="n">
        <v>171.9</v>
      </c>
      <c r="I587" s="50" t="n">
        <v>3.119</v>
      </c>
      <c r="J587" s="50" t="n"/>
      <c r="K587" s="50" t="n">
        <v>171.7</v>
      </c>
      <c r="L587" s="50" t="n">
        <v>3.123</v>
      </c>
      <c r="M587" s="50" t="n"/>
      <c r="N587" s="50" t="n">
        <v>253.4</v>
      </c>
      <c r="O587" s="50" t="n">
        <v>-0.666</v>
      </c>
      <c r="P587" s="50" t="n"/>
      <c r="Q587" s="50" t="n">
        <v>252.9</v>
      </c>
      <c r="R587" s="50" t="n">
        <v>-0.629</v>
      </c>
      <c r="S587" s="50" t="n"/>
    </row>
    <row r="588">
      <c r="A588" s="50" t="inlineStr">
        <is>
          <t>1999-07</t>
        </is>
      </c>
      <c r="B588" s="50" t="n">
        <v>152.3</v>
      </c>
      <c r="C588" s="50" t="n">
        <v>0.594</v>
      </c>
      <c r="D588" s="50" t="n"/>
      <c r="E588" s="50" t="n">
        <v>152.3</v>
      </c>
      <c r="F588" s="50" t="n">
        <v>0.661</v>
      </c>
      <c r="G588" s="50" t="n"/>
      <c r="H588" s="50" t="n">
        <v>172.3</v>
      </c>
      <c r="I588" s="50" t="n">
        <v>3.174</v>
      </c>
      <c r="J588" s="50" t="n"/>
      <c r="K588" s="50" t="n">
        <v>172.1</v>
      </c>
      <c r="L588" s="50" t="n">
        <v>3.177</v>
      </c>
      <c r="M588" s="50" t="n"/>
      <c r="N588" s="50" t="n">
        <v>253.9</v>
      </c>
      <c r="O588" s="50" t="n">
        <v>-0.197</v>
      </c>
      <c r="P588" s="50" t="n"/>
      <c r="Q588" s="50" t="n">
        <v>252.9</v>
      </c>
      <c r="R588" s="50" t="n">
        <v>-0.158</v>
      </c>
      <c r="S588" s="50" t="n"/>
    </row>
    <row r="589">
      <c r="A589" s="50" t="inlineStr">
        <is>
          <t>1999-08</t>
        </is>
      </c>
      <c r="B589" s="50" t="n">
        <v>153.8</v>
      </c>
      <c r="C589" s="50" t="n">
        <v>1.585</v>
      </c>
      <c r="D589" s="50" t="n"/>
      <c r="E589" s="50" t="n">
        <v>153.8</v>
      </c>
      <c r="F589" s="50" t="n">
        <v>1.787</v>
      </c>
      <c r="G589" s="50" t="n"/>
      <c r="H589" s="50" t="n">
        <v>172.4</v>
      </c>
      <c r="I589" s="50" t="n">
        <v>2.925</v>
      </c>
      <c r="J589" s="50" t="n"/>
      <c r="K589" s="50" t="n">
        <v>172.1</v>
      </c>
      <c r="L589" s="50" t="n">
        <v>2.869</v>
      </c>
      <c r="M589" s="50" t="n"/>
      <c r="N589" s="50" t="n">
        <v>254.3</v>
      </c>
      <c r="O589" s="50" t="n">
        <v>0.197</v>
      </c>
      <c r="P589" s="50" t="n"/>
      <c r="Q589" s="50" t="n">
        <v>252.7</v>
      </c>
      <c r="R589" s="50" t="n">
        <v>0.159</v>
      </c>
      <c r="S589" s="50" t="n"/>
    </row>
    <row r="590">
      <c r="A590" s="50" t="inlineStr">
        <is>
          <t>1999-09</t>
        </is>
      </c>
      <c r="B590" s="50" t="n">
        <v>155.7</v>
      </c>
      <c r="C590" s="50" t="n">
        <v>2.704</v>
      </c>
      <c r="D590" s="50" t="n"/>
      <c r="E590" s="50" t="n">
        <v>155.7</v>
      </c>
      <c r="F590" s="50" t="n">
        <v>2.502</v>
      </c>
      <c r="G590" s="50" t="n"/>
      <c r="H590" s="50" t="n">
        <v>172.7</v>
      </c>
      <c r="I590" s="50" t="n">
        <v>2.675</v>
      </c>
      <c r="J590" s="50" t="n"/>
      <c r="K590" s="50" t="n">
        <v>172.8</v>
      </c>
      <c r="L590" s="50" t="n">
        <v>2.674</v>
      </c>
      <c r="M590" s="50" t="n"/>
      <c r="N590" s="50" t="n">
        <v>254.6</v>
      </c>
      <c r="O590" s="50" t="n">
        <v>0.632</v>
      </c>
      <c r="P590" s="50" t="n"/>
      <c r="Q590" s="50" t="n">
        <v>252.3</v>
      </c>
      <c r="R590" s="50" t="n">
        <v>0.518</v>
      </c>
      <c r="S590" s="50" t="n"/>
    </row>
    <row r="591">
      <c r="A591" s="50" t="inlineStr">
        <is>
          <t>1999-10</t>
        </is>
      </c>
      <c r="B591" s="50" t="n">
        <v>156.4</v>
      </c>
      <c r="C591" s="50" t="n">
        <v>2.895</v>
      </c>
      <c r="D591" s="50" t="n"/>
      <c r="E591" s="50" t="n">
        <v>156.4</v>
      </c>
      <c r="F591" s="50" t="n">
        <v>2.222</v>
      </c>
      <c r="G591" s="50" t="n"/>
      <c r="H591" s="50" t="n">
        <v>172.9</v>
      </c>
      <c r="I591" s="50" t="n">
        <v>2.49</v>
      </c>
      <c r="J591" s="50" t="n"/>
      <c r="K591" s="50" t="n">
        <v>173.2</v>
      </c>
      <c r="L591" s="50" t="n">
        <v>2.485</v>
      </c>
      <c r="M591" s="50" t="n"/>
      <c r="N591" s="50" t="n">
        <v>254.1</v>
      </c>
      <c r="O591" s="50" t="n">
        <v>0.079</v>
      </c>
      <c r="P591" s="50" t="n"/>
      <c r="Q591" s="50" t="n">
        <v>254</v>
      </c>
      <c r="R591" s="50" t="n">
        <v>0</v>
      </c>
      <c r="S591" s="50" t="n"/>
    </row>
    <row r="592">
      <c r="A592" s="50" t="inlineStr">
        <is>
          <t>1999-11</t>
        </is>
      </c>
      <c r="B592" s="50" t="n">
        <v>156.1</v>
      </c>
      <c r="C592" s="50" t="n">
        <v>2.026</v>
      </c>
      <c r="D592" s="50" t="n"/>
      <c r="E592" s="50" t="n">
        <v>156.1</v>
      </c>
      <c r="F592" s="50" t="n">
        <v>1.364</v>
      </c>
      <c r="G592" s="50" t="n"/>
      <c r="H592" s="50" t="n">
        <v>173.4</v>
      </c>
      <c r="I592" s="50" t="n">
        <v>2.422</v>
      </c>
      <c r="J592" s="50" t="n"/>
      <c r="K592" s="50" t="n">
        <v>173.6</v>
      </c>
      <c r="L592" s="50" t="n">
        <v>2.419</v>
      </c>
      <c r="M592" s="50" t="n"/>
      <c r="N592" s="50" t="n">
        <v>254.3</v>
      </c>
      <c r="O592" s="50" t="n">
        <v>0.236</v>
      </c>
      <c r="P592" s="50" t="n"/>
      <c r="Q592" s="50" t="n">
        <v>255.6</v>
      </c>
      <c r="R592" s="50" t="n">
        <v>0.196</v>
      </c>
      <c r="S592" s="50" t="n"/>
    </row>
    <row r="593">
      <c r="A593" s="50" t="inlineStr">
        <is>
          <t>1999-12</t>
        </is>
      </c>
      <c r="B593" s="50" t="n">
        <v>155</v>
      </c>
      <c r="C593" s="50" t="n">
        <v>1.706</v>
      </c>
      <c r="D593" s="50" t="n"/>
      <c r="E593" s="50" t="n">
        <v>155</v>
      </c>
      <c r="F593" s="50" t="n">
        <v>1.241</v>
      </c>
      <c r="G593" s="50" t="n"/>
      <c r="H593" s="50" t="n">
        <v>173.9</v>
      </c>
      <c r="I593" s="50" t="n">
        <v>2.475</v>
      </c>
      <c r="J593" s="50" t="n"/>
      <c r="K593" s="50" t="n">
        <v>173.8</v>
      </c>
      <c r="L593" s="50" t="n">
        <v>2.476</v>
      </c>
      <c r="M593" s="50" t="n"/>
      <c r="N593" s="50" t="n">
        <v>254.8</v>
      </c>
      <c r="O593" s="50" t="n">
        <v>0.552</v>
      </c>
      <c r="P593" s="50" t="n"/>
      <c r="Q593" s="50" t="n">
        <v>255.8</v>
      </c>
      <c r="R593" s="50" t="n">
        <v>0.511</v>
      </c>
      <c r="S593" s="50" t="n"/>
    </row>
    <row r="594">
      <c r="A594" s="50" t="inlineStr">
        <is>
          <t>2000-01</t>
        </is>
      </c>
      <c r="B594" s="50" t="n">
        <v>153.9</v>
      </c>
      <c r="C594" s="50" t="n">
        <v>2.191</v>
      </c>
      <c r="D594" s="50" t="n"/>
      <c r="E594" s="50" t="n">
        <v>153.9</v>
      </c>
      <c r="F594" s="50" t="n">
        <v>2.191</v>
      </c>
      <c r="G594" s="50" t="n"/>
      <c r="H594" s="50" t="n">
        <v>174.5</v>
      </c>
      <c r="I594" s="50" t="n">
        <v>2.829</v>
      </c>
      <c r="J594" s="50" t="n"/>
      <c r="K594" s="50" t="n">
        <v>174.6</v>
      </c>
      <c r="L594" s="50" t="n">
        <v>2.827</v>
      </c>
      <c r="M594" s="50" t="n"/>
      <c r="N594" s="50" t="n">
        <v>254.9</v>
      </c>
      <c r="O594" s="50" t="n">
        <v>0.473</v>
      </c>
      <c r="P594" s="50" t="n"/>
      <c r="Q594" s="50" t="n">
        <v>255.6</v>
      </c>
      <c r="R594" s="50" t="n">
        <v>0.432</v>
      </c>
      <c r="S594" s="50" t="n"/>
    </row>
    <row r="595">
      <c r="A595" s="50" t="inlineStr">
        <is>
          <t>2000-02</t>
        </is>
      </c>
      <c r="B595" s="50" t="n">
        <v>153</v>
      </c>
      <c r="C595" s="50" t="n">
        <v>3.169</v>
      </c>
      <c r="D595" s="50" t="n"/>
      <c r="E595" s="50" t="n">
        <v>153</v>
      </c>
      <c r="F595" s="50" t="n">
        <v>3.169</v>
      </c>
      <c r="G595" s="50" t="n"/>
      <c r="H595" s="50" t="n">
        <v>174.9</v>
      </c>
      <c r="I595" s="50" t="n">
        <v>2.761</v>
      </c>
      <c r="J595" s="50" t="n"/>
      <c r="K595" s="50" t="n">
        <v>175.2</v>
      </c>
      <c r="L595" s="50" t="n">
        <v>2.817</v>
      </c>
      <c r="M595" s="50" t="n"/>
      <c r="N595" s="50" t="n">
        <v>254.9</v>
      </c>
      <c r="O595" s="50" t="n">
        <v>0.552</v>
      </c>
      <c r="P595" s="50" t="n"/>
      <c r="Q595" s="50" t="n">
        <v>255.9</v>
      </c>
      <c r="R595" s="50" t="n">
        <v>0.59</v>
      </c>
      <c r="S595" s="50" t="n"/>
    </row>
    <row r="596">
      <c r="A596" s="50" t="inlineStr">
        <is>
          <t>2000-03</t>
        </is>
      </c>
      <c r="B596" s="50" t="n">
        <v>153</v>
      </c>
      <c r="C596" s="50" t="n">
        <v>3.799</v>
      </c>
      <c r="D596" s="50" t="n"/>
      <c r="E596" s="50" t="n">
        <v>153</v>
      </c>
      <c r="F596" s="50" t="n">
        <v>3.799</v>
      </c>
      <c r="G596" s="50" t="n"/>
      <c r="H596" s="50" t="n">
        <v>175.6</v>
      </c>
      <c r="I596" s="50" t="n">
        <v>2.991</v>
      </c>
      <c r="J596" s="50" t="n"/>
      <c r="K596" s="50" t="n">
        <v>175.7</v>
      </c>
      <c r="L596" s="50" t="n">
        <v>2.989</v>
      </c>
      <c r="M596" s="50" t="n"/>
      <c r="N596" s="50" t="n">
        <v>255.2</v>
      </c>
      <c r="O596" s="50" t="n">
        <v>0.591</v>
      </c>
      <c r="P596" s="50" t="n"/>
      <c r="Q596" s="50" t="n">
        <v>256</v>
      </c>
      <c r="R596" s="50" t="n">
        <v>0.589</v>
      </c>
      <c r="S596" s="50" t="n"/>
    </row>
    <row r="597">
      <c r="A597" s="50" t="inlineStr">
        <is>
          <t>2000-04</t>
        </is>
      </c>
      <c r="B597" s="50" t="n">
        <v>154</v>
      </c>
      <c r="C597" s="50" t="n">
        <v>3.844</v>
      </c>
      <c r="D597" s="50" t="n"/>
      <c r="E597" s="50" t="n">
        <v>154</v>
      </c>
      <c r="F597" s="50" t="n">
        <v>3.844</v>
      </c>
      <c r="G597" s="50" t="n"/>
      <c r="H597" s="50" t="n">
        <v>176</v>
      </c>
      <c r="I597" s="50" t="n">
        <v>2.924</v>
      </c>
      <c r="J597" s="50" t="n"/>
      <c r="K597" s="50" t="n">
        <v>175.9</v>
      </c>
      <c r="L597" s="50" t="n">
        <v>2.926</v>
      </c>
      <c r="M597" s="50" t="n"/>
      <c r="N597" s="50" t="n">
        <v>255.7</v>
      </c>
      <c r="O597" s="50" t="n">
        <v>1.067</v>
      </c>
      <c r="P597" s="50" t="n"/>
      <c r="Q597" s="50" t="n">
        <v>256.1</v>
      </c>
      <c r="R597" s="50" t="n">
        <v>1.105</v>
      </c>
      <c r="S597" s="50" t="n"/>
    </row>
    <row r="598">
      <c r="A598" s="50" t="inlineStr">
        <is>
          <t>2000-05</t>
        </is>
      </c>
      <c r="B598" s="50" t="n">
        <v>155.4</v>
      </c>
      <c r="C598" s="50" t="n">
        <v>3.877</v>
      </c>
      <c r="D598" s="50" t="n"/>
      <c r="E598" s="50" t="n">
        <v>155.4</v>
      </c>
      <c r="F598" s="50" t="n">
        <v>3.877</v>
      </c>
      <c r="G598" s="50" t="n"/>
      <c r="H598" s="50" t="n">
        <v>176.5</v>
      </c>
      <c r="I598" s="50" t="n">
        <v>2.915</v>
      </c>
      <c r="J598" s="50" t="n"/>
      <c r="K598" s="50" t="n">
        <v>176.3</v>
      </c>
      <c r="L598" s="50" t="n">
        <v>2.919</v>
      </c>
      <c r="M598" s="50" t="n"/>
      <c r="N598" s="50" t="n">
        <v>256.3</v>
      </c>
      <c r="O598" s="50" t="n">
        <v>1.344</v>
      </c>
      <c r="P598" s="50" t="n"/>
      <c r="Q598" s="50" t="n">
        <v>256.5</v>
      </c>
      <c r="R598" s="50" t="n">
        <v>1.343</v>
      </c>
      <c r="S598" s="50" t="n"/>
    </row>
    <row r="599">
      <c r="A599" s="50" t="inlineStr">
        <is>
          <t>2000-06</t>
        </is>
      </c>
      <c r="B599" s="50" t="n">
        <v>155.7</v>
      </c>
      <c r="C599" s="50" t="n">
        <v>3.181</v>
      </c>
      <c r="D599" s="50" t="n"/>
      <c r="E599" s="50" t="n">
        <v>155.7</v>
      </c>
      <c r="F599" s="50" t="n">
        <v>3.181</v>
      </c>
      <c r="G599" s="50" t="n"/>
      <c r="H599" s="50" t="n">
        <v>177</v>
      </c>
      <c r="I599" s="50" t="n">
        <v>2.967</v>
      </c>
      <c r="J599" s="50" t="n"/>
      <c r="K599" s="50" t="n">
        <v>176.8</v>
      </c>
      <c r="L599" s="50" t="n">
        <v>2.97</v>
      </c>
      <c r="M599" s="50" t="n"/>
      <c r="N599" s="50" t="n">
        <v>256.2</v>
      </c>
      <c r="O599" s="50" t="n">
        <v>1.105</v>
      </c>
      <c r="P599" s="50" t="n"/>
      <c r="Q599" s="50" t="n">
        <v>255.8</v>
      </c>
      <c r="R599" s="50" t="n">
        <v>1.147</v>
      </c>
      <c r="S599" s="50" t="n"/>
    </row>
    <row r="600">
      <c r="A600" s="50" t="inlineStr">
        <is>
          <t>2000-07</t>
        </is>
      </c>
      <c r="B600" s="50" t="n">
        <v>155.3</v>
      </c>
      <c r="C600" s="50" t="n">
        <v>1.97</v>
      </c>
      <c r="D600" s="50" t="n"/>
      <c r="E600" s="50" t="n">
        <v>155.3</v>
      </c>
      <c r="F600" s="50" t="n">
        <v>1.97</v>
      </c>
      <c r="G600" s="50" t="n"/>
      <c r="H600" s="50" t="n">
        <v>177.4</v>
      </c>
      <c r="I600" s="50" t="n">
        <v>2.96</v>
      </c>
      <c r="J600" s="50" t="n"/>
      <c r="K600" s="50" t="n">
        <v>177.2</v>
      </c>
      <c r="L600" s="50" t="n">
        <v>2.963</v>
      </c>
      <c r="M600" s="50" t="n"/>
      <c r="N600" s="50" t="n">
        <v>256.3</v>
      </c>
      <c r="O600" s="50" t="n">
        <v>0.945</v>
      </c>
      <c r="P600" s="50" t="n"/>
      <c r="Q600" s="50" t="n">
        <v>255.4</v>
      </c>
      <c r="R600" s="50" t="n">
        <v>0.989</v>
      </c>
      <c r="S600" s="50" t="n"/>
    </row>
    <row r="601">
      <c r="A601" s="50" t="inlineStr">
        <is>
          <t>2000-08</t>
        </is>
      </c>
      <c r="B601" s="50" t="n">
        <v>155.2</v>
      </c>
      <c r="C601" s="50" t="n">
        <v>0.91</v>
      </c>
      <c r="D601" s="50" t="n"/>
      <c r="E601" s="50" t="n">
        <v>155.2</v>
      </c>
      <c r="F601" s="50" t="n">
        <v>0.91</v>
      </c>
      <c r="G601" s="50" t="n"/>
      <c r="H601" s="50" t="n">
        <v>178.5</v>
      </c>
      <c r="I601" s="50" t="n">
        <v>3.538</v>
      </c>
      <c r="J601" s="50" t="n"/>
      <c r="K601" s="50" t="n">
        <v>178.2</v>
      </c>
      <c r="L601" s="50" t="n">
        <v>3.544</v>
      </c>
      <c r="M601" s="50" t="n"/>
      <c r="N601" s="50" t="n">
        <v>257.2</v>
      </c>
      <c r="O601" s="50" t="n">
        <v>1.14</v>
      </c>
      <c r="P601" s="50" t="n"/>
      <c r="Q601" s="50" t="n">
        <v>255.6</v>
      </c>
      <c r="R601" s="50" t="n">
        <v>1.148</v>
      </c>
      <c r="S601" s="50" t="n"/>
    </row>
    <row r="602">
      <c r="A602" s="50" t="inlineStr">
        <is>
          <t>2000-09</t>
        </is>
      </c>
      <c r="B602" s="50" t="n">
        <v>156.2</v>
      </c>
      <c r="C602" s="50" t="n">
        <v>0.321</v>
      </c>
      <c r="D602" s="50" t="n"/>
      <c r="E602" s="50" t="n">
        <v>156.2</v>
      </c>
      <c r="F602" s="50" t="n">
        <v>0.321</v>
      </c>
      <c r="G602" s="50" t="n"/>
      <c r="H602" s="50" t="n">
        <v>178.7</v>
      </c>
      <c r="I602" s="50" t="n">
        <v>3.474</v>
      </c>
      <c r="J602" s="50" t="n"/>
      <c r="K602" s="50" t="n">
        <v>178.7</v>
      </c>
      <c r="L602" s="50" t="n">
        <v>3.414</v>
      </c>
      <c r="M602" s="50" t="n"/>
      <c r="N602" s="50" t="n">
        <v>257.8</v>
      </c>
      <c r="O602" s="50" t="n">
        <v>1.257</v>
      </c>
      <c r="P602" s="50" t="n"/>
      <c r="Q602" s="50" t="n">
        <v>255.6</v>
      </c>
      <c r="R602" s="50" t="n">
        <v>1.308</v>
      </c>
      <c r="S602" s="50" t="n"/>
    </row>
    <row r="603">
      <c r="A603" s="50" t="inlineStr">
        <is>
          <t>2000-10</t>
        </is>
      </c>
      <c r="B603" s="50" t="n">
        <v>157.9</v>
      </c>
      <c r="C603" s="50" t="n">
        <v>0.959</v>
      </c>
      <c r="D603" s="50" t="n"/>
      <c r="E603" s="50" t="n">
        <v>157.9</v>
      </c>
      <c r="F603" s="50" t="n">
        <v>0.959</v>
      </c>
      <c r="G603" s="50" t="n"/>
      <c r="H603" s="50" t="n">
        <v>179.2</v>
      </c>
      <c r="I603" s="50" t="n">
        <v>3.644</v>
      </c>
      <c r="J603" s="50" t="n"/>
      <c r="K603" s="50" t="n">
        <v>179.4</v>
      </c>
      <c r="L603" s="50" t="n">
        <v>3.58</v>
      </c>
      <c r="M603" s="50" t="n"/>
      <c r="N603" s="50" t="n">
        <v>258.1</v>
      </c>
      <c r="O603" s="50" t="n">
        <v>1.574</v>
      </c>
      <c r="P603" s="50" t="n"/>
      <c r="Q603" s="50" t="n">
        <v>257.7</v>
      </c>
      <c r="R603" s="50" t="n">
        <v>1.457</v>
      </c>
      <c r="S603" s="50" t="n"/>
    </row>
    <row r="604">
      <c r="A604" s="50" t="inlineStr">
        <is>
          <t>2000-11</t>
        </is>
      </c>
      <c r="B604" s="50" t="n">
        <v>159.3</v>
      </c>
      <c r="C604" s="50" t="n">
        <v>2.05</v>
      </c>
      <c r="D604" s="50" t="n"/>
      <c r="E604" s="50" t="n">
        <v>159.3</v>
      </c>
      <c r="F604" s="50" t="n">
        <v>2.05</v>
      </c>
      <c r="G604" s="50" t="n"/>
      <c r="H604" s="50" t="n">
        <v>179.7</v>
      </c>
      <c r="I604" s="50" t="n">
        <v>3.633</v>
      </c>
      <c r="J604" s="50" t="n"/>
      <c r="K604" s="50" t="n">
        <v>179.9</v>
      </c>
      <c r="L604" s="50" t="n">
        <v>3.629</v>
      </c>
      <c r="M604" s="50" t="n"/>
      <c r="N604" s="50" t="n">
        <v>258.7</v>
      </c>
      <c r="O604" s="50" t="n">
        <v>1.73</v>
      </c>
      <c r="P604" s="50" t="n"/>
      <c r="Q604" s="50" t="n">
        <v>260</v>
      </c>
      <c r="R604" s="50" t="n">
        <v>1.721</v>
      </c>
      <c r="S604" s="50" t="n"/>
    </row>
    <row r="605">
      <c r="A605" s="50" t="inlineStr">
        <is>
          <t>2000-12</t>
        </is>
      </c>
      <c r="B605" s="50" t="n">
        <v>160.2</v>
      </c>
      <c r="C605" s="50" t="n">
        <v>3.355</v>
      </c>
      <c r="D605" s="50" t="n"/>
      <c r="E605" s="50" t="n">
        <v>160.2</v>
      </c>
      <c r="F605" s="50" t="n">
        <v>3.355</v>
      </c>
      <c r="G605" s="50" t="n"/>
      <c r="H605" s="50" t="n">
        <v>179.9</v>
      </c>
      <c r="I605" s="50" t="n">
        <v>3.45</v>
      </c>
      <c r="J605" s="50" t="n"/>
      <c r="K605" s="50" t="n">
        <v>179.9</v>
      </c>
      <c r="L605" s="50" t="n">
        <v>3.51</v>
      </c>
      <c r="M605" s="50" t="n"/>
      <c r="N605" s="50" t="n">
        <v>259.5</v>
      </c>
      <c r="O605" s="50" t="n">
        <v>1.845</v>
      </c>
      <c r="P605" s="50" t="n"/>
      <c r="Q605" s="50" t="n">
        <v>260.5</v>
      </c>
      <c r="R605" s="50" t="n">
        <v>1.837</v>
      </c>
      <c r="S605" s="50" t="n"/>
    </row>
    <row r="606">
      <c r="A606" s="50" t="inlineStr">
        <is>
          <t>2001-01</t>
        </is>
      </c>
      <c r="B606" s="50" t="n">
        <v>160.4</v>
      </c>
      <c r="C606" s="50" t="n">
        <v>4.224</v>
      </c>
      <c r="D606" s="50" t="n"/>
      <c r="E606" s="50" t="n">
        <v>160.4</v>
      </c>
      <c r="F606" s="50" t="n">
        <v>4.224</v>
      </c>
      <c r="G606" s="50" t="n"/>
      <c r="H606" s="50" t="n">
        <v>180.5</v>
      </c>
      <c r="I606" s="50" t="n">
        <v>3.438</v>
      </c>
      <c r="J606" s="50" t="n"/>
      <c r="K606" s="50" t="n">
        <v>180.6</v>
      </c>
      <c r="L606" s="50" t="n">
        <v>3.436</v>
      </c>
      <c r="M606" s="50" t="n"/>
      <c r="N606" s="50" t="n">
        <v>260.6</v>
      </c>
      <c r="O606" s="50" t="n">
        <v>2.236</v>
      </c>
      <c r="P606" s="50" t="n"/>
      <c r="Q606" s="50" t="n">
        <v>261.3</v>
      </c>
      <c r="R606" s="50" t="n">
        <v>2.23</v>
      </c>
      <c r="S606" s="50" t="n"/>
    </row>
    <row r="607">
      <c r="A607" s="50" t="inlineStr">
        <is>
          <t>2001-02</t>
        </is>
      </c>
      <c r="B607" s="50" t="n">
        <v>160.4</v>
      </c>
      <c r="C607" s="50" t="n">
        <v>4.837</v>
      </c>
      <c r="D607" s="50" t="n"/>
      <c r="E607" s="50" t="n">
        <v>160.4</v>
      </c>
      <c r="F607" s="50" t="n">
        <v>4.837</v>
      </c>
      <c r="G607" s="50" t="n"/>
      <c r="H607" s="50" t="n">
        <v>181.2</v>
      </c>
      <c r="I607" s="50" t="n">
        <v>3.602</v>
      </c>
      <c r="J607" s="50" t="n"/>
      <c r="K607" s="50" t="n">
        <v>181.5</v>
      </c>
      <c r="L607" s="50" t="n">
        <v>3.596</v>
      </c>
      <c r="M607" s="50" t="n"/>
      <c r="N607" s="50" t="n">
        <v>262.2</v>
      </c>
      <c r="O607" s="50" t="n">
        <v>2.864</v>
      </c>
      <c r="P607" s="50" t="n"/>
      <c r="Q607" s="50" t="n">
        <v>263.3</v>
      </c>
      <c r="R607" s="50" t="n">
        <v>2.892</v>
      </c>
      <c r="S607" s="50" t="n"/>
    </row>
    <row r="608">
      <c r="A608" s="50" t="inlineStr">
        <is>
          <t>2001-03</t>
        </is>
      </c>
      <c r="B608" s="50" t="n">
        <v>159.9</v>
      </c>
      <c r="C608" s="50" t="n">
        <v>4.51</v>
      </c>
      <c r="D608" s="50" t="n"/>
      <c r="E608" s="50" t="n">
        <v>159.9</v>
      </c>
      <c r="F608" s="50" t="n">
        <v>4.51</v>
      </c>
      <c r="G608" s="50" t="n"/>
      <c r="H608" s="50" t="n">
        <v>181.6</v>
      </c>
      <c r="I608" s="50" t="n">
        <v>3.417</v>
      </c>
      <c r="J608" s="50" t="n"/>
      <c r="K608" s="50" t="n">
        <v>181.7</v>
      </c>
      <c r="L608" s="50" t="n">
        <v>3.415</v>
      </c>
      <c r="M608" s="50" t="n"/>
      <c r="N608" s="50" t="n">
        <v>262.8</v>
      </c>
      <c r="O608" s="50" t="n">
        <v>2.978</v>
      </c>
      <c r="P608" s="50" t="n"/>
      <c r="Q608" s="50" t="n">
        <v>263.7</v>
      </c>
      <c r="R608" s="50" t="n">
        <v>3.008</v>
      </c>
      <c r="S608" s="50" t="n"/>
    </row>
    <row r="609">
      <c r="A609" s="50" t="inlineStr">
        <is>
          <t>2001-04</t>
        </is>
      </c>
      <c r="B609" s="50" t="n">
        <v>159.7</v>
      </c>
      <c r="C609" s="50" t="n">
        <v>3.701</v>
      </c>
      <c r="D609" s="50" t="n"/>
      <c r="E609" s="50" t="n">
        <v>159.7</v>
      </c>
      <c r="F609" s="50" t="n">
        <v>3.701</v>
      </c>
      <c r="G609" s="50" t="n"/>
      <c r="H609" s="50" t="n">
        <v>182</v>
      </c>
      <c r="I609" s="50" t="n">
        <v>3.409</v>
      </c>
      <c r="J609" s="50" t="n"/>
      <c r="K609" s="50" t="n">
        <v>181.9</v>
      </c>
      <c r="L609" s="50" t="n">
        <v>3.411</v>
      </c>
      <c r="M609" s="50" t="n"/>
      <c r="N609" s="50" t="n">
        <v>263.9</v>
      </c>
      <c r="O609" s="50" t="n">
        <v>3.207</v>
      </c>
      <c r="P609" s="50" t="n"/>
      <c r="Q609" s="50" t="n">
        <v>264.4</v>
      </c>
      <c r="R609" s="50" t="n">
        <v>3.241</v>
      </c>
      <c r="S609" s="50" t="n"/>
    </row>
    <row r="610">
      <c r="A610" s="50" t="inlineStr">
        <is>
          <t>2001-05</t>
        </is>
      </c>
      <c r="B610" s="50" t="n">
        <v>159.1</v>
      </c>
      <c r="C610" s="50" t="n">
        <v>2.381</v>
      </c>
      <c r="D610" s="50" t="n"/>
      <c r="E610" s="50" t="n">
        <v>159.1</v>
      </c>
      <c r="F610" s="50" t="n">
        <v>2.381</v>
      </c>
      <c r="G610" s="50" t="n"/>
      <c r="H610" s="50" t="n">
        <v>182.6</v>
      </c>
      <c r="I610" s="50" t="n">
        <v>3.456</v>
      </c>
      <c r="J610" s="50" t="n"/>
      <c r="K610" s="50" t="n">
        <v>182.5</v>
      </c>
      <c r="L610" s="50" t="n">
        <v>3.517</v>
      </c>
      <c r="M610" s="50" t="n"/>
      <c r="N610" s="50" t="n">
        <v>264.9</v>
      </c>
      <c r="O610" s="50" t="n">
        <v>3.355</v>
      </c>
      <c r="P610" s="50" t="n"/>
      <c r="Q610" s="50" t="n">
        <v>265.1</v>
      </c>
      <c r="R610" s="50" t="n">
        <v>3.353</v>
      </c>
      <c r="S610" s="50" t="n"/>
    </row>
    <row r="611">
      <c r="A611" s="50" t="inlineStr">
        <is>
          <t>2001-06</t>
        </is>
      </c>
      <c r="B611" s="50" t="n">
        <v>158.9</v>
      </c>
      <c r="C611" s="50" t="n">
        <v>2.055</v>
      </c>
      <c r="D611" s="50" t="n"/>
      <c r="E611" s="50" t="n">
        <v>158.9</v>
      </c>
      <c r="F611" s="50" t="n">
        <v>2.055</v>
      </c>
      <c r="G611" s="50" t="n"/>
      <c r="H611" s="50" t="n">
        <v>182.9</v>
      </c>
      <c r="I611" s="50" t="n">
        <v>3.333</v>
      </c>
      <c r="J611" s="50" t="n"/>
      <c r="K611" s="50" t="n">
        <v>182.7</v>
      </c>
      <c r="L611" s="50" t="n">
        <v>3.337</v>
      </c>
      <c r="M611" s="50" t="n"/>
      <c r="N611" s="50" t="n">
        <v>266.6</v>
      </c>
      <c r="O611" s="50" t="n">
        <v>4.059</v>
      </c>
      <c r="P611" s="50" t="n"/>
      <c r="Q611" s="50" t="n">
        <v>266.2</v>
      </c>
      <c r="R611" s="50" t="n">
        <v>4.066</v>
      </c>
      <c r="S611" s="50" t="n"/>
    </row>
    <row r="612">
      <c r="A612" s="50" t="inlineStr">
        <is>
          <t>2001-07</t>
        </is>
      </c>
      <c r="B612" s="50" t="n">
        <v>158.3</v>
      </c>
      <c r="C612" s="50" t="n">
        <v>1.932</v>
      </c>
      <c r="D612" s="50" t="n"/>
      <c r="E612" s="50" t="n">
        <v>158.3</v>
      </c>
      <c r="F612" s="50" t="n">
        <v>1.932</v>
      </c>
      <c r="G612" s="50" t="n"/>
      <c r="H612" s="50" t="n">
        <v>183.6</v>
      </c>
      <c r="I612" s="50" t="n">
        <v>3.495</v>
      </c>
      <c r="J612" s="50" t="n"/>
      <c r="K612" s="50" t="n">
        <v>183.4</v>
      </c>
      <c r="L612" s="50" t="n">
        <v>3.499</v>
      </c>
      <c r="M612" s="50" t="n"/>
      <c r="N612" s="50" t="n">
        <v>268</v>
      </c>
      <c r="O612" s="50" t="n">
        <v>4.565</v>
      </c>
      <c r="P612" s="50" t="n"/>
      <c r="Q612" s="50" t="n">
        <v>267.3</v>
      </c>
      <c r="R612" s="50" t="n">
        <v>4.659</v>
      </c>
      <c r="S612" s="50" t="n"/>
    </row>
    <row r="613">
      <c r="A613" s="50" t="inlineStr">
        <is>
          <t>2001-08</t>
        </is>
      </c>
      <c r="B613" s="50" t="n">
        <v>158</v>
      </c>
      <c r="C613" s="50" t="n">
        <v>1.804</v>
      </c>
      <c r="D613" s="50" t="n"/>
      <c r="E613" s="50" t="n">
        <v>158</v>
      </c>
      <c r="F613" s="50" t="n">
        <v>1.804</v>
      </c>
      <c r="G613" s="50" t="n"/>
      <c r="H613" s="50" t="n">
        <v>184.4</v>
      </c>
      <c r="I613" s="50" t="n">
        <v>3.305</v>
      </c>
      <c r="J613" s="50" t="n"/>
      <c r="K613" s="50" t="n">
        <v>184</v>
      </c>
      <c r="L613" s="50" t="n">
        <v>3.255</v>
      </c>
      <c r="M613" s="50" t="n"/>
      <c r="N613" s="50" t="n">
        <v>269.7</v>
      </c>
      <c r="O613" s="50" t="n">
        <v>4.86</v>
      </c>
      <c r="P613" s="50" t="n"/>
      <c r="Q613" s="50" t="n">
        <v>268</v>
      </c>
      <c r="R613" s="50" t="n">
        <v>4.851</v>
      </c>
      <c r="S613" s="50" t="n"/>
    </row>
    <row r="614">
      <c r="A614" s="50" t="inlineStr">
        <is>
          <t>2001-09</t>
        </is>
      </c>
      <c r="B614" s="50" t="n">
        <v>157.3</v>
      </c>
      <c r="C614" s="50" t="n">
        <v>0.704</v>
      </c>
      <c r="D614" s="50" t="n"/>
      <c r="E614" s="50" t="n">
        <v>157.3</v>
      </c>
      <c r="F614" s="50" t="n">
        <v>0.704</v>
      </c>
      <c r="G614" s="50" t="n"/>
      <c r="H614" s="50" t="n">
        <v>185.1</v>
      </c>
      <c r="I614" s="50" t="n">
        <v>3.581</v>
      </c>
      <c r="J614" s="50" t="n"/>
      <c r="K614" s="50" t="n">
        <v>185.1</v>
      </c>
      <c r="L614" s="50" t="n">
        <v>3.581</v>
      </c>
      <c r="M614" s="50" t="n"/>
      <c r="N614" s="50" t="n">
        <v>270.9</v>
      </c>
      <c r="O614" s="50" t="n">
        <v>5.081</v>
      </c>
      <c r="P614" s="50" t="n"/>
      <c r="Q614" s="50" t="n">
        <v>268.5</v>
      </c>
      <c r="R614" s="50" t="n">
        <v>5.047</v>
      </c>
      <c r="S614" s="50" t="n"/>
    </row>
    <row r="615">
      <c r="A615" s="50" t="inlineStr">
        <is>
          <t>2001-10</t>
        </is>
      </c>
      <c r="B615" s="50" t="n">
        <v>157.8</v>
      </c>
      <c r="C615" s="50" t="n">
        <v>-0.063</v>
      </c>
      <c r="D615" s="50" t="n"/>
      <c r="E615" s="50" t="n">
        <v>157.8</v>
      </c>
      <c r="F615" s="50" t="n">
        <v>-0.063</v>
      </c>
      <c r="G615" s="50" t="n"/>
      <c r="H615" s="50" t="n">
        <v>185.8</v>
      </c>
      <c r="I615" s="50" t="n">
        <v>3.683</v>
      </c>
      <c r="J615" s="50" t="n"/>
      <c r="K615" s="50" t="n">
        <v>186</v>
      </c>
      <c r="L615" s="50" t="n">
        <v>3.679</v>
      </c>
      <c r="M615" s="50" t="n"/>
      <c r="N615" s="50" t="n">
        <v>272.9</v>
      </c>
      <c r="O615" s="50" t="n">
        <v>5.734</v>
      </c>
      <c r="P615" s="50" t="n"/>
      <c r="Q615" s="50" t="n">
        <v>272.3</v>
      </c>
      <c r="R615" s="50" t="n">
        <v>5.666</v>
      </c>
      <c r="S615" s="50" t="n"/>
    </row>
    <row r="616">
      <c r="A616" s="50" t="inlineStr">
        <is>
          <t>2001-11</t>
        </is>
      </c>
      <c r="B616" s="50" t="n">
        <v>157.4</v>
      </c>
      <c r="C616" s="50" t="n">
        <v>-1.193</v>
      </c>
      <c r="D616" s="50" t="n"/>
      <c r="E616" s="50" t="n">
        <v>157.4</v>
      </c>
      <c r="F616" s="50" t="n">
        <v>-1.193</v>
      </c>
      <c r="G616" s="50" t="n"/>
      <c r="H616" s="50" t="n">
        <v>186.1</v>
      </c>
      <c r="I616" s="50" t="n">
        <v>3.561</v>
      </c>
      <c r="J616" s="50" t="n"/>
      <c r="K616" s="50" t="n">
        <v>186.4</v>
      </c>
      <c r="L616" s="50" t="n">
        <v>3.613</v>
      </c>
      <c r="M616" s="50" t="n"/>
      <c r="N616" s="50" t="n">
        <v>276.8</v>
      </c>
      <c r="O616" s="50" t="n">
        <v>6.997</v>
      </c>
      <c r="P616" s="50" t="n"/>
      <c r="Q616" s="50" t="n">
        <v>278.2</v>
      </c>
      <c r="R616" s="50" t="n">
        <v>7</v>
      </c>
      <c r="S616" s="50" t="n"/>
    </row>
    <row r="617">
      <c r="A617" s="50" t="inlineStr">
        <is>
          <t>2001-12</t>
        </is>
      </c>
      <c r="B617" s="50" t="n">
        <v>157.2</v>
      </c>
      <c r="C617" s="50" t="n">
        <v>-1.873</v>
      </c>
      <c r="D617" s="50" t="n"/>
      <c r="E617" s="50" t="n">
        <v>157.2</v>
      </c>
      <c r="F617" s="50" t="n">
        <v>-1.873</v>
      </c>
      <c r="G617" s="50" t="n"/>
      <c r="H617" s="50" t="n">
        <v>186.3</v>
      </c>
      <c r="I617" s="50" t="n">
        <v>3.558</v>
      </c>
      <c r="J617" s="50" t="n"/>
      <c r="K617" s="50" t="n">
        <v>186.4</v>
      </c>
      <c r="L617" s="50" t="n">
        <v>3.613</v>
      </c>
      <c r="M617" s="50" t="n"/>
      <c r="N617" s="50" t="n">
        <v>278.4</v>
      </c>
      <c r="O617" s="50" t="n">
        <v>7.283</v>
      </c>
      <c r="P617" s="50" t="n"/>
      <c r="Q617" s="50" t="n">
        <v>279.4</v>
      </c>
      <c r="R617" s="50" t="n">
        <v>7.255</v>
      </c>
      <c r="S617" s="50" t="n"/>
    </row>
    <row r="618">
      <c r="A618" s="50" t="inlineStr">
        <is>
          <t>2002-01</t>
        </is>
      </c>
      <c r="B618" s="50" t="n">
        <v>155.6</v>
      </c>
      <c r="C618" s="50" t="n">
        <v>-2.993</v>
      </c>
      <c r="D618" s="50" t="n"/>
      <c r="E618" s="50" t="n">
        <v>155.6</v>
      </c>
      <c r="F618" s="50" t="n">
        <v>-2.993</v>
      </c>
      <c r="G618" s="50" t="n"/>
      <c r="H618" s="50" t="n">
        <v>187</v>
      </c>
      <c r="I618" s="50" t="n">
        <v>3.601</v>
      </c>
      <c r="J618" s="50" t="n"/>
      <c r="K618" s="50" t="n">
        <v>187.1</v>
      </c>
      <c r="L618" s="50" t="n">
        <v>3.599</v>
      </c>
      <c r="M618" s="50" t="n"/>
      <c r="N618" s="50" t="n">
        <v>279.9</v>
      </c>
      <c r="O618" s="50" t="n">
        <v>7.406</v>
      </c>
      <c r="P618" s="50" t="n"/>
      <c r="Q618" s="50" t="n">
        <v>280.5</v>
      </c>
      <c r="R618" s="50" t="n">
        <v>7.348</v>
      </c>
      <c r="S618" s="50" t="n"/>
    </row>
    <row r="619">
      <c r="A619" s="50" t="inlineStr">
        <is>
          <t>2002-02</t>
        </is>
      </c>
      <c r="B619" s="50" t="n">
        <v>153.9</v>
      </c>
      <c r="C619" s="50" t="n">
        <v>-4.052</v>
      </c>
      <c r="D619" s="50" t="n"/>
      <c r="E619" s="50" t="n">
        <v>153.9</v>
      </c>
      <c r="F619" s="50" t="n">
        <v>-4.052</v>
      </c>
      <c r="G619" s="50" t="n"/>
      <c r="H619" s="50" t="n">
        <v>187.7</v>
      </c>
      <c r="I619" s="50" t="n">
        <v>3.587</v>
      </c>
      <c r="J619" s="50" t="n"/>
      <c r="K619" s="50" t="n">
        <v>188</v>
      </c>
      <c r="L619" s="50" t="n">
        <v>3.581</v>
      </c>
      <c r="M619" s="50" t="n"/>
      <c r="N619" s="50" t="n">
        <v>282.4</v>
      </c>
      <c r="O619" s="50" t="n">
        <v>7.704</v>
      </c>
      <c r="P619" s="50" t="n"/>
      <c r="Q619" s="50" t="n">
        <v>283.6</v>
      </c>
      <c r="R619" s="50" t="n">
        <v>7.71</v>
      </c>
      <c r="S619" s="50" t="n"/>
    </row>
    <row r="620">
      <c r="A620" s="50" t="inlineStr">
        <is>
          <t>2002-03</t>
        </is>
      </c>
      <c r="B620" s="50" t="n">
        <v>152.1</v>
      </c>
      <c r="C620" s="50" t="n">
        <v>-4.878</v>
      </c>
      <c r="D620" s="50" t="n"/>
      <c r="E620" s="50" t="n">
        <v>152.1</v>
      </c>
      <c r="F620" s="50" t="n">
        <v>-4.878</v>
      </c>
      <c r="G620" s="50" t="n"/>
      <c r="H620" s="50" t="n">
        <v>188.4</v>
      </c>
      <c r="I620" s="50" t="n">
        <v>3.744</v>
      </c>
      <c r="J620" s="50" t="n"/>
      <c r="K620" s="50" t="n">
        <v>188.5</v>
      </c>
      <c r="L620" s="50" t="n">
        <v>3.742</v>
      </c>
      <c r="M620" s="50" t="n"/>
      <c r="N620" s="50" t="n">
        <v>284.5</v>
      </c>
      <c r="O620" s="50" t="n">
        <v>8.257</v>
      </c>
      <c r="P620" s="50" t="n"/>
      <c r="Q620" s="50" t="n">
        <v>285.5</v>
      </c>
      <c r="R620" s="50" t="n">
        <v>8.266999999999999</v>
      </c>
      <c r="S620" s="50" t="n"/>
    </row>
    <row r="621">
      <c r="A621" s="50" t="inlineStr">
        <is>
          <t>2002-04</t>
        </is>
      </c>
      <c r="B621" s="50" t="n">
        <v>151.8</v>
      </c>
      <c r="C621" s="50" t="n">
        <v>-4.947</v>
      </c>
      <c r="D621" s="50" t="n"/>
      <c r="E621" s="50" t="n">
        <v>151.8</v>
      </c>
      <c r="F621" s="50" t="n">
        <v>-4.947</v>
      </c>
      <c r="G621" s="50" t="n"/>
      <c r="H621" s="50" t="n">
        <v>189.1</v>
      </c>
      <c r="I621" s="50" t="n">
        <v>3.901</v>
      </c>
      <c r="J621" s="50" t="n"/>
      <c r="K621" s="50" t="n">
        <v>189</v>
      </c>
      <c r="L621" s="50" t="n">
        <v>3.903</v>
      </c>
      <c r="M621" s="50" t="n"/>
      <c r="N621" s="50" t="n">
        <v>286.4</v>
      </c>
      <c r="O621" s="50" t="n">
        <v>8.526</v>
      </c>
      <c r="P621" s="50" t="n"/>
      <c r="Q621" s="50" t="n">
        <v>286.9</v>
      </c>
      <c r="R621" s="50" t="n">
        <v>8.51</v>
      </c>
      <c r="S621" s="50" t="n"/>
    </row>
    <row r="622">
      <c r="A622" s="50" t="inlineStr">
        <is>
          <t>2002-05</t>
        </is>
      </c>
      <c r="B622" s="50" t="n">
        <v>151.8</v>
      </c>
      <c r="C622" s="50" t="n">
        <v>-4.588</v>
      </c>
      <c r="D622" s="50" t="n"/>
      <c r="E622" s="50" t="n">
        <v>151.8</v>
      </c>
      <c r="F622" s="50" t="n">
        <v>-4.588</v>
      </c>
      <c r="G622" s="50" t="n"/>
      <c r="H622" s="50" t="n">
        <v>190</v>
      </c>
      <c r="I622" s="50" t="n">
        <v>4.053</v>
      </c>
      <c r="J622" s="50" t="n"/>
      <c r="K622" s="50" t="n">
        <v>189.9</v>
      </c>
      <c r="L622" s="50" t="n">
        <v>4.055</v>
      </c>
      <c r="M622" s="50" t="n"/>
      <c r="N622" s="50" t="n">
        <v>287.9</v>
      </c>
      <c r="O622" s="50" t="n">
        <v>8.683</v>
      </c>
      <c r="P622" s="50" t="n"/>
      <c r="Q622" s="50" t="n">
        <v>288.2</v>
      </c>
      <c r="R622" s="50" t="n">
        <v>8.714</v>
      </c>
      <c r="S622" s="50" t="n"/>
    </row>
    <row r="623">
      <c r="A623" s="50" t="inlineStr">
        <is>
          <t>2002-06</t>
        </is>
      </c>
      <c r="B623" s="50" t="n">
        <v>152.2</v>
      </c>
      <c r="C623" s="50" t="n">
        <v>-4.216</v>
      </c>
      <c r="D623" s="50" t="n"/>
      <c r="E623" s="50" t="n">
        <v>152.2</v>
      </c>
      <c r="F623" s="50" t="n">
        <v>-4.216</v>
      </c>
      <c r="G623" s="50" t="n"/>
      <c r="H623" s="50" t="n">
        <v>190.2</v>
      </c>
      <c r="I623" s="50" t="n">
        <v>3.991</v>
      </c>
      <c r="J623" s="50" t="n"/>
      <c r="K623" s="50" t="n">
        <v>190</v>
      </c>
      <c r="L623" s="50" t="n">
        <v>3.996</v>
      </c>
      <c r="M623" s="50" t="n"/>
      <c r="N623" s="50" t="n">
        <v>289.8</v>
      </c>
      <c r="O623" s="50" t="n">
        <v>8.702</v>
      </c>
      <c r="P623" s="50" t="n"/>
      <c r="Q623" s="50" t="n">
        <v>289.4</v>
      </c>
      <c r="R623" s="50" t="n">
        <v>8.715</v>
      </c>
      <c r="S623" s="50" t="n"/>
    </row>
    <row r="624">
      <c r="A624" s="50" t="inlineStr">
        <is>
          <t>2002-07</t>
        </is>
      </c>
      <c r="B624" s="50" t="n">
        <v>152.7</v>
      </c>
      <c r="C624" s="50" t="n">
        <v>-3.538</v>
      </c>
      <c r="D624" s="50" t="n"/>
      <c r="E624" s="50" t="n">
        <v>152.7</v>
      </c>
      <c r="F624" s="50" t="n">
        <v>-3.538</v>
      </c>
      <c r="G624" s="50" t="n"/>
      <c r="H624" s="50" t="n">
        <v>190</v>
      </c>
      <c r="I624" s="50" t="n">
        <v>3.486</v>
      </c>
      <c r="J624" s="50" t="n"/>
      <c r="K624" s="50" t="n">
        <v>189.8</v>
      </c>
      <c r="L624" s="50" t="n">
        <v>3.49</v>
      </c>
      <c r="M624" s="50" t="n"/>
      <c r="N624" s="50" t="n">
        <v>292.7</v>
      </c>
      <c r="O624" s="50" t="n">
        <v>9.215999999999999</v>
      </c>
      <c r="P624" s="50" t="n"/>
      <c r="Q624" s="50" t="n">
        <v>292</v>
      </c>
      <c r="R624" s="50" t="n">
        <v>9.241</v>
      </c>
      <c r="S624" s="50" t="n"/>
    </row>
    <row r="625">
      <c r="A625" s="50" t="inlineStr">
        <is>
          <t>2002-08</t>
        </is>
      </c>
      <c r="B625" s="50" t="n">
        <v>153.4</v>
      </c>
      <c r="C625" s="50" t="n">
        <v>-2.911</v>
      </c>
      <c r="D625" s="50" t="n"/>
      <c r="E625" s="50" t="n">
        <v>153.4</v>
      </c>
      <c r="F625" s="50" t="n">
        <v>-2.911</v>
      </c>
      <c r="G625" s="50" t="n"/>
      <c r="H625" s="50" t="n">
        <v>191.3</v>
      </c>
      <c r="I625" s="50" t="n">
        <v>3.742</v>
      </c>
      <c r="J625" s="50" t="n"/>
      <c r="K625" s="50" t="n">
        <v>191</v>
      </c>
      <c r="L625" s="50" t="n">
        <v>3.804</v>
      </c>
      <c r="M625" s="50" t="n"/>
      <c r="N625" s="50" t="n">
        <v>294.5</v>
      </c>
      <c r="O625" s="50" t="n">
        <v>9.195</v>
      </c>
      <c r="P625" s="50" t="n"/>
      <c r="Q625" s="50" t="n">
        <v>292.6</v>
      </c>
      <c r="R625" s="50" t="n">
        <v>9.179</v>
      </c>
      <c r="S625" s="50" t="n"/>
    </row>
    <row r="626">
      <c r="A626" s="50" t="inlineStr">
        <is>
          <t>2002-09</t>
        </is>
      </c>
      <c r="B626" s="50" t="n">
        <v>152.2</v>
      </c>
      <c r="C626" s="50" t="n">
        <v>-3.242</v>
      </c>
      <c r="D626" s="50" t="n"/>
      <c r="E626" s="50" t="n">
        <v>152.2</v>
      </c>
      <c r="F626" s="50" t="n">
        <v>-3.242</v>
      </c>
      <c r="G626" s="50" t="n"/>
      <c r="H626" s="50" t="n">
        <v>191.5</v>
      </c>
      <c r="I626" s="50" t="n">
        <v>3.458</v>
      </c>
      <c r="J626" s="50" t="n"/>
      <c r="K626" s="50" t="n">
        <v>191.4</v>
      </c>
      <c r="L626" s="50" t="n">
        <v>3.404</v>
      </c>
      <c r="M626" s="50" t="n"/>
      <c r="N626" s="50" t="n">
        <v>296.6</v>
      </c>
      <c r="O626" s="50" t="n">
        <v>9.487</v>
      </c>
      <c r="P626" s="50" t="n"/>
      <c r="Q626" s="50" t="n">
        <v>294.1</v>
      </c>
      <c r="R626" s="50" t="n">
        <v>9.534000000000001</v>
      </c>
      <c r="S626" s="50" t="n"/>
    </row>
    <row r="627">
      <c r="A627" s="50" t="inlineStr">
        <is>
          <t>2002-10</t>
        </is>
      </c>
      <c r="B627" s="50" t="n">
        <v>150.7</v>
      </c>
      <c r="C627" s="50" t="n">
        <v>-4.499</v>
      </c>
      <c r="D627" s="50" t="n"/>
      <c r="E627" s="50" t="n">
        <v>150.7</v>
      </c>
      <c r="F627" s="50" t="n">
        <v>-4.499</v>
      </c>
      <c r="G627" s="50" t="n"/>
      <c r="H627" s="50" t="n">
        <v>191.7</v>
      </c>
      <c r="I627" s="50" t="n">
        <v>3.175</v>
      </c>
      <c r="J627" s="50" t="n"/>
      <c r="K627" s="50" t="n">
        <v>191.8</v>
      </c>
      <c r="L627" s="50" t="n">
        <v>3.118</v>
      </c>
      <c r="M627" s="50" t="n"/>
      <c r="N627" s="50" t="n">
        <v>298.9</v>
      </c>
      <c r="O627" s="50" t="n">
        <v>9.526999999999999</v>
      </c>
      <c r="P627" s="50" t="n"/>
      <c r="Q627" s="50" t="n">
        <v>298.2</v>
      </c>
      <c r="R627" s="50" t="n">
        <v>9.512</v>
      </c>
      <c r="S627" s="50" t="n"/>
    </row>
    <row r="628">
      <c r="A628" s="50" t="inlineStr">
        <is>
          <t>2002-11</t>
        </is>
      </c>
      <c r="B628" s="50" t="n">
        <v>148.8</v>
      </c>
      <c r="C628" s="50" t="n">
        <v>-5.464</v>
      </c>
      <c r="D628" s="50" t="n"/>
      <c r="E628" s="50" t="n">
        <v>148.8</v>
      </c>
      <c r="F628" s="50" t="n">
        <v>-5.464</v>
      </c>
      <c r="G628" s="50" t="n"/>
      <c r="H628" s="50" t="n">
        <v>192.5</v>
      </c>
      <c r="I628" s="50" t="n">
        <v>3.439</v>
      </c>
      <c r="J628" s="50" t="n"/>
      <c r="K628" s="50" t="n">
        <v>192.8</v>
      </c>
      <c r="L628" s="50" t="n">
        <v>3.433</v>
      </c>
      <c r="M628" s="50" t="n"/>
      <c r="N628" s="50" t="n">
        <v>301.8</v>
      </c>
      <c r="O628" s="50" t="n">
        <v>9.032</v>
      </c>
      <c r="P628" s="50" t="n"/>
      <c r="Q628" s="50" t="n">
        <v>303.4</v>
      </c>
      <c r="R628" s="50" t="n">
        <v>9.058</v>
      </c>
      <c r="S628" s="50" t="n"/>
    </row>
    <row r="629">
      <c r="A629" s="50" t="inlineStr">
        <is>
          <t>2002-12</t>
        </is>
      </c>
      <c r="B629" s="50" t="n">
        <v>148.5</v>
      </c>
      <c r="C629" s="50" t="n">
        <v>-5.534</v>
      </c>
      <c r="D629" s="50" t="n"/>
      <c r="E629" s="50" t="n">
        <v>148.5</v>
      </c>
      <c r="F629" s="50" t="n">
        <v>-5.534</v>
      </c>
      <c r="G629" s="50" t="n"/>
      <c r="H629" s="50" t="n">
        <v>193.3</v>
      </c>
      <c r="I629" s="50" t="n">
        <v>3.757</v>
      </c>
      <c r="J629" s="50" t="n"/>
      <c r="K629" s="50" t="n">
        <v>193.3</v>
      </c>
      <c r="L629" s="50" t="n">
        <v>3.702</v>
      </c>
      <c r="M629" s="50" t="n"/>
      <c r="N629" s="50" t="n">
        <v>303.6</v>
      </c>
      <c r="O629" s="50" t="n">
        <v>9.052</v>
      </c>
      <c r="P629" s="50" t="n"/>
      <c r="Q629" s="50" t="n">
        <v>304.6</v>
      </c>
      <c r="R629" s="50" t="n">
        <v>9.019</v>
      </c>
      <c r="S629" s="50" t="n"/>
    </row>
    <row r="630">
      <c r="A630" s="50" t="inlineStr">
        <is>
          <t>2003-01</t>
        </is>
      </c>
      <c r="B630" s="50" t="n">
        <v>148.3</v>
      </c>
      <c r="C630" s="50" t="n">
        <v>-4.692</v>
      </c>
      <c r="D630" s="50" t="n"/>
      <c r="E630" s="50" t="n">
        <v>148.3</v>
      </c>
      <c r="F630" s="50" t="n">
        <v>-4.692</v>
      </c>
      <c r="G630" s="50" t="n"/>
      <c r="H630" s="50" t="n">
        <v>193.7</v>
      </c>
      <c r="I630" s="50" t="n">
        <v>3.583</v>
      </c>
      <c r="J630" s="50" t="n"/>
      <c r="K630" s="50" t="n">
        <v>193.7</v>
      </c>
      <c r="L630" s="50" t="n">
        <v>3.528</v>
      </c>
      <c r="M630" s="50" t="n"/>
      <c r="N630" s="50" t="n">
        <v>305.8</v>
      </c>
      <c r="O630" s="50" t="n">
        <v>9.253</v>
      </c>
      <c r="P630" s="50" t="n"/>
      <c r="Q630" s="50" t="n">
        <v>306.5</v>
      </c>
      <c r="R630" s="50" t="n">
        <v>9.269</v>
      </c>
      <c r="S630" s="50" t="n"/>
    </row>
    <row r="631">
      <c r="A631" s="50" t="inlineStr">
        <is>
          <t>2003-02</t>
        </is>
      </c>
      <c r="B631" s="50" t="n">
        <v>148.4</v>
      </c>
      <c r="C631" s="50" t="n">
        <v>-3.574</v>
      </c>
      <c r="D631" s="50" t="n"/>
      <c r="E631" s="50" t="n">
        <v>148.4</v>
      </c>
      <c r="F631" s="50" t="n">
        <v>-3.574</v>
      </c>
      <c r="G631" s="50" t="n"/>
      <c r="H631" s="50" t="n">
        <v>194.2</v>
      </c>
      <c r="I631" s="50" t="n">
        <v>3.463</v>
      </c>
      <c r="J631" s="50" t="n"/>
      <c r="K631" s="50" t="n">
        <v>194.5</v>
      </c>
      <c r="L631" s="50" t="n">
        <v>3.457</v>
      </c>
      <c r="M631" s="50" t="n"/>
      <c r="N631" s="50" t="n">
        <v>307.7</v>
      </c>
      <c r="O631" s="50" t="n">
        <v>8.959</v>
      </c>
      <c r="P631" s="50" t="n"/>
      <c r="Q631" s="50" t="n">
        <v>309.1</v>
      </c>
      <c r="R631" s="50" t="n">
        <v>8.992000000000001</v>
      </c>
      <c r="S631" s="50" t="n"/>
    </row>
    <row r="632">
      <c r="A632" s="50" t="inlineStr">
        <is>
          <t>2003-03</t>
        </is>
      </c>
      <c r="B632" s="50" t="n">
        <v>148.5</v>
      </c>
      <c r="C632" s="50" t="n">
        <v>-2.367</v>
      </c>
      <c r="D632" s="50" t="n"/>
      <c r="E632" s="50" t="n">
        <v>148.5</v>
      </c>
      <c r="F632" s="50" t="n">
        <v>-2.367</v>
      </c>
      <c r="G632" s="50" t="n"/>
      <c r="H632" s="50" t="n">
        <v>194.2</v>
      </c>
      <c r="I632" s="50" t="n">
        <v>3.079</v>
      </c>
      <c r="J632" s="50" t="n"/>
      <c r="K632" s="50" t="n">
        <v>194.3</v>
      </c>
      <c r="L632" s="50" t="n">
        <v>3.077</v>
      </c>
      <c r="M632" s="50" t="n"/>
      <c r="N632" s="50" t="n">
        <v>309.9</v>
      </c>
      <c r="O632" s="50" t="n">
        <v>8.928000000000001</v>
      </c>
      <c r="P632" s="50" t="n"/>
      <c r="Q632" s="50" t="n">
        <v>310.9</v>
      </c>
      <c r="R632" s="50" t="n">
        <v>8.897</v>
      </c>
      <c r="S632" s="50" t="n"/>
    </row>
    <row r="633">
      <c r="A633" s="50" t="inlineStr">
        <is>
          <t>2003-04</t>
        </is>
      </c>
      <c r="B633" s="50" t="n">
        <v>148.4</v>
      </c>
      <c r="C633" s="50" t="n">
        <v>-2.24</v>
      </c>
      <c r="D633" s="50" t="n"/>
      <c r="E633" s="50" t="n">
        <v>148.4</v>
      </c>
      <c r="F633" s="50" t="n">
        <v>-2.24</v>
      </c>
      <c r="G633" s="50" t="n"/>
      <c r="H633" s="50" t="n">
        <v>194.7</v>
      </c>
      <c r="I633" s="50" t="n">
        <v>2.961</v>
      </c>
      <c r="J633" s="50" t="n"/>
      <c r="K633" s="50" t="n">
        <v>194.6</v>
      </c>
      <c r="L633" s="50" t="n">
        <v>2.963</v>
      </c>
      <c r="M633" s="50" t="n"/>
      <c r="N633" s="50" t="n">
        <v>313.2</v>
      </c>
      <c r="O633" s="50" t="n">
        <v>9.358000000000001</v>
      </c>
      <c r="P633" s="50" t="n"/>
      <c r="Q633" s="50" t="n">
        <v>313.9</v>
      </c>
      <c r="R633" s="50" t="n">
        <v>9.411</v>
      </c>
      <c r="S633" s="50" t="n"/>
    </row>
    <row r="634">
      <c r="A634" s="50" t="inlineStr">
        <is>
          <t>2003-05</t>
        </is>
      </c>
      <c r="B634" s="50" t="n">
        <v>147.9</v>
      </c>
      <c r="C634" s="50" t="n">
        <v>-2.569</v>
      </c>
      <c r="D634" s="50" t="n"/>
      <c r="E634" s="50" t="n">
        <v>147.9</v>
      </c>
      <c r="F634" s="50" t="n">
        <v>-2.569</v>
      </c>
      <c r="G634" s="50" t="n"/>
      <c r="H634" s="50" t="n">
        <v>195</v>
      </c>
      <c r="I634" s="50" t="n">
        <v>2.632</v>
      </c>
      <c r="J634" s="50" t="n"/>
      <c r="K634" s="50" t="n">
        <v>194.9</v>
      </c>
      <c r="L634" s="50" t="n">
        <v>2.633</v>
      </c>
      <c r="M634" s="50" t="n"/>
      <c r="N634" s="50" t="n">
        <v>314.6</v>
      </c>
      <c r="O634" s="50" t="n">
        <v>9.273999999999999</v>
      </c>
      <c r="P634" s="50" t="n"/>
      <c r="Q634" s="50" t="n">
        <v>314.9</v>
      </c>
      <c r="R634" s="50" t="n">
        <v>9.263999999999999</v>
      </c>
      <c r="S634" s="50" t="n"/>
    </row>
    <row r="635">
      <c r="A635" s="50" t="inlineStr">
        <is>
          <t>2003-06</t>
        </is>
      </c>
      <c r="B635" s="50" t="n">
        <v>147.4</v>
      </c>
      <c r="C635" s="50" t="n">
        <v>-3.154</v>
      </c>
      <c r="D635" s="50" t="n"/>
      <c r="E635" s="50" t="n">
        <v>147.4</v>
      </c>
      <c r="F635" s="50" t="n">
        <v>-3.154</v>
      </c>
      <c r="G635" s="50" t="n"/>
      <c r="H635" s="50" t="n">
        <v>195.3</v>
      </c>
      <c r="I635" s="50" t="n">
        <v>2.681</v>
      </c>
      <c r="J635" s="50" t="n"/>
      <c r="K635" s="50" t="n">
        <v>195.1</v>
      </c>
      <c r="L635" s="50" t="n">
        <v>2.684</v>
      </c>
      <c r="M635" s="50" t="n"/>
      <c r="N635" s="50" t="n">
        <v>315.6</v>
      </c>
      <c r="O635" s="50" t="n">
        <v>8.903</v>
      </c>
      <c r="P635" s="50" t="n"/>
      <c r="Q635" s="50" t="n">
        <v>315.2</v>
      </c>
      <c r="R635" s="50" t="n">
        <v>8.914999999999999</v>
      </c>
      <c r="S635" s="50" t="n"/>
    </row>
    <row r="636">
      <c r="A636" s="50" t="inlineStr">
        <is>
          <t>2003-07</t>
        </is>
      </c>
      <c r="B636" s="50" t="n">
        <v>145.7</v>
      </c>
      <c r="C636" s="50" t="n">
        <v>-4.584</v>
      </c>
      <c r="D636" s="50" t="n"/>
      <c r="E636" s="50" t="n">
        <v>145.7</v>
      </c>
      <c r="F636" s="50" t="n">
        <v>-4.584</v>
      </c>
      <c r="G636" s="50" t="n"/>
      <c r="H636" s="50" t="n">
        <v>196.2</v>
      </c>
      <c r="I636" s="50" t="n">
        <v>3.263</v>
      </c>
      <c r="J636" s="50" t="n"/>
      <c r="K636" s="50" t="n">
        <v>196</v>
      </c>
      <c r="L636" s="50" t="n">
        <v>3.267</v>
      </c>
      <c r="M636" s="50" t="n"/>
      <c r="N636" s="50" t="n">
        <v>316</v>
      </c>
      <c r="O636" s="50" t="n">
        <v>7.96</v>
      </c>
      <c r="P636" s="50" t="n"/>
      <c r="Q636" s="50" t="n">
        <v>315.2</v>
      </c>
      <c r="R636" s="50" t="n">
        <v>7.945</v>
      </c>
      <c r="S636" s="50" t="n"/>
    </row>
    <row r="637">
      <c r="A637" s="50" t="inlineStr">
        <is>
          <t>2003-08</t>
        </is>
      </c>
      <c r="B637" s="50" t="n">
        <v>143.3</v>
      </c>
      <c r="C637" s="50" t="n">
        <v>-6.584</v>
      </c>
      <c r="D637" s="50" t="n"/>
      <c r="E637" s="50" t="n">
        <v>143.3</v>
      </c>
      <c r="F637" s="50" t="n">
        <v>-6.584</v>
      </c>
      <c r="G637" s="50" t="n"/>
      <c r="H637" s="50" t="n">
        <v>195.9</v>
      </c>
      <c r="I637" s="50" t="n">
        <v>2.405</v>
      </c>
      <c r="J637" s="50" t="n"/>
      <c r="K637" s="50" t="n">
        <v>195.7</v>
      </c>
      <c r="L637" s="50" t="n">
        <v>2.461</v>
      </c>
      <c r="M637" s="50" t="n"/>
      <c r="N637" s="50" t="n">
        <v>317</v>
      </c>
      <c r="O637" s="50" t="n">
        <v>7.64</v>
      </c>
      <c r="P637" s="50" t="n"/>
      <c r="Q637" s="50" t="n">
        <v>314.8</v>
      </c>
      <c r="R637" s="50" t="n">
        <v>7.587</v>
      </c>
      <c r="S637" s="50" t="n"/>
    </row>
    <row r="638">
      <c r="A638" s="50" t="inlineStr">
        <is>
          <t>2003-09</t>
        </is>
      </c>
      <c r="B638" s="50" t="n">
        <v>139</v>
      </c>
      <c r="C638" s="50" t="n">
        <v>-8.673</v>
      </c>
      <c r="D638" s="50" t="n"/>
      <c r="E638" s="50" t="n">
        <v>139</v>
      </c>
      <c r="F638" s="50" t="n">
        <v>-8.673</v>
      </c>
      <c r="G638" s="50" t="n"/>
      <c r="H638" s="50" t="n">
        <v>196.3</v>
      </c>
      <c r="I638" s="50" t="n">
        <v>2.507</v>
      </c>
      <c r="J638" s="50" t="n"/>
      <c r="K638" s="50" t="n">
        <v>196.2</v>
      </c>
      <c r="L638" s="50" t="n">
        <v>2.508</v>
      </c>
      <c r="M638" s="50" t="n"/>
      <c r="N638" s="50" t="n">
        <v>318.5</v>
      </c>
      <c r="O638" s="50" t="n">
        <v>7.384</v>
      </c>
      <c r="P638" s="50" t="n"/>
      <c r="Q638" s="50" t="n">
        <v>315.7</v>
      </c>
      <c r="R638" s="50" t="n">
        <v>7.344</v>
      </c>
      <c r="S638" s="50" t="n"/>
    </row>
    <row r="639">
      <c r="A639" s="50" t="inlineStr">
        <is>
          <t>2003-10</t>
        </is>
      </c>
      <c r="B639" s="50" t="n">
        <v>135.1</v>
      </c>
      <c r="C639" s="50" t="n">
        <v>-10.352</v>
      </c>
      <c r="D639" s="50" t="n"/>
      <c r="E639" s="50" t="n">
        <v>135.1</v>
      </c>
      <c r="F639" s="50" t="n">
        <v>-10.352</v>
      </c>
      <c r="G639" s="50" t="n"/>
      <c r="H639" s="50" t="n">
        <v>196.7</v>
      </c>
      <c r="I639" s="50" t="n">
        <v>2.608</v>
      </c>
      <c r="J639" s="50" t="n"/>
      <c r="K639" s="50" t="n">
        <v>196.9</v>
      </c>
      <c r="L639" s="50" t="n">
        <v>2.659</v>
      </c>
      <c r="M639" s="50" t="n"/>
      <c r="N639" s="50" t="n">
        <v>320.4</v>
      </c>
      <c r="O639" s="50" t="n">
        <v>7.193</v>
      </c>
      <c r="P639" s="50" t="n"/>
      <c r="Q639" s="50" t="n">
        <v>319.8</v>
      </c>
      <c r="R639" s="50" t="n">
        <v>7.243</v>
      </c>
      <c r="S639" s="50" t="n"/>
    </row>
    <row r="640">
      <c r="A640" s="50" t="inlineStr">
        <is>
          <t>2003-11</t>
        </is>
      </c>
      <c r="B640" s="50" t="n">
        <v>132</v>
      </c>
      <c r="C640" s="50" t="n">
        <v>-11.29</v>
      </c>
      <c r="D640" s="50" t="n"/>
      <c r="E640" s="50" t="n">
        <v>132</v>
      </c>
      <c r="F640" s="50" t="n">
        <v>-11.29</v>
      </c>
      <c r="G640" s="50" t="n"/>
      <c r="H640" s="50" t="n">
        <v>196.9</v>
      </c>
      <c r="I640" s="50" t="n">
        <v>2.286</v>
      </c>
      <c r="J640" s="50" t="n"/>
      <c r="K640" s="50" t="n">
        <v>197.2</v>
      </c>
      <c r="L640" s="50" t="n">
        <v>2.282</v>
      </c>
      <c r="M640" s="50" t="n"/>
      <c r="N640" s="50" t="n">
        <v>317.2</v>
      </c>
      <c r="O640" s="50" t="n">
        <v>5.103</v>
      </c>
      <c r="P640" s="50" t="n"/>
      <c r="Q640" s="50" t="n">
        <v>318.9</v>
      </c>
      <c r="R640" s="50" t="n">
        <v>5.109</v>
      </c>
      <c r="S640" s="50" t="n"/>
    </row>
    <row r="641">
      <c r="A641" s="50" t="inlineStr">
        <is>
          <t>2003-12</t>
        </is>
      </c>
      <c r="B641" s="50" t="n">
        <v>131</v>
      </c>
      <c r="C641" s="50" t="n">
        <v>-11.785</v>
      </c>
      <c r="D641" s="50" t="n"/>
      <c r="E641" s="50" t="n">
        <v>131</v>
      </c>
      <c r="F641" s="50" t="n">
        <v>-11.785</v>
      </c>
      <c r="G641" s="50" t="n"/>
      <c r="H641" s="50" t="n">
        <v>198</v>
      </c>
      <c r="I641" s="50" t="n">
        <v>2.431</v>
      </c>
      <c r="J641" s="50" t="n"/>
      <c r="K641" s="50" t="n">
        <v>198</v>
      </c>
      <c r="L641" s="50" t="n">
        <v>2.431</v>
      </c>
      <c r="M641" s="50" t="n"/>
      <c r="N641" s="50" t="n">
        <v>317</v>
      </c>
      <c r="O641" s="50" t="n">
        <v>4.414</v>
      </c>
      <c r="P641" s="50" t="n"/>
      <c r="Q641" s="50" t="n">
        <v>318.4</v>
      </c>
      <c r="R641" s="50" t="n">
        <v>4.531</v>
      </c>
      <c r="S641" s="50" t="n"/>
    </row>
    <row r="642">
      <c r="A642" s="50" t="inlineStr">
        <is>
          <t>2004-01</t>
        </is>
      </c>
      <c r="B642" s="50" t="n">
        <v>131.8</v>
      </c>
      <c r="C642" s="50" t="n">
        <v>-11.126</v>
      </c>
      <c r="D642" s="50" t="n"/>
      <c r="E642" s="50" t="n">
        <v>130.8</v>
      </c>
      <c r="F642" s="50" t="n">
        <v>-11.8</v>
      </c>
      <c r="G642" s="50" t="n"/>
      <c r="H642" s="50" t="n">
        <v>198.2</v>
      </c>
      <c r="I642" s="50" t="n">
        <v>2.323</v>
      </c>
      <c r="J642" s="50" t="n"/>
      <c r="K642" s="50" t="n">
        <v>198.2</v>
      </c>
      <c r="L642" s="50" t="n">
        <v>2.323</v>
      </c>
      <c r="M642" s="50" t="n"/>
      <c r="N642" s="50" t="n">
        <v>318.1</v>
      </c>
      <c r="O642" s="50" t="n">
        <v>4.022</v>
      </c>
      <c r="P642" s="50" t="n"/>
      <c r="Q642" s="50" t="n">
        <v>318.7</v>
      </c>
      <c r="R642" s="50" t="n">
        <v>3.98</v>
      </c>
      <c r="S642" s="50" t="n"/>
    </row>
    <row r="643">
      <c r="A643" s="50" t="inlineStr">
        <is>
          <t>2004-02</t>
        </is>
      </c>
      <c r="B643" s="50" t="n">
        <v>131.8</v>
      </c>
      <c r="C643" s="50" t="n">
        <v>-11.186</v>
      </c>
      <c r="D643" s="50" t="n"/>
      <c r="E643" s="50" t="n">
        <v>131</v>
      </c>
      <c r="F643" s="50" t="n">
        <v>-11.725</v>
      </c>
      <c r="G643" s="50" t="n"/>
      <c r="H643" s="50" t="n">
        <v>198.2</v>
      </c>
      <c r="I643" s="50" t="n">
        <v>2.06</v>
      </c>
      <c r="J643" s="50" t="n"/>
      <c r="K643" s="50" t="n">
        <v>198.2</v>
      </c>
      <c r="L643" s="50" t="n">
        <v>1.902</v>
      </c>
      <c r="M643" s="50" t="n"/>
      <c r="N643" s="50" t="n">
        <v>319</v>
      </c>
      <c r="O643" s="50" t="n">
        <v>3.672</v>
      </c>
      <c r="P643" s="50" t="n"/>
      <c r="Q643" s="50" t="n">
        <v>320.2</v>
      </c>
      <c r="R643" s="50" t="n">
        <v>3.591</v>
      </c>
      <c r="S643" s="50" t="n"/>
    </row>
    <row r="644">
      <c r="A644" s="50" t="inlineStr">
        <is>
          <t>2004-03</t>
        </is>
      </c>
      <c r="B644" s="50" t="n">
        <v>131.8</v>
      </c>
      <c r="C644" s="50" t="n">
        <v>-11.246</v>
      </c>
      <c r="D644" s="50" t="n"/>
      <c r="E644" s="50" t="n">
        <v>131.2</v>
      </c>
      <c r="F644" s="50" t="n">
        <v>-11.65</v>
      </c>
      <c r="G644" s="50" t="n"/>
      <c r="H644" s="50" t="n">
        <v>198.5</v>
      </c>
      <c r="I644" s="50" t="n">
        <v>2.214</v>
      </c>
      <c r="J644" s="50" t="n"/>
      <c r="K644" s="50" t="n">
        <v>198.5</v>
      </c>
      <c r="L644" s="50" t="n">
        <v>2.162</v>
      </c>
      <c r="M644" s="50" t="n"/>
      <c r="N644" s="50" t="n">
        <v>320</v>
      </c>
      <c r="O644" s="50" t="n">
        <v>3.259</v>
      </c>
      <c r="P644" s="50" t="n"/>
      <c r="Q644" s="50" t="n">
        <v>320.8</v>
      </c>
      <c r="R644" s="50" t="n">
        <v>3.184</v>
      </c>
      <c r="S644" s="50" t="n"/>
    </row>
    <row r="645">
      <c r="A645" s="50" t="inlineStr">
        <is>
          <t>2004-04</t>
        </is>
      </c>
      <c r="B645" s="50" t="n">
        <v>131.6</v>
      </c>
      <c r="C645" s="50" t="n">
        <v>-11.321</v>
      </c>
      <c r="D645" s="50" t="n"/>
      <c r="E645" s="50" t="n">
        <v>131.3</v>
      </c>
      <c r="F645" s="50" t="n">
        <v>-11.523</v>
      </c>
      <c r="G645" s="50" t="n"/>
      <c r="H645" s="50" t="n">
        <v>198.6</v>
      </c>
      <c r="I645" s="50" t="n">
        <v>2.003</v>
      </c>
      <c r="J645" s="50" t="n"/>
      <c r="K645" s="50" t="n">
        <v>198.6</v>
      </c>
      <c r="L645" s="50" t="n">
        <v>2.055</v>
      </c>
      <c r="M645" s="50" t="n"/>
      <c r="N645" s="50" t="n">
        <v>320.5</v>
      </c>
      <c r="O645" s="50" t="n">
        <v>2.331</v>
      </c>
      <c r="P645" s="50" t="n"/>
      <c r="Q645" s="50" t="n">
        <v>320.9</v>
      </c>
      <c r="R645" s="50" t="n">
        <v>2.23</v>
      </c>
      <c r="S645" s="50" t="n"/>
    </row>
    <row r="646">
      <c r="A646" s="50" t="inlineStr">
        <is>
          <t>2004-05</t>
        </is>
      </c>
      <c r="B646" s="50" t="n">
        <v>131.8</v>
      </c>
      <c r="C646" s="50" t="n">
        <v>-10.886</v>
      </c>
      <c r="D646" s="50" t="n"/>
      <c r="E646" s="50" t="n">
        <v>131.8</v>
      </c>
      <c r="F646" s="50" t="n">
        <v>-10.886</v>
      </c>
      <c r="G646" s="50" t="n"/>
      <c r="H646" s="50" t="n">
        <v>199</v>
      </c>
      <c r="I646" s="50" t="n">
        <v>2.051</v>
      </c>
      <c r="J646" s="50" t="n"/>
      <c r="K646" s="50" t="n">
        <v>199</v>
      </c>
      <c r="L646" s="50" t="n">
        <v>2.104</v>
      </c>
      <c r="M646" s="50" t="n"/>
      <c r="N646" s="50" t="n">
        <v>321.9</v>
      </c>
      <c r="O646" s="50" t="n">
        <v>2.32</v>
      </c>
      <c r="P646" s="50" t="n"/>
      <c r="Q646" s="50" t="n">
        <v>322.1</v>
      </c>
      <c r="R646" s="50" t="n">
        <v>2.286</v>
      </c>
      <c r="S646" s="50" t="n"/>
    </row>
    <row r="647">
      <c r="A647" s="50" t="inlineStr">
        <is>
          <t>2004-06</t>
        </is>
      </c>
      <c r="B647" s="50" t="n">
        <v>129.9</v>
      </c>
      <c r="C647" s="50" t="n">
        <v>-11.872</v>
      </c>
      <c r="D647" s="50" t="n"/>
      <c r="E647" s="50" t="n">
        <v>130.6</v>
      </c>
      <c r="F647" s="50" t="n">
        <v>-11.398</v>
      </c>
      <c r="G647" s="50" t="n"/>
      <c r="H647" s="50" t="n">
        <v>199.7</v>
      </c>
      <c r="I647" s="50" t="n">
        <v>2.253</v>
      </c>
      <c r="J647" s="50" t="n"/>
      <c r="K647" s="50" t="n">
        <v>199.7</v>
      </c>
      <c r="L647" s="50" t="n">
        <v>2.358</v>
      </c>
      <c r="M647" s="50" t="n"/>
      <c r="N647" s="50" t="n">
        <v>323.2</v>
      </c>
      <c r="O647" s="50" t="n">
        <v>2.408</v>
      </c>
      <c r="P647" s="50" t="n"/>
      <c r="Q647" s="50" t="n">
        <v>322.9</v>
      </c>
      <c r="R647" s="50" t="n">
        <v>2.443</v>
      </c>
      <c r="S647" s="50" t="n"/>
    </row>
    <row r="648">
      <c r="A648" s="50" t="inlineStr">
        <is>
          <t>2004-07</t>
        </is>
      </c>
      <c r="B648" s="50" t="n">
        <v>130.9</v>
      </c>
      <c r="C648" s="50" t="n">
        <v>-10.158</v>
      </c>
      <c r="D648" s="50" t="n"/>
      <c r="E648" s="50" t="n">
        <v>132.1</v>
      </c>
      <c r="F648" s="50" t="n">
        <v>-9.334</v>
      </c>
      <c r="G648" s="50" t="n"/>
      <c r="H648" s="50" t="n">
        <v>200.3</v>
      </c>
      <c r="I648" s="50" t="n">
        <v>2.09</v>
      </c>
      <c r="J648" s="50" t="n"/>
      <c r="K648" s="50" t="n">
        <v>200.3</v>
      </c>
      <c r="L648" s="50" t="n">
        <v>2.194</v>
      </c>
      <c r="M648" s="50" t="n"/>
      <c r="N648" s="50" t="n">
        <v>324.1</v>
      </c>
      <c r="O648" s="50" t="n">
        <v>2.563</v>
      </c>
      <c r="P648" s="50" t="n"/>
      <c r="Q648" s="50" t="n">
        <v>323.2</v>
      </c>
      <c r="R648" s="50" t="n">
        <v>2.538</v>
      </c>
      <c r="S648" s="50" t="n"/>
    </row>
    <row r="649">
      <c r="A649" s="50" t="inlineStr">
        <is>
          <t>2004-08</t>
        </is>
      </c>
      <c r="B649" s="50" t="n">
        <v>132</v>
      </c>
      <c r="C649" s="50" t="n">
        <v>-7.886</v>
      </c>
      <c r="D649" s="50" t="n"/>
      <c r="E649" s="50" t="n">
        <v>133.8</v>
      </c>
      <c r="F649" s="50" t="n">
        <v>-6.629</v>
      </c>
      <c r="G649" s="50" t="n"/>
      <c r="H649" s="50" t="n">
        <v>200.8</v>
      </c>
      <c r="I649" s="50" t="n">
        <v>2.501</v>
      </c>
      <c r="J649" s="50" t="n"/>
      <c r="K649" s="50" t="n">
        <v>200.8</v>
      </c>
      <c r="L649" s="50" t="n">
        <v>2.606</v>
      </c>
      <c r="M649" s="50" t="n"/>
      <c r="N649" s="50" t="n">
        <v>324.9</v>
      </c>
      <c r="O649" s="50" t="n">
        <v>2.492</v>
      </c>
      <c r="P649" s="50" t="n"/>
      <c r="Q649" s="50" t="n">
        <v>322.6</v>
      </c>
      <c r="R649" s="50" t="n">
        <v>2.478</v>
      </c>
      <c r="S649" s="50" t="n"/>
    </row>
    <row r="650">
      <c r="A650" s="50" t="inlineStr">
        <is>
          <t>2004-09</t>
        </is>
      </c>
      <c r="B650" s="50" t="n">
        <v>135.5</v>
      </c>
      <c r="C650" s="50" t="n">
        <v>-2.518</v>
      </c>
      <c r="D650" s="50" t="n"/>
      <c r="E650" s="50" t="n">
        <v>136.5</v>
      </c>
      <c r="F650" s="50" t="n">
        <v>-1.799</v>
      </c>
      <c r="G650" s="50" t="n"/>
      <c r="H650" s="50" t="n">
        <v>200.7</v>
      </c>
      <c r="I650" s="50" t="n">
        <v>2.241</v>
      </c>
      <c r="J650" s="50" t="n"/>
      <c r="K650" s="50" t="n">
        <v>200.7</v>
      </c>
      <c r="L650" s="50" t="n">
        <v>2.294</v>
      </c>
      <c r="M650" s="50" t="n"/>
      <c r="N650" s="50" t="n">
        <v>325.4</v>
      </c>
      <c r="O650" s="50" t="n">
        <v>2.166</v>
      </c>
      <c r="P650" s="50" t="n"/>
      <c r="Q650" s="50" t="n">
        <v>322.8</v>
      </c>
      <c r="R650" s="50" t="n">
        <v>2.249</v>
      </c>
      <c r="S650" s="50" t="n"/>
    </row>
    <row r="651">
      <c r="A651" s="50" t="inlineStr">
        <is>
          <t>2004-10</t>
        </is>
      </c>
      <c r="B651" s="50" t="n">
        <v>136.7</v>
      </c>
      <c r="C651" s="50" t="n">
        <v>1.184</v>
      </c>
      <c r="D651" s="50" t="n"/>
      <c r="E651" s="50" t="n">
        <v>136.8</v>
      </c>
      <c r="F651" s="50" t="n">
        <v>1.258</v>
      </c>
      <c r="G651" s="50" t="n"/>
      <c r="H651" s="50" t="n">
        <v>201.7</v>
      </c>
      <c r="I651" s="50" t="n">
        <v>2.542</v>
      </c>
      <c r="J651" s="50" t="n"/>
      <c r="K651" s="50" t="n">
        <v>201.7</v>
      </c>
      <c r="L651" s="50" t="n">
        <v>2.438</v>
      </c>
      <c r="M651" s="50" t="n"/>
      <c r="N651" s="50" t="n">
        <v>326.5</v>
      </c>
      <c r="O651" s="50" t="n">
        <v>1.904</v>
      </c>
      <c r="P651" s="50" t="n"/>
      <c r="Q651" s="50" t="n">
        <v>326.1</v>
      </c>
      <c r="R651" s="50" t="n">
        <v>1.97</v>
      </c>
      <c r="S651" s="50" t="n"/>
    </row>
    <row r="652">
      <c r="A652" s="50" t="inlineStr">
        <is>
          <t>2004-11</t>
        </is>
      </c>
      <c r="B652" s="50" t="n">
        <v>137.7</v>
      </c>
      <c r="C652" s="50" t="n">
        <v>4.318</v>
      </c>
      <c r="D652" s="50" t="n"/>
      <c r="E652" s="50" t="n">
        <v>136.7</v>
      </c>
      <c r="F652" s="50" t="n">
        <v>3.561</v>
      </c>
      <c r="G652" s="50" t="n"/>
      <c r="H652" s="50" t="n">
        <v>202.9</v>
      </c>
      <c r="I652" s="50" t="n">
        <v>3.047</v>
      </c>
      <c r="J652" s="50" t="n"/>
      <c r="K652" s="50" t="n">
        <v>202.9</v>
      </c>
      <c r="L652" s="50" t="n">
        <v>2.89</v>
      </c>
      <c r="M652" s="50" t="n"/>
      <c r="N652" s="50" t="n">
        <v>326.9</v>
      </c>
      <c r="O652" s="50" t="n">
        <v>3.058</v>
      </c>
      <c r="P652" s="50" t="n"/>
      <c r="Q652" s="50" t="n">
        <v>328.7</v>
      </c>
      <c r="R652" s="50" t="n">
        <v>3.073</v>
      </c>
      <c r="S652" s="50" t="n"/>
    </row>
    <row r="653">
      <c r="A653" s="50" t="inlineStr">
        <is>
          <t>2004-12</t>
        </is>
      </c>
      <c r="B653" s="50" t="n">
        <v>138.4</v>
      </c>
      <c r="C653" s="50" t="n">
        <v>5.649</v>
      </c>
      <c r="D653" s="50" t="n"/>
      <c r="E653" s="50" t="n">
        <v>137.3</v>
      </c>
      <c r="F653" s="50" t="n">
        <v>4.809</v>
      </c>
      <c r="G653" s="50" t="n"/>
      <c r="H653" s="50" t="n">
        <v>203.3</v>
      </c>
      <c r="I653" s="50" t="n">
        <v>2.677</v>
      </c>
      <c r="J653" s="50" t="n"/>
      <c r="K653" s="50" t="n">
        <v>203.3</v>
      </c>
      <c r="L653" s="50" t="n">
        <v>2.677</v>
      </c>
      <c r="M653" s="50" t="n"/>
      <c r="N653" s="50" t="n">
        <v>327.7</v>
      </c>
      <c r="O653" s="50" t="n">
        <v>3.375</v>
      </c>
      <c r="P653" s="50" t="n"/>
      <c r="Q653" s="50" t="n">
        <v>329.3</v>
      </c>
      <c r="R653" s="50" t="n">
        <v>3.423</v>
      </c>
      <c r="S653" s="50" t="n"/>
    </row>
    <row r="654">
      <c r="A654" s="50" t="inlineStr">
        <is>
          <t>2005-01</t>
        </is>
      </c>
      <c r="B654" s="50" t="n">
        <v>138.6</v>
      </c>
      <c r="C654" s="50" t="n">
        <v>5.159</v>
      </c>
      <c r="D654" s="50" t="n"/>
      <c r="E654" s="50" t="n">
        <v>137.5</v>
      </c>
      <c r="F654" s="50" t="n">
        <v>5.122</v>
      </c>
      <c r="G654" s="50" t="n"/>
      <c r="H654" s="50" t="n">
        <v>204</v>
      </c>
      <c r="I654" s="50" t="n">
        <v>2.926</v>
      </c>
      <c r="J654" s="50" t="n"/>
      <c r="K654" s="50" t="n">
        <v>204</v>
      </c>
      <c r="L654" s="50" t="n">
        <v>2.926</v>
      </c>
      <c r="M654" s="50" t="n"/>
      <c r="N654" s="50" t="n">
        <v>328.9</v>
      </c>
      <c r="O654" s="50" t="n">
        <v>3.395</v>
      </c>
      <c r="P654" s="50" t="n"/>
      <c r="Q654" s="50" t="n">
        <v>329.9</v>
      </c>
      <c r="R654" s="50" t="n">
        <v>3.514</v>
      </c>
      <c r="S654" s="50" t="n"/>
    </row>
    <row r="655">
      <c r="A655" s="50" t="inlineStr">
        <is>
          <t>2005-02</t>
        </is>
      </c>
      <c r="B655" s="50" t="n">
        <v>138.4</v>
      </c>
      <c r="C655" s="50" t="n">
        <v>5.008</v>
      </c>
      <c r="D655" s="50" t="n"/>
      <c r="E655" s="50" t="n">
        <v>137.6</v>
      </c>
      <c r="F655" s="50" t="n">
        <v>5.038</v>
      </c>
      <c r="G655" s="50" t="n"/>
      <c r="H655" s="50" t="n">
        <v>203.9</v>
      </c>
      <c r="I655" s="50" t="n">
        <v>2.876</v>
      </c>
      <c r="J655" s="50" t="n"/>
      <c r="K655" s="50" t="n">
        <v>203.9</v>
      </c>
      <c r="L655" s="50" t="n">
        <v>2.876</v>
      </c>
      <c r="M655" s="50" t="n"/>
      <c r="N655" s="50" t="n">
        <v>329.5</v>
      </c>
      <c r="O655" s="50" t="n">
        <v>3.292</v>
      </c>
      <c r="P655" s="50" t="n"/>
      <c r="Q655" s="50" t="n">
        <v>330.8</v>
      </c>
      <c r="R655" s="50" t="n">
        <v>3.31</v>
      </c>
      <c r="S655" s="50" t="n"/>
    </row>
    <row r="656">
      <c r="A656" s="50" t="inlineStr">
        <is>
          <t>2005-03</t>
        </is>
      </c>
      <c r="B656" s="50" t="n">
        <v>138.3</v>
      </c>
      <c r="C656" s="50" t="n">
        <v>4.932</v>
      </c>
      <c r="D656" s="50" t="n"/>
      <c r="E656" s="50" t="n">
        <v>137.7</v>
      </c>
      <c r="F656" s="50" t="n">
        <v>4.954</v>
      </c>
      <c r="G656" s="50" t="n"/>
      <c r="H656" s="50" t="n">
        <v>204.7</v>
      </c>
      <c r="I656" s="50" t="n">
        <v>3.123</v>
      </c>
      <c r="J656" s="50" t="n"/>
      <c r="K656" s="50" t="n">
        <v>204.7</v>
      </c>
      <c r="L656" s="50" t="n">
        <v>3.123</v>
      </c>
      <c r="M656" s="50" t="n"/>
      <c r="N656" s="50" t="n">
        <v>329.5</v>
      </c>
      <c r="O656" s="50" t="n">
        <v>2.969</v>
      </c>
      <c r="P656" s="50" t="n"/>
      <c r="Q656" s="50" t="n">
        <v>330.1</v>
      </c>
      <c r="R656" s="50" t="n">
        <v>2.899</v>
      </c>
      <c r="S656" s="50" t="n"/>
    </row>
    <row r="657">
      <c r="A657" s="50" t="inlineStr">
        <is>
          <t>2005-04</t>
        </is>
      </c>
      <c r="B657" s="50" t="n">
        <v>138.4</v>
      </c>
      <c r="C657" s="50" t="n">
        <v>5.167</v>
      </c>
      <c r="D657" s="50" t="n"/>
      <c r="E657" s="50" t="n">
        <v>138.1</v>
      </c>
      <c r="F657" s="50" t="n">
        <v>5.179</v>
      </c>
      <c r="G657" s="50" t="n"/>
      <c r="H657" s="50" t="n">
        <v>205</v>
      </c>
      <c r="I657" s="50" t="n">
        <v>3.223</v>
      </c>
      <c r="J657" s="50" t="n"/>
      <c r="K657" s="50" t="n">
        <v>205</v>
      </c>
      <c r="L657" s="50" t="n">
        <v>3.223</v>
      </c>
      <c r="M657" s="50" t="n"/>
      <c r="N657" s="50" t="n">
        <v>329.7</v>
      </c>
      <c r="O657" s="50" t="n">
        <v>2.871</v>
      </c>
      <c r="P657" s="50" t="n"/>
      <c r="Q657" s="50" t="n">
        <v>329.8</v>
      </c>
      <c r="R657" s="50" t="n">
        <v>2.773</v>
      </c>
      <c r="S657" s="50" t="n"/>
    </row>
    <row r="658">
      <c r="A658" s="50" t="inlineStr">
        <is>
          <t>2005-05</t>
        </is>
      </c>
      <c r="B658" s="50" t="n">
        <v>138.8</v>
      </c>
      <c r="C658" s="50" t="n">
        <v>5.311</v>
      </c>
      <c r="D658" s="50" t="n"/>
      <c r="E658" s="50" t="n">
        <v>138.8</v>
      </c>
      <c r="F658" s="50" t="n">
        <v>5.311</v>
      </c>
      <c r="G658" s="50" t="n"/>
      <c r="H658" s="50" t="n">
        <v>205.6</v>
      </c>
      <c r="I658" s="50" t="n">
        <v>3.317</v>
      </c>
      <c r="J658" s="50" t="n"/>
      <c r="K658" s="50" t="n">
        <v>205.6</v>
      </c>
      <c r="L658" s="50" t="n">
        <v>3.317</v>
      </c>
      <c r="M658" s="50" t="n"/>
      <c r="N658" s="50" t="n">
        <v>329.6</v>
      </c>
      <c r="O658" s="50" t="n">
        <v>2.392</v>
      </c>
      <c r="P658" s="50" t="n"/>
      <c r="Q658" s="50" t="n">
        <v>329.5</v>
      </c>
      <c r="R658" s="50" t="n">
        <v>2.297</v>
      </c>
      <c r="S658" s="50" t="n"/>
    </row>
    <row r="659">
      <c r="A659" s="50" t="inlineStr">
        <is>
          <t>2005-06</t>
        </is>
      </c>
      <c r="B659" s="50" t="n">
        <v>139.3</v>
      </c>
      <c r="C659" s="50" t="n">
        <v>7.236</v>
      </c>
      <c r="D659" s="50" t="n"/>
      <c r="E659" s="50" t="n">
        <v>139.9</v>
      </c>
      <c r="F659" s="50" t="n">
        <v>7.121</v>
      </c>
      <c r="G659" s="50" t="n"/>
      <c r="H659" s="50" t="n">
        <v>206.1</v>
      </c>
      <c r="I659" s="50" t="n">
        <v>3.205</v>
      </c>
      <c r="J659" s="50" t="n"/>
      <c r="K659" s="50" t="n">
        <v>206.1</v>
      </c>
      <c r="L659" s="50" t="n">
        <v>3.205</v>
      </c>
      <c r="M659" s="50" t="n"/>
      <c r="N659" s="50" t="n">
        <v>330.2</v>
      </c>
      <c r="O659" s="50" t="n">
        <v>2.166</v>
      </c>
      <c r="P659" s="50" t="n"/>
      <c r="Q659" s="50" t="n">
        <v>329.7</v>
      </c>
      <c r="R659" s="50" t="n">
        <v>2.106</v>
      </c>
      <c r="S659" s="50" t="n"/>
    </row>
    <row r="660">
      <c r="A660" s="50" t="inlineStr">
        <is>
          <t>2005-07</t>
        </is>
      </c>
      <c r="B660" s="50" t="n">
        <v>139.9</v>
      </c>
      <c r="C660" s="50" t="n">
        <v>6.875</v>
      </c>
      <c r="D660" s="50" t="n"/>
      <c r="E660" s="50" t="n">
        <v>141</v>
      </c>
      <c r="F660" s="50" t="n">
        <v>6.737</v>
      </c>
      <c r="G660" s="50" t="n"/>
      <c r="H660" s="50" t="n">
        <v>206.7</v>
      </c>
      <c r="I660" s="50" t="n">
        <v>3.195</v>
      </c>
      <c r="J660" s="50" t="n"/>
      <c r="K660" s="50" t="n">
        <v>206.7</v>
      </c>
      <c r="L660" s="50" t="n">
        <v>3.195</v>
      </c>
      <c r="M660" s="50" t="n"/>
      <c r="N660" s="50" t="n">
        <v>330.5</v>
      </c>
      <c r="O660" s="50" t="n">
        <v>1.975</v>
      </c>
      <c r="P660" s="50" t="n"/>
      <c r="Q660" s="50" t="n">
        <v>329.5</v>
      </c>
      <c r="R660" s="50" t="n">
        <v>1.949</v>
      </c>
      <c r="S660" s="50" t="n"/>
    </row>
    <row r="661">
      <c r="A661" s="50" t="inlineStr">
        <is>
          <t>2005-08</t>
        </is>
      </c>
      <c r="B661" s="50" t="n">
        <v>140.1</v>
      </c>
      <c r="C661" s="50" t="n">
        <v>6.136</v>
      </c>
      <c r="D661" s="50" t="n"/>
      <c r="E661" s="50" t="n">
        <v>142</v>
      </c>
      <c r="F661" s="50" t="n">
        <v>6.129</v>
      </c>
      <c r="G661" s="50" t="n"/>
      <c r="H661" s="50" t="n">
        <v>207.3</v>
      </c>
      <c r="I661" s="50" t="n">
        <v>3.237</v>
      </c>
      <c r="J661" s="50" t="n"/>
      <c r="K661" s="50" t="n">
        <v>207.3</v>
      </c>
      <c r="L661" s="50" t="n">
        <v>3.237</v>
      </c>
      <c r="M661" s="50" t="n"/>
      <c r="N661" s="50" t="n">
        <v>331.1</v>
      </c>
      <c r="O661" s="50" t="n">
        <v>1.908</v>
      </c>
      <c r="P661" s="50" t="n"/>
      <c r="Q661" s="50" t="n">
        <v>329.1</v>
      </c>
      <c r="R661" s="50" t="n">
        <v>2.015</v>
      </c>
      <c r="S661" s="50" t="n"/>
    </row>
    <row r="662">
      <c r="A662" s="50" t="inlineStr">
        <is>
          <t>2005-09</t>
        </is>
      </c>
      <c r="B662" s="50" t="n">
        <v>140.3</v>
      </c>
      <c r="C662" s="50" t="n">
        <v>3.542</v>
      </c>
      <c r="D662" s="50" t="n"/>
      <c r="E662" s="50" t="n">
        <v>141.5</v>
      </c>
      <c r="F662" s="50" t="n">
        <v>3.663</v>
      </c>
      <c r="G662" s="50" t="n"/>
      <c r="H662" s="50" t="n">
        <v>208.7</v>
      </c>
      <c r="I662" s="50" t="n">
        <v>3.986</v>
      </c>
      <c r="J662" s="50" t="n"/>
      <c r="K662" s="50" t="n">
        <v>208.7</v>
      </c>
      <c r="L662" s="50" t="n">
        <v>3.986</v>
      </c>
      <c r="M662" s="50" t="n"/>
      <c r="N662" s="50" t="n">
        <v>329.6</v>
      </c>
      <c r="O662" s="50" t="n">
        <v>1.291</v>
      </c>
      <c r="P662" s="50" t="n"/>
      <c r="Q662" s="50" t="n">
        <v>327.1</v>
      </c>
      <c r="R662" s="50" t="n">
        <v>1.332</v>
      </c>
      <c r="S662" s="50" t="n"/>
    </row>
    <row r="663">
      <c r="A663" s="50" t="inlineStr">
        <is>
          <t>2005-10</t>
        </is>
      </c>
      <c r="B663" s="50" t="n">
        <v>140.2</v>
      </c>
      <c r="C663" s="50" t="n">
        <v>2.56</v>
      </c>
      <c r="D663" s="50" t="n"/>
      <c r="E663" s="50" t="n">
        <v>140.6</v>
      </c>
      <c r="F663" s="50" t="n">
        <v>2.778</v>
      </c>
      <c r="G663" s="50" t="n"/>
      <c r="H663" s="50" t="n">
        <v>209.8</v>
      </c>
      <c r="I663" s="50" t="n">
        <v>4.016</v>
      </c>
      <c r="J663" s="50" t="n"/>
      <c r="K663" s="50" t="n">
        <v>209.8</v>
      </c>
      <c r="L663" s="50" t="n">
        <v>4.016</v>
      </c>
      <c r="M663" s="50" t="n"/>
      <c r="N663" s="50" t="n">
        <v>328.6</v>
      </c>
      <c r="O663" s="50" t="n">
        <v>0.643</v>
      </c>
      <c r="P663" s="50" t="n"/>
      <c r="Q663" s="50" t="n">
        <v>328.4</v>
      </c>
      <c r="R663" s="50" t="n">
        <v>0.705</v>
      </c>
      <c r="S663" s="50" t="n"/>
    </row>
    <row r="664">
      <c r="A664" s="50" t="inlineStr">
        <is>
          <t>2005-11</t>
        </is>
      </c>
      <c r="B664" s="50" t="n">
        <v>140.3</v>
      </c>
      <c r="C664" s="50" t="n">
        <v>1.888</v>
      </c>
      <c r="D664" s="50" t="n"/>
      <c r="E664" s="50" t="n">
        <v>139.4</v>
      </c>
      <c r="F664" s="50" t="n">
        <v>1.975</v>
      </c>
      <c r="G664" s="50" t="n"/>
      <c r="H664" s="50" t="n">
        <v>210.5</v>
      </c>
      <c r="I664" s="50" t="n">
        <v>3.746</v>
      </c>
      <c r="J664" s="50" t="n"/>
      <c r="K664" s="50" t="n">
        <v>210.5</v>
      </c>
      <c r="L664" s="50" t="n">
        <v>3.746</v>
      </c>
      <c r="M664" s="50" t="n"/>
      <c r="N664" s="50" t="n">
        <v>329.9</v>
      </c>
      <c r="O664" s="50" t="n">
        <v>0.918</v>
      </c>
      <c r="P664" s="50" t="n"/>
      <c r="Q664" s="50" t="n">
        <v>331.8</v>
      </c>
      <c r="R664" s="50" t="n">
        <v>0.9429999999999999</v>
      </c>
      <c r="S664" s="50" t="n"/>
    </row>
    <row r="665">
      <c r="A665" s="50" t="inlineStr">
        <is>
          <t>2005-12</t>
        </is>
      </c>
      <c r="B665" s="50" t="n">
        <v>140.2</v>
      </c>
      <c r="C665" s="50" t="n">
        <v>1.301</v>
      </c>
      <c r="D665" s="50" t="n"/>
      <c r="E665" s="50" t="n">
        <v>139.2</v>
      </c>
      <c r="F665" s="50" t="n">
        <v>1.384</v>
      </c>
      <c r="G665" s="50" t="n"/>
      <c r="H665" s="50" t="n">
        <v>210.7</v>
      </c>
      <c r="I665" s="50" t="n">
        <v>3.64</v>
      </c>
      <c r="J665" s="50" t="n"/>
      <c r="K665" s="50" t="n">
        <v>210.7</v>
      </c>
      <c r="L665" s="50" t="n">
        <v>3.64</v>
      </c>
      <c r="M665" s="50" t="n"/>
      <c r="N665" s="50" t="n">
        <v>330.7</v>
      </c>
      <c r="O665" s="50" t="n">
        <v>0.915</v>
      </c>
      <c r="P665" s="50" t="n"/>
      <c r="Q665" s="50" t="n">
        <v>332.5</v>
      </c>
      <c r="R665" s="50" t="n">
        <v>0.972</v>
      </c>
      <c r="S665" s="50" t="n"/>
    </row>
    <row r="666">
      <c r="A666" s="50" t="inlineStr">
        <is>
          <t>2006-01</t>
        </is>
      </c>
      <c r="B666" s="50" t="n">
        <v>140.3</v>
      </c>
      <c r="C666" s="50" t="n">
        <v>1.227</v>
      </c>
      <c r="D666" s="50" t="n"/>
      <c r="E666" s="50" t="n">
        <v>139.3</v>
      </c>
      <c r="F666" s="50" t="n">
        <v>1.309</v>
      </c>
      <c r="G666" s="50" t="n"/>
      <c r="H666" s="50" t="n">
        <v>211.2</v>
      </c>
      <c r="I666" s="50" t="n">
        <v>3.529</v>
      </c>
      <c r="J666" s="50" t="n"/>
      <c r="K666" s="50" t="n">
        <v>211.2</v>
      </c>
      <c r="L666" s="50" t="n">
        <v>3.529</v>
      </c>
      <c r="M666" s="50" t="n"/>
      <c r="N666" s="50" t="n">
        <v>330.7</v>
      </c>
      <c r="O666" s="50" t="n">
        <v>0.547</v>
      </c>
      <c r="P666" s="50" t="n"/>
      <c r="Q666" s="50" t="n">
        <v>331.9</v>
      </c>
      <c r="R666" s="50" t="n">
        <v>0.606</v>
      </c>
      <c r="S666" s="50" t="n"/>
    </row>
    <row r="667">
      <c r="A667" s="50" t="inlineStr">
        <is>
          <t>2006-02</t>
        </is>
      </c>
      <c r="B667" s="50" t="n">
        <v>140.4</v>
      </c>
      <c r="C667" s="50" t="n">
        <v>1.445</v>
      </c>
      <c r="D667" s="50" t="n"/>
      <c r="E667" s="50" t="n">
        <v>139.5</v>
      </c>
      <c r="F667" s="50" t="n">
        <v>1.381</v>
      </c>
      <c r="G667" s="50" t="n"/>
      <c r="H667" s="50" t="n">
        <v>212.9</v>
      </c>
      <c r="I667" s="50" t="n">
        <v>4.414</v>
      </c>
      <c r="J667" s="50" t="n"/>
      <c r="K667" s="50" t="n">
        <v>212.9</v>
      </c>
      <c r="L667" s="50" t="n">
        <v>4.414</v>
      </c>
      <c r="M667" s="50" t="n"/>
      <c r="N667" s="50" t="n">
        <v>330.4</v>
      </c>
      <c r="O667" s="50" t="n">
        <v>0.273</v>
      </c>
      <c r="P667" s="50" t="n"/>
      <c r="Q667" s="50" t="n">
        <v>331.7</v>
      </c>
      <c r="R667" s="50" t="n">
        <v>0.272</v>
      </c>
      <c r="S667" s="50" t="n"/>
    </row>
    <row r="668">
      <c r="A668" s="50" t="inlineStr">
        <is>
          <t>2006-03</t>
        </is>
      </c>
      <c r="B668" s="50" t="n">
        <v>140.8</v>
      </c>
      <c r="C668" s="50" t="n">
        <v>1.808</v>
      </c>
      <c r="D668" s="50" t="n"/>
      <c r="E668" s="50" t="n">
        <v>140</v>
      </c>
      <c r="F668" s="50" t="n">
        <v>1.67</v>
      </c>
      <c r="G668" s="50" t="n"/>
      <c r="H668" s="50" t="n">
        <v>213.4</v>
      </c>
      <c r="I668" s="50" t="n">
        <v>4.25</v>
      </c>
      <c r="J668" s="50" t="n"/>
      <c r="K668" s="50" t="n">
        <v>213.4</v>
      </c>
      <c r="L668" s="50" t="n">
        <v>4.25</v>
      </c>
      <c r="M668" s="50" t="n"/>
      <c r="N668" s="50" t="n">
        <v>331</v>
      </c>
      <c r="O668" s="50" t="n">
        <v>0.455</v>
      </c>
      <c r="P668" s="50" t="n"/>
      <c r="Q668" s="50" t="n">
        <v>331.3</v>
      </c>
      <c r="R668" s="50" t="n">
        <v>0.364</v>
      </c>
      <c r="S668" s="50" t="n"/>
    </row>
    <row r="669">
      <c r="A669" s="50" t="inlineStr">
        <is>
          <t>2006-04</t>
        </is>
      </c>
      <c r="B669" s="50" t="n">
        <v>141</v>
      </c>
      <c r="C669" s="50" t="n">
        <v>1.879</v>
      </c>
      <c r="D669" s="50" t="n"/>
      <c r="E669" s="50" t="n">
        <v>140.4</v>
      </c>
      <c r="F669" s="50" t="n">
        <v>1.665</v>
      </c>
      <c r="G669" s="50" t="n"/>
      <c r="H669" s="50" t="n">
        <v>213.9</v>
      </c>
      <c r="I669" s="50" t="n">
        <v>4.341</v>
      </c>
      <c r="J669" s="50" t="n"/>
      <c r="K669" s="50" t="n">
        <v>213.9</v>
      </c>
      <c r="L669" s="50" t="n">
        <v>4.341</v>
      </c>
      <c r="M669" s="50" t="n"/>
      <c r="N669" s="50" t="n">
        <v>331.1</v>
      </c>
      <c r="O669" s="50" t="n">
        <v>0.425</v>
      </c>
      <c r="P669" s="50" t="n"/>
      <c r="Q669" s="50" t="n">
        <v>330.8</v>
      </c>
      <c r="R669" s="50" t="n">
        <v>0.303</v>
      </c>
      <c r="S669" s="50" t="n"/>
    </row>
    <row r="670">
      <c r="A670" s="50" t="inlineStr">
        <is>
          <t>2006-05</t>
        </is>
      </c>
      <c r="B670" s="50" t="n">
        <v>141.1</v>
      </c>
      <c r="C670" s="50" t="n">
        <v>1.657</v>
      </c>
      <c r="D670" s="50" t="n"/>
      <c r="E670" s="50" t="n">
        <v>140.9</v>
      </c>
      <c r="F670" s="50" t="n">
        <v>1.513</v>
      </c>
      <c r="G670" s="50" t="n"/>
      <c r="H670" s="50" t="n">
        <v>214.9</v>
      </c>
      <c r="I670" s="50" t="n">
        <v>4.523</v>
      </c>
      <c r="J670" s="50" t="n"/>
      <c r="K670" s="50" t="n">
        <v>214.9</v>
      </c>
      <c r="L670" s="50" t="n">
        <v>4.523</v>
      </c>
      <c r="M670" s="50" t="n"/>
      <c r="N670" s="50" t="n">
        <v>331.5</v>
      </c>
      <c r="O670" s="50" t="n">
        <v>0.576</v>
      </c>
      <c r="P670" s="50" t="n"/>
      <c r="Q670" s="50" t="n">
        <v>331</v>
      </c>
      <c r="R670" s="50" t="n">
        <v>0.455</v>
      </c>
      <c r="S670" s="50" t="n"/>
    </row>
    <row r="671">
      <c r="A671" s="50" t="inlineStr">
        <is>
          <t>2006-06</t>
        </is>
      </c>
      <c r="B671" s="50" t="n">
        <v>141</v>
      </c>
      <c r="C671" s="50" t="n">
        <v>1.22</v>
      </c>
      <c r="D671" s="50" t="n"/>
      <c r="E671" s="50" t="n">
        <v>141.5</v>
      </c>
      <c r="F671" s="50" t="n">
        <v>1.144</v>
      </c>
      <c r="G671" s="50" t="n"/>
      <c r="H671" s="50" t="n">
        <v>215.5</v>
      </c>
      <c r="I671" s="50" t="n">
        <v>4.561</v>
      </c>
      <c r="J671" s="50" t="n"/>
      <c r="K671" s="50" t="n">
        <v>215.5</v>
      </c>
      <c r="L671" s="50" t="n">
        <v>4.561</v>
      </c>
      <c r="M671" s="50" t="n"/>
      <c r="N671" s="50" t="n">
        <v>331</v>
      </c>
      <c r="O671" s="50" t="n">
        <v>0.242</v>
      </c>
      <c r="P671" s="50" t="n"/>
      <c r="Q671" s="50" t="n">
        <v>330.2</v>
      </c>
      <c r="R671" s="50" t="n">
        <v>0.152</v>
      </c>
      <c r="S671" s="50" t="n"/>
    </row>
    <row r="672">
      <c r="A672" s="50" t="inlineStr">
        <is>
          <t>2006-07</t>
        </is>
      </c>
      <c r="B672" s="50" t="n">
        <v>140.7</v>
      </c>
      <c r="C672" s="50" t="n">
        <v>0.572</v>
      </c>
      <c r="D672" s="50" t="n"/>
      <c r="E672" s="50" t="n">
        <v>142.1</v>
      </c>
      <c r="F672" s="50" t="n">
        <v>0.78</v>
      </c>
      <c r="G672" s="50" t="n"/>
      <c r="H672" s="50" t="n">
        <v>216.7</v>
      </c>
      <c r="I672" s="50" t="n">
        <v>4.838</v>
      </c>
      <c r="J672" s="50" t="n"/>
      <c r="K672" s="50" t="n">
        <v>216.7</v>
      </c>
      <c r="L672" s="50" t="n">
        <v>4.838</v>
      </c>
      <c r="M672" s="50" t="n"/>
      <c r="N672" s="50" t="n">
        <v>331</v>
      </c>
      <c r="O672" s="50" t="n">
        <v>0.151</v>
      </c>
      <c r="P672" s="50" t="n"/>
      <c r="Q672" s="50" t="n">
        <v>329.8</v>
      </c>
      <c r="R672" s="50" t="n">
        <v>0.091</v>
      </c>
      <c r="S672" s="50" t="n"/>
    </row>
    <row r="673">
      <c r="A673" s="50" t="inlineStr">
        <is>
          <t>2006-08</t>
        </is>
      </c>
      <c r="B673" s="50" t="n">
        <v>140.4</v>
      </c>
      <c r="C673" s="50" t="n">
        <v>0.214</v>
      </c>
      <c r="D673" s="50" t="n"/>
      <c r="E673" s="50" t="n">
        <v>142.4</v>
      </c>
      <c r="F673" s="50" t="n">
        <v>0.282</v>
      </c>
      <c r="G673" s="50" t="n"/>
      <c r="H673" s="50" t="n">
        <v>216.2</v>
      </c>
      <c r="I673" s="50" t="n">
        <v>4.293</v>
      </c>
      <c r="J673" s="50" t="n"/>
      <c r="K673" s="50" t="n">
        <v>216.2</v>
      </c>
      <c r="L673" s="50" t="n">
        <v>4.293</v>
      </c>
      <c r="M673" s="50" t="n"/>
      <c r="N673" s="50" t="n">
        <v>331.4</v>
      </c>
      <c r="O673" s="50" t="n">
        <v>0.091</v>
      </c>
      <c r="P673" s="50" t="n"/>
      <c r="Q673" s="50" t="n">
        <v>329.7</v>
      </c>
      <c r="R673" s="50" t="n">
        <v>0.182</v>
      </c>
      <c r="S673" s="50" t="n"/>
    </row>
    <row r="674">
      <c r="A674" s="50" t="inlineStr">
        <is>
          <t>2006-09</t>
        </is>
      </c>
      <c r="B674" s="50" t="n">
        <v>139.9</v>
      </c>
      <c r="C674" s="50" t="n">
        <v>-0.285</v>
      </c>
      <c r="D674" s="50" t="n"/>
      <c r="E674" s="50" t="n">
        <v>141</v>
      </c>
      <c r="F674" s="50" t="n">
        <v>-0.353</v>
      </c>
      <c r="G674" s="50" t="n"/>
      <c r="H674" s="50" t="n">
        <v>217</v>
      </c>
      <c r="I674" s="50" t="n">
        <v>3.977</v>
      </c>
      <c r="J674" s="50" t="n"/>
      <c r="K674" s="50" t="n">
        <v>217</v>
      </c>
      <c r="L674" s="50" t="n">
        <v>3.977</v>
      </c>
      <c r="M674" s="50" t="n"/>
      <c r="N674" s="50" t="n">
        <v>332.7</v>
      </c>
      <c r="O674" s="50" t="n">
        <v>0.9409999999999999</v>
      </c>
      <c r="P674" s="50" t="n"/>
      <c r="Q674" s="50" t="n">
        <v>330.6</v>
      </c>
      <c r="R674" s="50" t="n">
        <v>1.07</v>
      </c>
      <c r="S674" s="50" t="n"/>
    </row>
    <row r="675">
      <c r="A675" s="50" t="inlineStr">
        <is>
          <t>2006-10</t>
        </is>
      </c>
      <c r="B675" s="50" t="n">
        <v>139</v>
      </c>
      <c r="C675" s="50" t="n">
        <v>-0.856</v>
      </c>
      <c r="D675" s="50" t="n"/>
      <c r="E675" s="50" t="n">
        <v>139.3</v>
      </c>
      <c r="F675" s="50" t="n">
        <v>-0.925</v>
      </c>
      <c r="G675" s="50" t="n"/>
      <c r="H675" s="50" t="n">
        <v>218.5</v>
      </c>
      <c r="I675" s="50" t="n">
        <v>4.147</v>
      </c>
      <c r="J675" s="50" t="n"/>
      <c r="K675" s="50" t="n">
        <v>218.5</v>
      </c>
      <c r="L675" s="50" t="n">
        <v>4.147</v>
      </c>
      <c r="M675" s="50" t="n"/>
      <c r="N675" s="50" t="n">
        <v>333.7</v>
      </c>
      <c r="O675" s="50" t="n">
        <v>1.552</v>
      </c>
      <c r="P675" s="50" t="n"/>
      <c r="Q675" s="50" t="n">
        <v>333.6</v>
      </c>
      <c r="R675" s="50" t="n">
        <v>1.583</v>
      </c>
      <c r="S675" s="50" t="n"/>
    </row>
    <row r="676">
      <c r="A676" s="50" t="inlineStr">
        <is>
          <t>2006-11</t>
        </is>
      </c>
      <c r="B676" s="50" t="n">
        <v>138.3</v>
      </c>
      <c r="C676" s="50" t="n">
        <v>-1.426</v>
      </c>
      <c r="D676" s="50" t="n"/>
      <c r="E676" s="50" t="n">
        <v>137.3</v>
      </c>
      <c r="F676" s="50" t="n">
        <v>-1.506</v>
      </c>
      <c r="G676" s="50" t="n"/>
      <c r="H676" s="50" t="n">
        <v>218.5</v>
      </c>
      <c r="I676" s="50" t="n">
        <v>3.8</v>
      </c>
      <c r="J676" s="50" t="n"/>
      <c r="K676" s="50" t="n">
        <v>218.5</v>
      </c>
      <c r="L676" s="50" t="n">
        <v>3.8</v>
      </c>
      <c r="M676" s="50" t="n"/>
      <c r="N676" s="50" t="n">
        <v>333.6</v>
      </c>
      <c r="O676" s="50" t="n">
        <v>1.122</v>
      </c>
      <c r="P676" s="50" t="n"/>
      <c r="Q676" s="50" t="n">
        <v>335.5</v>
      </c>
      <c r="R676" s="50" t="n">
        <v>1.115</v>
      </c>
      <c r="S676" s="50" t="n"/>
    </row>
    <row r="677">
      <c r="A677" s="50" t="inlineStr">
        <is>
          <t>2006-12</t>
        </is>
      </c>
      <c r="B677" s="50" t="n">
        <v>137.2</v>
      </c>
      <c r="C677" s="50" t="n">
        <v>-2.14</v>
      </c>
      <c r="D677" s="50" t="n"/>
      <c r="E677" s="50" t="n">
        <v>136.2</v>
      </c>
      <c r="F677" s="50" t="n">
        <v>-2.155</v>
      </c>
      <c r="G677" s="50" t="n"/>
      <c r="H677" s="50" t="n">
        <v>218.8</v>
      </c>
      <c r="I677" s="50" t="n">
        <v>3.844</v>
      </c>
      <c r="J677" s="50" t="n"/>
      <c r="K677" s="50" t="n">
        <v>218.8</v>
      </c>
      <c r="L677" s="50" t="n">
        <v>3.844</v>
      </c>
      <c r="M677" s="50" t="n"/>
      <c r="N677" s="50" t="n">
        <v>333.3</v>
      </c>
      <c r="O677" s="50" t="n">
        <v>0.786</v>
      </c>
      <c r="P677" s="50" t="n"/>
      <c r="Q677" s="50" t="n">
        <v>335.2</v>
      </c>
      <c r="R677" s="50" t="n">
        <v>0.8120000000000001</v>
      </c>
      <c r="S677" s="50" t="n"/>
    </row>
    <row r="678">
      <c r="A678" s="50" t="inlineStr">
        <is>
          <t>2007-01</t>
        </is>
      </c>
      <c r="B678" s="50" t="n">
        <v>136.169</v>
      </c>
      <c r="C678" s="50" t="n">
        <v>-2.944</v>
      </c>
      <c r="D678" s="50" t="n"/>
      <c r="E678" s="50" t="n">
        <v>135.257</v>
      </c>
      <c r="F678" s="50" t="n">
        <v>-2.902</v>
      </c>
      <c r="G678" s="50" t="n"/>
      <c r="H678" s="50" t="n">
        <v>219.262</v>
      </c>
      <c r="I678" s="50" t="n">
        <v>3.817</v>
      </c>
      <c r="J678" s="50" t="n"/>
      <c r="K678" s="50" t="n">
        <v>219.262</v>
      </c>
      <c r="L678" s="50" t="n">
        <v>3.817</v>
      </c>
      <c r="M678" s="50" t="n"/>
      <c r="N678" s="50" t="n">
        <v>332.927</v>
      </c>
      <c r="O678" s="50" t="n">
        <v>0.673</v>
      </c>
      <c r="P678" s="50" t="n"/>
      <c r="Q678" s="50" t="n">
        <v>334.478</v>
      </c>
      <c r="R678" s="50" t="n">
        <v>0.777</v>
      </c>
      <c r="S678" s="50" t="n"/>
    </row>
    <row r="679">
      <c r="A679" s="50" t="inlineStr">
        <is>
          <t>2007-02</t>
        </is>
      </c>
      <c r="B679" s="50" t="n">
        <v>135.533</v>
      </c>
      <c r="C679" s="50" t="n">
        <v>-3.467</v>
      </c>
      <c r="D679" s="50" t="n"/>
      <c r="E679" s="50" t="n">
        <v>134.597</v>
      </c>
      <c r="F679" s="50" t="n">
        <v>-3.515</v>
      </c>
      <c r="G679" s="50" t="n"/>
      <c r="H679" s="50" t="n">
        <v>220.53</v>
      </c>
      <c r="I679" s="50" t="n">
        <v>3.584</v>
      </c>
      <c r="J679" s="50" t="n"/>
      <c r="K679" s="50" t="n">
        <v>220.53</v>
      </c>
      <c r="L679" s="50" t="n">
        <v>3.584</v>
      </c>
      <c r="M679" s="50" t="n"/>
      <c r="N679" s="50" t="n">
        <v>332.79</v>
      </c>
      <c r="O679" s="50" t="n">
        <v>0.723</v>
      </c>
      <c r="P679" s="50" t="n"/>
      <c r="Q679" s="50" t="n">
        <v>334.232</v>
      </c>
      <c r="R679" s="50" t="n">
        <v>0.763</v>
      </c>
      <c r="S679" s="50" t="n"/>
    </row>
    <row r="680">
      <c r="A680" s="50" t="inlineStr">
        <is>
          <t>2007-03</t>
        </is>
      </c>
      <c r="B680" s="50" t="n">
        <v>135.201</v>
      </c>
      <c r="C680" s="50" t="n">
        <v>-3.977</v>
      </c>
      <c r="D680" s="50" t="n"/>
      <c r="E680" s="50" t="n">
        <v>134.382</v>
      </c>
      <c r="F680" s="50" t="n">
        <v>-4.013</v>
      </c>
      <c r="G680" s="50" t="n"/>
      <c r="H680" s="50" t="n">
        <v>221.16</v>
      </c>
      <c r="I680" s="50" t="n">
        <v>3.636</v>
      </c>
      <c r="J680" s="50" t="n"/>
      <c r="K680" s="50" t="n">
        <v>221.16</v>
      </c>
      <c r="L680" s="50" t="n">
        <v>3.636</v>
      </c>
      <c r="M680" s="50" t="n"/>
      <c r="N680" s="50" t="n">
        <v>332.526</v>
      </c>
      <c r="O680" s="50" t="n">
        <v>0.461</v>
      </c>
      <c r="P680" s="50" t="n"/>
      <c r="Q680" s="50" t="n">
        <v>332.864</v>
      </c>
      <c r="R680" s="50" t="n">
        <v>0.472</v>
      </c>
      <c r="S680" s="50" t="n"/>
    </row>
    <row r="681">
      <c r="A681" s="50" t="inlineStr">
        <is>
          <t>2007-04</t>
        </is>
      </c>
      <c r="B681" s="50" t="n">
        <v>134.995</v>
      </c>
      <c r="C681" s="50" t="n">
        <v>-4.259</v>
      </c>
      <c r="D681" s="50" t="n"/>
      <c r="E681" s="50" t="n">
        <v>134.363</v>
      </c>
      <c r="F681" s="50" t="n">
        <v>-4.3</v>
      </c>
      <c r="G681" s="50" t="n"/>
      <c r="H681" s="50" t="n">
        <v>221.508</v>
      </c>
      <c r="I681" s="50" t="n">
        <v>3.557</v>
      </c>
      <c r="J681" s="50" t="n"/>
      <c r="K681" s="50" t="n">
        <v>221.508</v>
      </c>
      <c r="L681" s="50" t="n">
        <v>3.557</v>
      </c>
      <c r="M681" s="50" t="n"/>
      <c r="N681" s="50" t="n">
        <v>332.36</v>
      </c>
      <c r="O681" s="50" t="n">
        <v>0.381</v>
      </c>
      <c r="P681" s="50" t="n"/>
      <c r="Q681" s="50" t="n">
        <v>332.073</v>
      </c>
      <c r="R681" s="50" t="n">
        <v>0.385</v>
      </c>
      <c r="S681" s="50" t="n"/>
    </row>
    <row r="682">
      <c r="A682" s="50" t="inlineStr">
        <is>
          <t>2007-05</t>
        </is>
      </c>
      <c r="B682" s="50" t="n">
        <v>134.653</v>
      </c>
      <c r="C682" s="50" t="n">
        <v>-4.569</v>
      </c>
      <c r="D682" s="50" t="n"/>
      <c r="E682" s="50" t="n">
        <v>134.481</v>
      </c>
      <c r="F682" s="50" t="n">
        <v>-4.556</v>
      </c>
      <c r="G682" s="50" t="n"/>
      <c r="H682" s="50" t="n">
        <v>221.999</v>
      </c>
      <c r="I682" s="50" t="n">
        <v>3.303</v>
      </c>
      <c r="J682" s="50" t="n"/>
      <c r="K682" s="50" t="n">
        <v>221.999</v>
      </c>
      <c r="L682" s="50" t="n">
        <v>3.303</v>
      </c>
      <c r="M682" s="50" t="n"/>
      <c r="N682" s="50" t="n">
        <v>330.808</v>
      </c>
      <c r="O682" s="50" t="n">
        <v>-0.209</v>
      </c>
      <c r="P682" s="50" t="n"/>
      <c r="Q682" s="50" t="n">
        <v>330.113</v>
      </c>
      <c r="R682" s="50" t="n">
        <v>-0.268</v>
      </c>
      <c r="S682" s="50" t="n"/>
    </row>
    <row r="683">
      <c r="A683" s="50" t="inlineStr">
        <is>
          <t>2007-06</t>
        </is>
      </c>
      <c r="B683" s="50" t="n">
        <v>134.57</v>
      </c>
      <c r="C683" s="50" t="n">
        <v>-4.56</v>
      </c>
      <c r="D683" s="50" t="n"/>
      <c r="E683" s="50" t="n">
        <v>135.067</v>
      </c>
      <c r="F683" s="50" t="n">
        <v>-4.546</v>
      </c>
      <c r="G683" s="50" t="n"/>
      <c r="H683" s="50" t="n">
        <v>222.553</v>
      </c>
      <c r="I683" s="50" t="n">
        <v>3.273</v>
      </c>
      <c r="J683" s="50" t="n"/>
      <c r="K683" s="50" t="n">
        <v>222.553</v>
      </c>
      <c r="L683" s="50" t="n">
        <v>3.273</v>
      </c>
      <c r="M683" s="50" t="n"/>
      <c r="N683" s="50" t="n">
        <v>332.124</v>
      </c>
      <c r="O683" s="50" t="n">
        <v>0.34</v>
      </c>
      <c r="P683" s="50" t="n"/>
      <c r="Q683" s="50" t="n">
        <v>331.086</v>
      </c>
      <c r="R683" s="50" t="n">
        <v>0.268</v>
      </c>
      <c r="S683" s="50" t="n"/>
    </row>
    <row r="684">
      <c r="A684" s="50" t="inlineStr">
        <is>
          <t>2007-07</t>
        </is>
      </c>
      <c r="B684" s="50" t="n">
        <v>134.748</v>
      </c>
      <c r="C684" s="50" t="n">
        <v>-4.23</v>
      </c>
      <c r="D684" s="50" t="n"/>
      <c r="E684" s="50" t="n">
        <v>136.024</v>
      </c>
      <c r="F684" s="50" t="n">
        <v>-4.276</v>
      </c>
      <c r="G684" s="50" t="n"/>
      <c r="H684" s="50" t="n">
        <v>223.487</v>
      </c>
      <c r="I684" s="50" t="n">
        <v>3.132</v>
      </c>
      <c r="J684" s="50" t="n"/>
      <c r="K684" s="50" t="n">
        <v>223.487</v>
      </c>
      <c r="L684" s="50" t="n">
        <v>3.132</v>
      </c>
      <c r="M684" s="50" t="n"/>
      <c r="N684" s="50" t="n">
        <v>333.019</v>
      </c>
      <c r="O684" s="50" t="n">
        <v>0.61</v>
      </c>
      <c r="P684" s="50" t="n"/>
      <c r="Q684" s="50" t="n">
        <v>331.607</v>
      </c>
      <c r="R684" s="50" t="n">
        <v>0.548</v>
      </c>
      <c r="S684" s="50" t="n"/>
    </row>
    <row r="685">
      <c r="A685" s="50" t="inlineStr">
        <is>
          <t>2007-08</t>
        </is>
      </c>
      <c r="B685" s="50" t="n">
        <v>135.255</v>
      </c>
      <c r="C685" s="50" t="n">
        <v>-3.665</v>
      </c>
      <c r="D685" s="50" t="n"/>
      <c r="E685" s="50" t="n">
        <v>137.138</v>
      </c>
      <c r="F685" s="50" t="n">
        <v>-3.695</v>
      </c>
      <c r="G685" s="50" t="n"/>
      <c r="H685" s="50" t="n">
        <v>224.019</v>
      </c>
      <c r="I685" s="50" t="n">
        <v>3.617</v>
      </c>
      <c r="J685" s="50" t="n"/>
      <c r="K685" s="50" t="n">
        <v>224.019</v>
      </c>
      <c r="L685" s="50" t="n">
        <v>3.617</v>
      </c>
      <c r="M685" s="50" t="n"/>
      <c r="N685" s="50" t="n">
        <v>333.143</v>
      </c>
      <c r="O685" s="50" t="n">
        <v>0.526</v>
      </c>
      <c r="P685" s="50" t="n"/>
      <c r="Q685" s="50" t="n">
        <v>331.837</v>
      </c>
      <c r="R685" s="50" t="n">
        <v>0.648</v>
      </c>
      <c r="S685" s="50" t="n"/>
    </row>
    <row r="686">
      <c r="A686" s="50" t="inlineStr">
        <is>
          <t>2007-09</t>
        </is>
      </c>
      <c r="B686" s="50" t="n">
        <v>136.022</v>
      </c>
      <c r="C686" s="50" t="n">
        <v>-2.772</v>
      </c>
      <c r="D686" s="50" t="n"/>
      <c r="E686" s="50" t="n">
        <v>137.142</v>
      </c>
      <c r="F686" s="50" t="n">
        <v>-2.736</v>
      </c>
      <c r="G686" s="50" t="n"/>
      <c r="H686" s="50" t="n">
        <v>224.302</v>
      </c>
      <c r="I686" s="50" t="n">
        <v>3.365</v>
      </c>
      <c r="J686" s="50" t="n"/>
      <c r="K686" s="50" t="n">
        <v>224.302</v>
      </c>
      <c r="L686" s="50" t="n">
        <v>3.365</v>
      </c>
      <c r="M686" s="50" t="n"/>
      <c r="N686" s="50" t="n">
        <v>334.331</v>
      </c>
      <c r="O686" s="50" t="n">
        <v>0.49</v>
      </c>
      <c r="P686" s="50" t="n"/>
      <c r="Q686" s="50" t="n">
        <v>332.303</v>
      </c>
      <c r="R686" s="50" t="n">
        <v>0.515</v>
      </c>
      <c r="S686" s="50" t="n"/>
    </row>
    <row r="687">
      <c r="A687" s="50" t="inlineStr">
        <is>
          <t>2007-10</t>
        </is>
      </c>
      <c r="B687" s="50" t="n">
        <v>136.707</v>
      </c>
      <c r="C687" s="50" t="n">
        <v>-1.65</v>
      </c>
      <c r="D687" s="50" t="n"/>
      <c r="E687" s="50" t="n">
        <v>136.95</v>
      </c>
      <c r="F687" s="50" t="n">
        <v>-1.687</v>
      </c>
      <c r="G687" s="50" t="n"/>
      <c r="H687" s="50" t="n">
        <v>224.939</v>
      </c>
      <c r="I687" s="50" t="n">
        <v>2.947</v>
      </c>
      <c r="J687" s="50" t="n"/>
      <c r="K687" s="50" t="n">
        <v>224.939</v>
      </c>
      <c r="L687" s="50" t="n">
        <v>2.947</v>
      </c>
      <c r="M687" s="50" t="n"/>
      <c r="N687" s="50" t="n">
        <v>334.151</v>
      </c>
      <c r="O687" s="50" t="n">
        <v>0.135</v>
      </c>
      <c r="P687" s="50" t="n"/>
      <c r="Q687" s="50" t="n">
        <v>333.914</v>
      </c>
      <c r="R687" s="50" t="n">
        <v>0.094</v>
      </c>
      <c r="S687" s="50" t="n"/>
    </row>
    <row r="688">
      <c r="A688" s="50" t="inlineStr">
        <is>
          <t>2007-11</t>
        </is>
      </c>
      <c r="B688" s="50" t="n">
        <v>137.559</v>
      </c>
      <c r="C688" s="50" t="n">
        <v>-0.536</v>
      </c>
      <c r="D688" s="50" t="n"/>
      <c r="E688" s="50" t="n">
        <v>136.616</v>
      </c>
      <c r="F688" s="50" t="n">
        <v>-0.498</v>
      </c>
      <c r="G688" s="50" t="n"/>
      <c r="H688" s="50" t="n">
        <v>225.672</v>
      </c>
      <c r="I688" s="50" t="n">
        <v>3.282</v>
      </c>
      <c r="J688" s="50" t="n"/>
      <c r="K688" s="50" t="n">
        <v>225.672</v>
      </c>
      <c r="L688" s="50" t="n">
        <v>3.282</v>
      </c>
      <c r="M688" s="50" t="n"/>
      <c r="N688" s="50" t="n">
        <v>334.364</v>
      </c>
      <c r="O688" s="50" t="n">
        <v>0.229</v>
      </c>
      <c r="P688" s="50" t="n"/>
      <c r="Q688" s="50" t="n">
        <v>336.295</v>
      </c>
      <c r="R688" s="50" t="n">
        <v>0.237</v>
      </c>
      <c r="S688" s="50" t="n"/>
    </row>
    <row r="689">
      <c r="A689" s="50" t="inlineStr">
        <is>
          <t>2007-12</t>
        </is>
      </c>
      <c r="B689" s="50" t="n">
        <v>137.855</v>
      </c>
      <c r="C689" s="50" t="n">
        <v>0.477</v>
      </c>
      <c r="D689" s="50" t="n"/>
      <c r="E689" s="50" t="n">
        <v>136.943</v>
      </c>
      <c r="F689" s="50" t="n">
        <v>0.546</v>
      </c>
      <c r="G689" s="50" t="n"/>
      <c r="H689" s="50" t="n">
        <v>226.12</v>
      </c>
      <c r="I689" s="50" t="n">
        <v>3.346</v>
      </c>
      <c r="J689" s="50" t="n"/>
      <c r="K689" s="50" t="n">
        <v>226.12</v>
      </c>
      <c r="L689" s="50" t="n">
        <v>3.346</v>
      </c>
      <c r="M689" s="50" t="n"/>
      <c r="N689" s="50" t="n">
        <v>335.07</v>
      </c>
      <c r="O689" s="50" t="n">
        <v>0.531</v>
      </c>
      <c r="P689" s="50" t="n"/>
      <c r="Q689" s="50" t="n">
        <v>336.915</v>
      </c>
      <c r="R689" s="50" t="n">
        <v>0.512</v>
      </c>
      <c r="S689" s="50" t="n"/>
    </row>
    <row r="690">
      <c r="A690" s="50" t="inlineStr">
        <is>
          <t>2008-01</t>
        </is>
      </c>
      <c r="B690" s="50" t="n">
        <v>138.938</v>
      </c>
      <c r="C690" s="50" t="n">
        <v>2.034</v>
      </c>
      <c r="D690" s="50" t="n"/>
      <c r="E690" s="50" t="n">
        <v>137.203</v>
      </c>
      <c r="F690" s="50" t="n">
        <v>1.439</v>
      </c>
      <c r="G690" s="50" t="n"/>
      <c r="H690" s="50" t="n">
        <v>227.732</v>
      </c>
      <c r="I690" s="50" t="n">
        <v>3.863</v>
      </c>
      <c r="J690" s="50" t="n"/>
      <c r="K690" s="50" t="n">
        <v>227.732</v>
      </c>
      <c r="L690" s="50" t="n">
        <v>3.863</v>
      </c>
      <c r="M690" s="50" t="n"/>
      <c r="N690" s="50" t="n">
        <v>336.212</v>
      </c>
      <c r="O690" s="50" t="n">
        <v>0.987</v>
      </c>
      <c r="P690" s="50" t="n"/>
      <c r="Q690" s="50" t="n">
        <v>337.639</v>
      </c>
      <c r="R690" s="50" t="n">
        <v>0.945</v>
      </c>
      <c r="S690" s="50" t="n"/>
    </row>
    <row r="691">
      <c r="A691" s="50" t="inlineStr">
        <is>
          <t>2008-02</t>
        </is>
      </c>
      <c r="B691" s="50" t="n">
        <v>138.818</v>
      </c>
      <c r="C691" s="50" t="n">
        <v>2.424</v>
      </c>
      <c r="D691" s="50" t="n"/>
      <c r="E691" s="50" t="n">
        <v>137.248</v>
      </c>
      <c r="F691" s="50" t="n">
        <v>1.97</v>
      </c>
      <c r="G691" s="50" t="n"/>
      <c r="H691" s="50" t="n">
        <v>228.731</v>
      </c>
      <c r="I691" s="50" t="n">
        <v>3.719</v>
      </c>
      <c r="J691" s="50" t="n"/>
      <c r="K691" s="50" t="n">
        <v>228.731</v>
      </c>
      <c r="L691" s="50" t="n">
        <v>3.719</v>
      </c>
      <c r="M691" s="50" t="n"/>
      <c r="N691" s="50" t="n">
        <v>336.619</v>
      </c>
      <c r="O691" s="50" t="n">
        <v>1.151</v>
      </c>
      <c r="P691" s="50" t="n"/>
      <c r="Q691" s="50" t="n">
        <v>337.978</v>
      </c>
      <c r="R691" s="50" t="n">
        <v>1.121</v>
      </c>
      <c r="S691" s="50" t="n"/>
    </row>
    <row r="692">
      <c r="A692" s="50" t="inlineStr">
        <is>
          <t>2008-03</t>
        </is>
      </c>
      <c r="B692" s="50" t="n">
        <v>138.541</v>
      </c>
      <c r="C692" s="50" t="n">
        <v>2.47</v>
      </c>
      <c r="D692" s="50" t="n"/>
      <c r="E692" s="50" t="n">
        <v>137.225</v>
      </c>
      <c r="F692" s="50" t="n">
        <v>2.116</v>
      </c>
      <c r="G692" s="50" t="n"/>
      <c r="H692" s="50" t="n">
        <v>229.765</v>
      </c>
      <c r="I692" s="50" t="n">
        <v>3.891</v>
      </c>
      <c r="J692" s="50" t="n"/>
      <c r="K692" s="50" t="n">
        <v>229.765</v>
      </c>
      <c r="L692" s="50" t="n">
        <v>3.891</v>
      </c>
      <c r="M692" s="50" t="n"/>
      <c r="N692" s="50" t="n">
        <v>337.145</v>
      </c>
      <c r="O692" s="50" t="n">
        <v>1.389</v>
      </c>
      <c r="P692" s="50" t="n"/>
      <c r="Q692" s="50" t="n">
        <v>337.29</v>
      </c>
      <c r="R692" s="50" t="n">
        <v>1.33</v>
      </c>
      <c r="S692" s="50" t="n"/>
    </row>
    <row r="693">
      <c r="A693" s="50" t="inlineStr">
        <is>
          <t>2008-04</t>
        </is>
      </c>
      <c r="B693" s="50" t="n">
        <v>137.659</v>
      </c>
      <c r="C693" s="50" t="n">
        <v>1.973</v>
      </c>
      <c r="D693" s="50" t="n"/>
      <c r="E693" s="50" t="n">
        <v>136.787</v>
      </c>
      <c r="F693" s="50" t="n">
        <v>1.804</v>
      </c>
      <c r="G693" s="50" t="n"/>
      <c r="H693" s="50" t="n">
        <v>230.528</v>
      </c>
      <c r="I693" s="50" t="n">
        <v>4.072</v>
      </c>
      <c r="J693" s="50" t="n"/>
      <c r="K693" s="50" t="n">
        <v>230.528</v>
      </c>
      <c r="L693" s="50" t="n">
        <v>4.072</v>
      </c>
      <c r="M693" s="50" t="n"/>
      <c r="N693" s="50" t="n">
        <v>338.093</v>
      </c>
      <c r="O693" s="50" t="n">
        <v>1.725</v>
      </c>
      <c r="P693" s="50" t="n"/>
      <c r="Q693" s="50" t="n">
        <v>337.817</v>
      </c>
      <c r="R693" s="50" t="n">
        <v>1.73</v>
      </c>
      <c r="S693" s="50" t="n"/>
    </row>
    <row r="694">
      <c r="A694" s="50" t="inlineStr">
        <is>
          <t>2008-05</t>
        </is>
      </c>
      <c r="B694" s="50" t="n">
        <v>136.393</v>
      </c>
      <c r="C694" s="50" t="n">
        <v>1.292</v>
      </c>
      <c r="D694" s="50" t="n"/>
      <c r="E694" s="50" t="n">
        <v>136.325</v>
      </c>
      <c r="F694" s="50" t="n">
        <v>1.371</v>
      </c>
      <c r="G694" s="50" t="n"/>
      <c r="H694" s="50" t="n">
        <v>231.73</v>
      </c>
      <c r="I694" s="50" t="n">
        <v>4.383</v>
      </c>
      <c r="J694" s="50" t="n"/>
      <c r="K694" s="50" t="n">
        <v>231.73</v>
      </c>
      <c r="L694" s="50" t="n">
        <v>4.383</v>
      </c>
      <c r="M694" s="50" t="n"/>
      <c r="N694" s="50" t="n">
        <v>339.353</v>
      </c>
      <c r="O694" s="50" t="n">
        <v>2.583</v>
      </c>
      <c r="P694" s="50" t="n"/>
      <c r="Q694" s="50" t="n">
        <v>338.561</v>
      </c>
      <c r="R694" s="50" t="n">
        <v>2.559</v>
      </c>
      <c r="S694" s="50" t="n"/>
    </row>
    <row r="695">
      <c r="A695" s="50" t="inlineStr">
        <is>
          <t>2008-06</t>
        </is>
      </c>
      <c r="B695" s="50" t="n">
        <v>135.02</v>
      </c>
      <c r="C695" s="50" t="n">
        <v>0.334</v>
      </c>
      <c r="D695" s="50" t="n"/>
      <c r="E695" s="50" t="n">
        <v>135.98</v>
      </c>
      <c r="F695" s="50" t="n">
        <v>0.676</v>
      </c>
      <c r="G695" s="50" t="n"/>
      <c r="H695" s="50" t="n">
        <v>233.162</v>
      </c>
      <c r="I695" s="50" t="n">
        <v>4.767</v>
      </c>
      <c r="J695" s="50" t="n"/>
      <c r="K695" s="50" t="n">
        <v>233.162</v>
      </c>
      <c r="L695" s="50" t="n">
        <v>4.767</v>
      </c>
      <c r="M695" s="50" t="n"/>
      <c r="N695" s="50" t="n">
        <v>340.733</v>
      </c>
      <c r="O695" s="50" t="n">
        <v>2.592</v>
      </c>
      <c r="P695" s="50" t="n"/>
      <c r="Q695" s="50" t="n">
        <v>339.664</v>
      </c>
      <c r="R695" s="50" t="n">
        <v>2.591</v>
      </c>
      <c r="S695" s="50" t="n"/>
    </row>
    <row r="696">
      <c r="A696" s="50" t="inlineStr">
        <is>
          <t>2008-07</t>
        </is>
      </c>
      <c r="B696" s="50" t="n">
        <v>133.709</v>
      </c>
      <c r="C696" s="50" t="n">
        <v>-0.771</v>
      </c>
      <c r="D696" s="50" t="n"/>
      <c r="E696" s="50" t="n">
        <v>135.84</v>
      </c>
      <c r="F696" s="50" t="n">
        <v>-0.135</v>
      </c>
      <c r="G696" s="50" t="n"/>
      <c r="H696" s="50" t="n">
        <v>234.788</v>
      </c>
      <c r="I696" s="50" t="n">
        <v>5.057</v>
      </c>
      <c r="J696" s="50" t="n"/>
      <c r="K696" s="50" t="n">
        <v>234.788</v>
      </c>
      <c r="L696" s="50" t="n">
        <v>5.057</v>
      </c>
      <c r="M696" s="50" t="n"/>
      <c r="N696" s="50" t="n">
        <v>341.891</v>
      </c>
      <c r="O696" s="50" t="n">
        <v>2.664</v>
      </c>
      <c r="P696" s="50" t="n"/>
      <c r="Q696" s="50" t="n">
        <v>340.396</v>
      </c>
      <c r="R696" s="50" t="n">
        <v>2.65</v>
      </c>
      <c r="S696" s="50" t="n"/>
    </row>
    <row r="697">
      <c r="A697" s="50" t="inlineStr">
        <is>
          <t>2008-08</t>
        </is>
      </c>
      <c r="B697" s="50" t="n">
        <v>132.535</v>
      </c>
      <c r="C697" s="50" t="n">
        <v>-2.011</v>
      </c>
      <c r="D697" s="50" t="n"/>
      <c r="E697" s="50" t="n">
        <v>135.405</v>
      </c>
      <c r="F697" s="50" t="n">
        <v>-1.264</v>
      </c>
      <c r="G697" s="50" t="n"/>
      <c r="H697" s="50" t="n">
        <v>236.125</v>
      </c>
      <c r="I697" s="50" t="n">
        <v>5.404</v>
      </c>
      <c r="J697" s="50" t="n"/>
      <c r="K697" s="50" t="n">
        <v>236.125</v>
      </c>
      <c r="L697" s="50" t="n">
        <v>5.404</v>
      </c>
      <c r="M697" s="50" t="n"/>
      <c r="N697" s="50" t="n">
        <v>343.139</v>
      </c>
      <c r="O697" s="50" t="n">
        <v>3.001</v>
      </c>
      <c r="P697" s="50" t="n"/>
      <c r="Q697" s="50" t="n">
        <v>341.864</v>
      </c>
      <c r="R697" s="50" t="n">
        <v>3.022</v>
      </c>
      <c r="S697" s="50" t="n"/>
    </row>
    <row r="698">
      <c r="A698" s="50" t="inlineStr">
        <is>
          <t>2008-09</t>
        </is>
      </c>
      <c r="B698" s="50" t="n">
        <v>131.176</v>
      </c>
      <c r="C698" s="50" t="n">
        <v>-3.563</v>
      </c>
      <c r="D698" s="50" t="n"/>
      <c r="E698" s="50" t="n">
        <v>132.916</v>
      </c>
      <c r="F698" s="50" t="n">
        <v>-3.081</v>
      </c>
      <c r="G698" s="50" t="n"/>
      <c r="H698" s="50" t="n">
        <v>237.121</v>
      </c>
      <c r="I698" s="50" t="n">
        <v>5.715</v>
      </c>
      <c r="J698" s="50" t="n"/>
      <c r="K698" s="50" t="n">
        <v>237.121</v>
      </c>
      <c r="L698" s="50" t="n">
        <v>5.715</v>
      </c>
      <c r="M698" s="50" t="n"/>
      <c r="N698" s="50" t="n">
        <v>344.338</v>
      </c>
      <c r="O698" s="50" t="n">
        <v>2.993</v>
      </c>
      <c r="P698" s="50" t="n"/>
      <c r="Q698" s="50" t="n">
        <v>342.528</v>
      </c>
      <c r="R698" s="50" t="n">
        <v>3.077</v>
      </c>
      <c r="S698" s="50" t="n"/>
    </row>
    <row r="699">
      <c r="A699" s="50" t="inlineStr">
        <is>
          <t>2008-10</t>
        </is>
      </c>
      <c r="B699" s="50" t="n">
        <v>129.407</v>
      </c>
      <c r="C699" s="50" t="n">
        <v>-5.34</v>
      </c>
      <c r="D699" s="50" t="n"/>
      <c r="E699" s="50" t="n">
        <v>129.733</v>
      </c>
      <c r="F699" s="50" t="n">
        <v>-5.27</v>
      </c>
      <c r="G699" s="50" t="n"/>
      <c r="H699" s="50" t="n">
        <v>238.227</v>
      </c>
      <c r="I699" s="50" t="n">
        <v>5.907</v>
      </c>
      <c r="J699" s="50" t="n"/>
      <c r="K699" s="50" t="n">
        <v>238.227</v>
      </c>
      <c r="L699" s="50" t="n">
        <v>5.907</v>
      </c>
      <c r="M699" s="50" t="n"/>
      <c r="N699" s="50" t="n">
        <v>345.388</v>
      </c>
      <c r="O699" s="50" t="n">
        <v>3.363</v>
      </c>
      <c r="P699" s="50" t="n"/>
      <c r="Q699" s="50" t="n">
        <v>345.138</v>
      </c>
      <c r="R699" s="50" t="n">
        <v>3.361</v>
      </c>
      <c r="S699" s="50" t="n"/>
    </row>
    <row r="700">
      <c r="A700" s="50" t="inlineStr">
        <is>
          <t>2008-11</t>
        </is>
      </c>
      <c r="B700" s="50" t="n">
        <v>128.048</v>
      </c>
      <c r="C700" s="50" t="n">
        <v>-6.914</v>
      </c>
      <c r="D700" s="50" t="n"/>
      <c r="E700" s="50" t="n">
        <v>126.869</v>
      </c>
      <c r="F700" s="50" t="n">
        <v>-7.135</v>
      </c>
      <c r="G700" s="50" t="n"/>
      <c r="H700" s="50" t="n">
        <v>239.048</v>
      </c>
      <c r="I700" s="50" t="n">
        <v>5.927</v>
      </c>
      <c r="J700" s="50" t="n"/>
      <c r="K700" s="50" t="n">
        <v>239.048</v>
      </c>
      <c r="L700" s="50" t="n">
        <v>5.927</v>
      </c>
      <c r="M700" s="50" t="n"/>
      <c r="N700" s="50" t="n">
        <v>346.958</v>
      </c>
      <c r="O700" s="50" t="n">
        <v>3.767</v>
      </c>
      <c r="P700" s="50" t="n"/>
      <c r="Q700" s="50" t="n">
        <v>349.05</v>
      </c>
      <c r="R700" s="50" t="n">
        <v>3.793</v>
      </c>
      <c r="S700" s="50" t="n"/>
    </row>
    <row r="701">
      <c r="A701" s="50" t="inlineStr">
        <is>
          <t>2008-12</t>
        </is>
      </c>
      <c r="B701" s="50" t="n">
        <v>127.323</v>
      </c>
      <c r="C701" s="50" t="n">
        <v>-7.64</v>
      </c>
      <c r="D701" s="50" t="n"/>
      <c r="E701" s="50" t="n">
        <v>125.883</v>
      </c>
      <c r="F701" s="50" t="n">
        <v>-8.076000000000001</v>
      </c>
      <c r="G701" s="50" t="n"/>
      <c r="H701" s="50" t="n">
        <v>239.356</v>
      </c>
      <c r="I701" s="50" t="n">
        <v>5.854</v>
      </c>
      <c r="J701" s="50" t="n"/>
      <c r="K701" s="50" t="n">
        <v>239.356</v>
      </c>
      <c r="L701" s="50" t="n">
        <v>5.854</v>
      </c>
      <c r="M701" s="50" t="n"/>
      <c r="N701" s="50" t="n">
        <v>348.308</v>
      </c>
      <c r="O701" s="50" t="n">
        <v>3.951</v>
      </c>
      <c r="P701" s="50" t="n"/>
      <c r="Q701" s="50" t="n">
        <v>350.308</v>
      </c>
      <c r="R701" s="50" t="n">
        <v>3.975</v>
      </c>
      <c r="S701" s="50" t="n"/>
    </row>
    <row r="702">
      <c r="A702" s="50" t="inlineStr">
        <is>
          <t>2009-01</t>
        </is>
      </c>
      <c r="B702" s="50" t="n">
        <v>126.668</v>
      </c>
      <c r="C702" s="50" t="n">
        <v>-8.831</v>
      </c>
      <c r="D702" s="50" t="n"/>
      <c r="E702" s="50" t="n">
        <v>124.863</v>
      </c>
      <c r="F702" s="50" t="n">
        <v>-8.994</v>
      </c>
      <c r="G702" s="50" t="n"/>
      <c r="H702" s="50" t="n">
        <v>241.076</v>
      </c>
      <c r="I702" s="50" t="n">
        <v>5.86</v>
      </c>
      <c r="J702" s="50" t="n"/>
      <c r="K702" s="50" t="n">
        <v>241.076</v>
      </c>
      <c r="L702" s="50" t="n">
        <v>5.86</v>
      </c>
      <c r="M702" s="50" t="n"/>
      <c r="N702" s="50" t="n">
        <v>349.797</v>
      </c>
      <c r="O702" s="50" t="n">
        <v>4.041</v>
      </c>
      <c r="P702" s="50" t="n"/>
      <c r="Q702" s="50" t="n">
        <v>351.215</v>
      </c>
      <c r="R702" s="50" t="n">
        <v>4.021</v>
      </c>
      <c r="S702" s="50" t="n"/>
    </row>
    <row r="703">
      <c r="A703" s="50" t="inlineStr">
        <is>
          <t>2009-02</t>
        </is>
      </c>
      <c r="B703" s="50" t="n">
        <v>124.405</v>
      </c>
      <c r="C703" s="50" t="n">
        <v>-10.383</v>
      </c>
      <c r="D703" s="50" t="n"/>
      <c r="E703" s="50" t="n">
        <v>122.837</v>
      </c>
      <c r="F703" s="50" t="n">
        <v>-10.5</v>
      </c>
      <c r="G703" s="50" t="n"/>
      <c r="H703" s="50" t="n">
        <v>241.689</v>
      </c>
      <c r="I703" s="50" t="n">
        <v>5.665</v>
      </c>
      <c r="J703" s="50" t="n"/>
      <c r="K703" s="50" t="n">
        <v>241.689</v>
      </c>
      <c r="L703" s="50" t="n">
        <v>5.665</v>
      </c>
      <c r="M703" s="50" t="n"/>
      <c r="N703" s="50" t="n">
        <v>351.226</v>
      </c>
      <c r="O703" s="50" t="n">
        <v>4.339</v>
      </c>
      <c r="P703" s="50" t="n"/>
      <c r="Q703" s="50" t="n">
        <v>352.538</v>
      </c>
      <c r="R703" s="50" t="n">
        <v>4.308</v>
      </c>
      <c r="S703" s="50" t="n"/>
    </row>
    <row r="704">
      <c r="A704" s="50" t="inlineStr">
        <is>
          <t>2009-03</t>
        </is>
      </c>
      <c r="B704" s="50" t="n">
        <v>122.21</v>
      </c>
      <c r="C704" s="50" t="n">
        <v>-11.788</v>
      </c>
      <c r="D704" s="50" t="n"/>
      <c r="E704" s="50" t="n">
        <v>121.061</v>
      </c>
      <c r="F704" s="50" t="n">
        <v>-11.779</v>
      </c>
      <c r="G704" s="50" t="n"/>
      <c r="H704" s="50" t="n">
        <v>242.118</v>
      </c>
      <c r="I704" s="50" t="n">
        <v>5.376</v>
      </c>
      <c r="J704" s="50" t="n"/>
      <c r="K704" s="50" t="n">
        <v>242.118</v>
      </c>
      <c r="L704" s="50" t="n">
        <v>5.376</v>
      </c>
      <c r="M704" s="50" t="n"/>
      <c r="N704" s="50" t="n">
        <v>351.964</v>
      </c>
      <c r="O704" s="50" t="n">
        <v>4.395</v>
      </c>
      <c r="P704" s="50" t="n"/>
      <c r="Q704" s="50" t="n">
        <v>351.982</v>
      </c>
      <c r="R704" s="50" t="n">
        <v>4.356</v>
      </c>
      <c r="S704" s="50" t="n"/>
    </row>
    <row r="705">
      <c r="A705" s="50" t="inlineStr">
        <is>
          <t>2009-04</t>
        </is>
      </c>
      <c r="B705" s="50" t="n">
        <v>121.887</v>
      </c>
      <c r="C705" s="50" t="n">
        <v>-11.457</v>
      </c>
      <c r="D705" s="50" t="n"/>
      <c r="E705" s="50" t="n">
        <v>121.213</v>
      </c>
      <c r="F705" s="50" t="n">
        <v>-11.386</v>
      </c>
      <c r="G705" s="50" t="n"/>
      <c r="H705" s="50" t="n">
        <v>242.649</v>
      </c>
      <c r="I705" s="50" t="n">
        <v>5.258</v>
      </c>
      <c r="J705" s="50" t="n"/>
      <c r="K705" s="50" t="n">
        <v>242.649</v>
      </c>
      <c r="L705" s="50" t="n">
        <v>5.258</v>
      </c>
      <c r="M705" s="50" t="n"/>
      <c r="N705" s="50" t="n">
        <v>353.843</v>
      </c>
      <c r="O705" s="50" t="n">
        <v>4.658</v>
      </c>
      <c r="P705" s="50" t="n"/>
      <c r="Q705" s="50" t="n">
        <v>353.563</v>
      </c>
      <c r="R705" s="50" t="n">
        <v>4.661</v>
      </c>
      <c r="S705" s="50" t="n"/>
    </row>
    <row r="706">
      <c r="A706" s="50" t="inlineStr">
        <is>
          <t>2009-05</t>
        </is>
      </c>
      <c r="B706" s="50" t="n">
        <v>122.533</v>
      </c>
      <c r="C706" s="50" t="n">
        <v>-10.162</v>
      </c>
      <c r="D706" s="50" t="n"/>
      <c r="E706" s="50" t="n">
        <v>122.65</v>
      </c>
      <c r="F706" s="50" t="n">
        <v>-10.031</v>
      </c>
      <c r="G706" s="50" t="n"/>
      <c r="H706" s="50" t="n">
        <v>242.488</v>
      </c>
      <c r="I706" s="50" t="n">
        <v>4.642</v>
      </c>
      <c r="J706" s="50" t="n"/>
      <c r="K706" s="50" t="n">
        <v>242.488</v>
      </c>
      <c r="L706" s="50" t="n">
        <v>4.642</v>
      </c>
      <c r="M706" s="50" t="n"/>
      <c r="N706" s="50" t="n">
        <v>355.004</v>
      </c>
      <c r="O706" s="50" t="n">
        <v>4.612</v>
      </c>
      <c r="P706" s="50" t="n"/>
      <c r="Q706" s="50" t="n">
        <v>354.171</v>
      </c>
      <c r="R706" s="50" t="n">
        <v>4.611</v>
      </c>
      <c r="S706" s="50" t="n"/>
    </row>
    <row r="707">
      <c r="A707" s="50" t="inlineStr">
        <is>
          <t>2009-06</t>
        </is>
      </c>
      <c r="B707" s="50" t="n">
        <v>123.236</v>
      </c>
      <c r="C707" s="50" t="n">
        <v>-8.728</v>
      </c>
      <c r="D707" s="50" t="n"/>
      <c r="E707" s="50" t="n">
        <v>124.323</v>
      </c>
      <c r="F707" s="50" t="n">
        <v>-8.573</v>
      </c>
      <c r="G707" s="50" t="n"/>
      <c r="H707" s="50" t="n">
        <v>242.683</v>
      </c>
      <c r="I707" s="50" t="n">
        <v>4.083</v>
      </c>
      <c r="J707" s="50" t="n"/>
      <c r="K707" s="50" t="n">
        <v>242.683</v>
      </c>
      <c r="L707" s="50" t="n">
        <v>4.083</v>
      </c>
      <c r="M707" s="50" t="n"/>
      <c r="N707" s="50" t="n">
        <v>356.854</v>
      </c>
      <c r="O707" s="50" t="n">
        <v>4.731</v>
      </c>
      <c r="P707" s="50" t="n"/>
      <c r="Q707" s="50" t="n">
        <v>355.721</v>
      </c>
      <c r="R707" s="50" t="n">
        <v>4.727</v>
      </c>
      <c r="S707" s="50" t="n"/>
    </row>
    <row r="708">
      <c r="A708" s="50" t="inlineStr">
        <is>
          <t>2009-07</t>
        </is>
      </c>
      <c r="B708" s="50" t="n">
        <v>122.844</v>
      </c>
      <c r="C708" s="50" t="n">
        <v>-8.125999999999999</v>
      </c>
      <c r="D708" s="50" t="n"/>
      <c r="E708" s="50" t="n">
        <v>125.061</v>
      </c>
      <c r="F708" s="50" t="n">
        <v>-7.935</v>
      </c>
      <c r="G708" s="50" t="n"/>
      <c r="H708" s="50" t="n">
        <v>243.031</v>
      </c>
      <c r="I708" s="50" t="n">
        <v>3.511</v>
      </c>
      <c r="J708" s="50" t="n"/>
      <c r="K708" s="50" t="n">
        <v>243.031</v>
      </c>
      <c r="L708" s="50" t="n">
        <v>3.511</v>
      </c>
      <c r="M708" s="50" t="n"/>
      <c r="N708" s="50" t="n">
        <v>357.697</v>
      </c>
      <c r="O708" s="50" t="n">
        <v>4.623</v>
      </c>
      <c r="P708" s="50" t="n"/>
      <c r="Q708" s="50" t="n">
        <v>356.166</v>
      </c>
      <c r="R708" s="50" t="n">
        <v>4.633</v>
      </c>
      <c r="S708" s="50" t="n"/>
    </row>
    <row r="709">
      <c r="A709" s="50" t="inlineStr">
        <is>
          <t>2009-08</t>
        </is>
      </c>
      <c r="B709" s="50" t="n">
        <v>125.011</v>
      </c>
      <c r="C709" s="50" t="n">
        <v>-5.677</v>
      </c>
      <c r="D709" s="50" t="n"/>
      <c r="E709" s="50" t="n">
        <v>128.028</v>
      </c>
      <c r="F709" s="50" t="n">
        <v>-5.448</v>
      </c>
      <c r="G709" s="50" t="n"/>
      <c r="H709" s="50" t="n">
        <v>243.494</v>
      </c>
      <c r="I709" s="50" t="n">
        <v>3.121</v>
      </c>
      <c r="J709" s="50" t="n"/>
      <c r="K709" s="50" t="n">
        <v>243.494</v>
      </c>
      <c r="L709" s="50" t="n">
        <v>3.121</v>
      </c>
      <c r="M709" s="50" t="n"/>
      <c r="N709" s="50" t="n">
        <v>359.145</v>
      </c>
      <c r="O709" s="50" t="n">
        <v>4.665</v>
      </c>
      <c r="P709" s="50" t="n"/>
      <c r="Q709" s="50" t="n">
        <v>357.78</v>
      </c>
      <c r="R709" s="50" t="n">
        <v>4.656</v>
      </c>
      <c r="S709" s="50" t="n"/>
    </row>
    <row r="710">
      <c r="A710" s="50" t="inlineStr">
        <is>
          <t>2009-09</t>
        </is>
      </c>
      <c r="B710" s="50" t="n">
        <v>127.631</v>
      </c>
      <c r="C710" s="50" t="n">
        <v>-2.702</v>
      </c>
      <c r="D710" s="50" t="n"/>
      <c r="E710" s="50" t="n">
        <v>129.369</v>
      </c>
      <c r="F710" s="50" t="n">
        <v>-2.669</v>
      </c>
      <c r="G710" s="50" t="n"/>
      <c r="H710" s="50" t="n">
        <v>244.493</v>
      </c>
      <c r="I710" s="50" t="n">
        <v>3.109</v>
      </c>
      <c r="J710" s="50" t="n"/>
      <c r="K710" s="50" t="n">
        <v>244.493</v>
      </c>
      <c r="L710" s="50" t="n">
        <v>3.109</v>
      </c>
      <c r="M710" s="50" t="n"/>
      <c r="N710" s="50" t="n">
        <v>359.992</v>
      </c>
      <c r="O710" s="50" t="n">
        <v>4.546</v>
      </c>
      <c r="P710" s="50" t="n"/>
      <c r="Q710" s="50" t="n">
        <v>358.039</v>
      </c>
      <c r="R710" s="50" t="n">
        <v>4.528</v>
      </c>
      <c r="S710" s="50" t="n"/>
    </row>
    <row r="711">
      <c r="A711" s="50" t="inlineStr">
        <is>
          <t>2009-10</t>
        </is>
      </c>
      <c r="B711" s="50" t="n">
        <v>132.475</v>
      </c>
      <c r="C711" s="50" t="n">
        <v>2.371</v>
      </c>
      <c r="D711" s="50" t="n"/>
      <c r="E711" s="50" t="n">
        <v>132.689</v>
      </c>
      <c r="F711" s="50" t="n">
        <v>2.279</v>
      </c>
      <c r="G711" s="50" t="n"/>
      <c r="H711" s="50" t="n">
        <v>245.393</v>
      </c>
      <c r="I711" s="50" t="n">
        <v>3.008</v>
      </c>
      <c r="J711" s="50" t="n"/>
      <c r="K711" s="50" t="n">
        <v>245.393</v>
      </c>
      <c r="L711" s="50" t="n">
        <v>3.008</v>
      </c>
      <c r="M711" s="50" t="n"/>
      <c r="N711" s="50" t="n">
        <v>361.063</v>
      </c>
      <c r="O711" s="50" t="n">
        <v>4.538</v>
      </c>
      <c r="P711" s="50" t="n"/>
      <c r="Q711" s="50" t="n">
        <v>361.102</v>
      </c>
      <c r="R711" s="50" t="n">
        <v>4.625</v>
      </c>
      <c r="S711" s="50" t="n"/>
    </row>
    <row r="712">
      <c r="A712" s="50" t="inlineStr">
        <is>
          <t>2009-11</t>
        </is>
      </c>
      <c r="B712" s="50" t="n">
        <v>135.73</v>
      </c>
      <c r="C712" s="50" t="n">
        <v>5.999</v>
      </c>
      <c r="D712" s="50" t="n"/>
      <c r="E712" s="50" t="n">
        <v>134.173</v>
      </c>
      <c r="F712" s="50" t="n">
        <v>5.757</v>
      </c>
      <c r="G712" s="50" t="n"/>
      <c r="H712" s="50" t="n">
        <v>245.511</v>
      </c>
      <c r="I712" s="50" t="n">
        <v>2.704</v>
      </c>
      <c r="J712" s="50" t="n"/>
      <c r="K712" s="50" t="n">
        <v>245.511</v>
      </c>
      <c r="L712" s="50" t="n">
        <v>2.704</v>
      </c>
      <c r="M712" s="50" t="n"/>
      <c r="N712" s="50" t="n">
        <v>362.66</v>
      </c>
      <c r="O712" s="50" t="n">
        <v>4.526</v>
      </c>
      <c r="P712" s="50" t="n"/>
      <c r="Q712" s="50" t="n">
        <v>364.894</v>
      </c>
      <c r="R712" s="50" t="n">
        <v>4.539</v>
      </c>
      <c r="S712" s="50" t="n"/>
    </row>
    <row r="713">
      <c r="A713" s="50" t="inlineStr">
        <is>
          <t>2009-12</t>
        </is>
      </c>
      <c r="B713" s="50" t="n">
        <v>139.376</v>
      </c>
      <c r="C713" s="50" t="n">
        <v>9.465999999999999</v>
      </c>
      <c r="D713" s="50" t="n"/>
      <c r="E713" s="50" t="n">
        <v>137.406</v>
      </c>
      <c r="F713" s="50" t="n">
        <v>9.154</v>
      </c>
      <c r="G713" s="50" t="n"/>
      <c r="H713" s="50" t="n">
        <v>245.417</v>
      </c>
      <c r="I713" s="50" t="n">
        <v>2.532</v>
      </c>
      <c r="J713" s="50" t="n"/>
      <c r="K713" s="50" t="n">
        <v>245.417</v>
      </c>
      <c r="L713" s="50" t="n">
        <v>2.532</v>
      </c>
      <c r="M713" s="50" t="n"/>
      <c r="N713" s="50" t="n">
        <v>364.616</v>
      </c>
      <c r="O713" s="50" t="n">
        <v>4.682</v>
      </c>
      <c r="P713" s="50" t="n"/>
      <c r="Q713" s="50" t="n">
        <v>366.799</v>
      </c>
      <c r="R713" s="50" t="n">
        <v>4.708</v>
      </c>
      <c r="S713" s="50" t="n"/>
    </row>
    <row r="714">
      <c r="A714" s="50" t="inlineStr">
        <is>
          <t>2010-01</t>
        </is>
      </c>
      <c r="B714" s="50" t="n">
        <v>142.829</v>
      </c>
      <c r="C714" s="50" t="n">
        <v>12.759</v>
      </c>
      <c r="D714" s="50" t="n"/>
      <c r="E714" s="50" t="n">
        <v>139.174</v>
      </c>
      <c r="F714" s="50" t="n">
        <v>11.461</v>
      </c>
      <c r="G714" s="50" t="n"/>
      <c r="H714" s="50" t="n">
        <v>245.567</v>
      </c>
      <c r="I714" s="50" t="n">
        <v>1.863</v>
      </c>
      <c r="J714" s="50" t="n"/>
      <c r="K714" s="50" t="n">
        <v>245.567</v>
      </c>
      <c r="L714" s="50" t="n">
        <v>1.863</v>
      </c>
      <c r="M714" s="50" t="n"/>
      <c r="N714" s="50" t="n">
        <v>366.349</v>
      </c>
      <c r="O714" s="50" t="n">
        <v>4.732</v>
      </c>
      <c r="P714" s="50" t="n"/>
      <c r="Q714" s="50" t="n">
        <v>367.575</v>
      </c>
      <c r="R714" s="50" t="n">
        <v>4.658</v>
      </c>
      <c r="S714" s="50" t="n"/>
    </row>
    <row r="715">
      <c r="A715" s="50" t="inlineStr">
        <is>
          <t>2010-02</t>
        </is>
      </c>
      <c r="B715" s="50" t="n">
        <v>143.173</v>
      </c>
      <c r="C715" s="50" t="n">
        <v>15.086</v>
      </c>
      <c r="D715" s="50" t="n"/>
      <c r="E715" s="50" t="n">
        <v>140.218</v>
      </c>
      <c r="F715" s="50" t="n">
        <v>14.15</v>
      </c>
      <c r="G715" s="50" t="n"/>
      <c r="H715" s="50" t="n">
        <v>245.969</v>
      </c>
      <c r="I715" s="50" t="n">
        <v>1.771</v>
      </c>
      <c r="J715" s="50" t="n"/>
      <c r="K715" s="50" t="n">
        <v>245.969</v>
      </c>
      <c r="L715" s="50" t="n">
        <v>1.771</v>
      </c>
      <c r="M715" s="50" t="n"/>
      <c r="N715" s="50" t="n">
        <v>368.421</v>
      </c>
      <c r="O715" s="50" t="n">
        <v>4.896</v>
      </c>
      <c r="P715" s="50" t="n"/>
      <c r="Q715" s="50" t="n">
        <v>369.752</v>
      </c>
      <c r="R715" s="50" t="n">
        <v>4.883</v>
      </c>
      <c r="S715" s="50" t="n"/>
    </row>
    <row r="716">
      <c r="A716" s="50" t="inlineStr">
        <is>
          <t>2010-03</t>
        </is>
      </c>
      <c r="B716" s="50" t="n">
        <v>142.377</v>
      </c>
      <c r="C716" s="50" t="n">
        <v>16.502</v>
      </c>
      <c r="D716" s="50" t="n"/>
      <c r="E716" s="50" t="n">
        <v>140.797</v>
      </c>
      <c r="F716" s="50" t="n">
        <v>16.303</v>
      </c>
      <c r="G716" s="50" t="n"/>
      <c r="H716" s="50" t="n">
        <v>246.624</v>
      </c>
      <c r="I716" s="50" t="n">
        <v>1.861</v>
      </c>
      <c r="J716" s="50" t="n"/>
      <c r="K716" s="50" t="n">
        <v>246.624</v>
      </c>
      <c r="L716" s="50" t="n">
        <v>1.861</v>
      </c>
      <c r="M716" s="50" t="n"/>
      <c r="N716" s="50" t="n">
        <v>370.678</v>
      </c>
      <c r="O716" s="50" t="n">
        <v>5.317</v>
      </c>
      <c r="P716" s="50" t="n"/>
      <c r="Q716" s="50" t="n">
        <v>370.743</v>
      </c>
      <c r="R716" s="50" t="n">
        <v>5.33</v>
      </c>
      <c r="S716" s="50" t="n"/>
    </row>
    <row r="717">
      <c r="A717" s="50" t="inlineStr">
        <is>
          <t>2010-04</t>
        </is>
      </c>
      <c r="B717" s="50" t="n">
        <v>141.68</v>
      </c>
      <c r="C717" s="50" t="n">
        <v>16.239</v>
      </c>
      <c r="D717" s="50" t="n"/>
      <c r="E717" s="50" t="n">
        <v>141.315</v>
      </c>
      <c r="F717" s="50" t="n">
        <v>16.584</v>
      </c>
      <c r="G717" s="50" t="n"/>
      <c r="H717" s="50" t="n">
        <v>247.355</v>
      </c>
      <c r="I717" s="50" t="n">
        <v>1.939</v>
      </c>
      <c r="J717" s="50" t="n"/>
      <c r="K717" s="50" t="n">
        <v>247.355</v>
      </c>
      <c r="L717" s="50" t="n">
        <v>1.939</v>
      </c>
      <c r="M717" s="50" t="n"/>
      <c r="N717" s="50" t="n">
        <v>372.452</v>
      </c>
      <c r="O717" s="50" t="n">
        <v>5.259</v>
      </c>
      <c r="P717" s="50" t="n"/>
      <c r="Q717" s="50" t="n">
        <v>372.311</v>
      </c>
      <c r="R717" s="50" t="n">
        <v>5.303</v>
      </c>
      <c r="S717" s="50" t="n"/>
    </row>
    <row r="718">
      <c r="A718" s="50" t="inlineStr">
        <is>
          <t>2010-05</t>
        </is>
      </c>
      <c r="B718" s="50" t="n">
        <v>140.952</v>
      </c>
      <c r="C718" s="50" t="n">
        <v>15.032</v>
      </c>
      <c r="D718" s="50" t="n"/>
      <c r="E718" s="50" t="n">
        <v>142.537</v>
      </c>
      <c r="F718" s="50" t="n">
        <v>16.214</v>
      </c>
      <c r="G718" s="50" t="n"/>
      <c r="H718" s="50" t="n">
        <v>247.311</v>
      </c>
      <c r="I718" s="50" t="n">
        <v>1.989</v>
      </c>
      <c r="J718" s="50" t="n"/>
      <c r="K718" s="50" t="n">
        <v>247.311</v>
      </c>
      <c r="L718" s="50" t="n">
        <v>1.989</v>
      </c>
      <c r="M718" s="50" t="n"/>
      <c r="N718" s="50" t="n">
        <v>373.569</v>
      </c>
      <c r="O718" s="50" t="n">
        <v>5.23</v>
      </c>
      <c r="P718" s="50" t="n"/>
      <c r="Q718" s="50" t="n">
        <v>372.814</v>
      </c>
      <c r="R718" s="50" t="n">
        <v>5.264</v>
      </c>
      <c r="S718" s="50" t="n"/>
    </row>
    <row r="719">
      <c r="A719" s="50" t="inlineStr">
        <is>
          <t>2010-06</t>
        </is>
      </c>
      <c r="B719" s="50" t="n">
        <v>141.951</v>
      </c>
      <c r="C719" s="50" t="n">
        <v>15.186</v>
      </c>
      <c r="D719" s="50" t="n"/>
      <c r="E719" s="50" t="n">
        <v>144.399</v>
      </c>
      <c r="F719" s="50" t="n">
        <v>16.148</v>
      </c>
      <c r="G719" s="50" t="n"/>
      <c r="H719" s="50" t="n">
        <v>247.635</v>
      </c>
      <c r="I719" s="50" t="n">
        <v>2.041</v>
      </c>
      <c r="J719" s="50" t="n"/>
      <c r="K719" s="50" t="n">
        <v>247.635</v>
      </c>
      <c r="L719" s="50" t="n">
        <v>2.041</v>
      </c>
      <c r="M719" s="50" t="n"/>
      <c r="N719" s="50" t="n">
        <v>374.72</v>
      </c>
      <c r="O719" s="50" t="n">
        <v>5.007</v>
      </c>
      <c r="P719" s="50" t="n"/>
      <c r="Q719" s="50" t="n">
        <v>373.707</v>
      </c>
      <c r="R719" s="50" t="n">
        <v>5.056</v>
      </c>
      <c r="S719" s="50" t="n"/>
    </row>
    <row r="720">
      <c r="A720" s="50" t="inlineStr">
        <is>
          <t>2010-07</t>
        </is>
      </c>
      <c r="B720" s="50" t="n">
        <v>142.512</v>
      </c>
      <c r="C720" s="50" t="n">
        <v>16.011</v>
      </c>
      <c r="D720" s="50" t="n"/>
      <c r="E720" s="50" t="n">
        <v>146.379</v>
      </c>
      <c r="F720" s="50" t="n">
        <v>17.046</v>
      </c>
      <c r="G720" s="50" t="n"/>
      <c r="H720" s="50" t="n">
        <v>247.536</v>
      </c>
      <c r="I720" s="50" t="n">
        <v>1.854</v>
      </c>
      <c r="J720" s="50" t="n"/>
      <c r="K720" s="50" t="n">
        <v>247.536</v>
      </c>
      <c r="L720" s="50" t="n">
        <v>1.854</v>
      </c>
      <c r="M720" s="50" t="n"/>
      <c r="N720" s="50" t="n">
        <v>376.676</v>
      </c>
      <c r="O720" s="50" t="n">
        <v>5.306</v>
      </c>
      <c r="P720" s="50" t="n"/>
      <c r="Q720" s="50" t="n">
        <v>375.1</v>
      </c>
      <c r="R720" s="50" t="n">
        <v>5.316</v>
      </c>
      <c r="S720" s="50" t="n"/>
    </row>
    <row r="721">
      <c r="A721" s="50" t="inlineStr">
        <is>
          <t>2010-08</t>
        </is>
      </c>
      <c r="B721" s="50" t="n">
        <v>143.42</v>
      </c>
      <c r="C721" s="50" t="n">
        <v>14.726</v>
      </c>
      <c r="D721" s="50" t="n"/>
      <c r="E721" s="50" t="n">
        <v>147.909</v>
      </c>
      <c r="F721" s="50" t="n">
        <v>15.529</v>
      </c>
      <c r="G721" s="50" t="n"/>
      <c r="H721" s="50" t="n">
        <v>248.39</v>
      </c>
      <c r="I721" s="50" t="n">
        <v>2.011</v>
      </c>
      <c r="J721" s="50" t="n"/>
      <c r="K721" s="50" t="n">
        <v>248.39</v>
      </c>
      <c r="L721" s="50" t="n">
        <v>2.011</v>
      </c>
      <c r="M721" s="50" t="n"/>
      <c r="N721" s="50" t="n">
        <v>377.305</v>
      </c>
      <c r="O721" s="50" t="n">
        <v>5.056</v>
      </c>
      <c r="P721" s="50" t="n"/>
      <c r="Q721" s="50" t="n">
        <v>375.901</v>
      </c>
      <c r="R721" s="50" t="n">
        <v>5.065</v>
      </c>
      <c r="S721" s="50" t="n"/>
    </row>
    <row r="722">
      <c r="A722" s="50" t="inlineStr">
        <is>
          <t>2010-09</t>
        </is>
      </c>
      <c r="B722" s="50" t="n">
        <v>144.032</v>
      </c>
      <c r="C722" s="50" t="n">
        <v>12.85</v>
      </c>
      <c r="D722" s="50" t="n"/>
      <c r="E722" s="50" t="n">
        <v>146.065</v>
      </c>
      <c r="F722" s="50" t="n">
        <v>12.906</v>
      </c>
      <c r="G722" s="50" t="n"/>
      <c r="H722" s="50" t="n">
        <v>249.231</v>
      </c>
      <c r="I722" s="50" t="n">
        <v>1.938</v>
      </c>
      <c r="J722" s="50" t="n"/>
      <c r="K722" s="50" t="n">
        <v>249.231</v>
      </c>
      <c r="L722" s="50" t="n">
        <v>1.938</v>
      </c>
      <c r="M722" s="50" t="n"/>
      <c r="N722" s="50" t="n">
        <v>378.551</v>
      </c>
      <c r="O722" s="50" t="n">
        <v>5.155</v>
      </c>
      <c r="P722" s="50" t="n"/>
      <c r="Q722" s="50" t="n">
        <v>376.415</v>
      </c>
      <c r="R722" s="50" t="n">
        <v>5.132</v>
      </c>
      <c r="S722" s="50" t="n"/>
    </row>
    <row r="723">
      <c r="A723" s="50" t="inlineStr">
        <is>
          <t>2010-10</t>
        </is>
      </c>
      <c r="B723" s="50" t="n">
        <v>144.313</v>
      </c>
      <c r="C723" s="50" t="n">
        <v>8.936</v>
      </c>
      <c r="D723" s="50" t="n"/>
      <c r="E723" s="50" t="n">
        <v>144.04</v>
      </c>
      <c r="F723" s="50" t="n">
        <v>8.555</v>
      </c>
      <c r="G723" s="50" t="n"/>
      <c r="H723" s="50" t="n">
        <v>249.824</v>
      </c>
      <c r="I723" s="50" t="n">
        <v>1.806</v>
      </c>
      <c r="J723" s="50" t="n"/>
      <c r="K723" s="50" t="n">
        <v>249.824</v>
      </c>
      <c r="L723" s="50" t="n">
        <v>1.806</v>
      </c>
      <c r="M723" s="50" t="n"/>
      <c r="N723" s="50" t="n">
        <v>380.572</v>
      </c>
      <c r="O723" s="50" t="n">
        <v>5.403</v>
      </c>
      <c r="P723" s="50" t="n"/>
      <c r="Q723" s="50" t="n">
        <v>380.728</v>
      </c>
      <c r="R723" s="50" t="n">
        <v>5.435</v>
      </c>
      <c r="S723" s="50" t="n"/>
    </row>
    <row r="724">
      <c r="A724" s="50" t="inlineStr">
        <is>
          <t>2010-11</t>
        </is>
      </c>
      <c r="B724" s="50" t="n">
        <v>144.751</v>
      </c>
      <c r="C724" s="50" t="n">
        <v>6.646</v>
      </c>
      <c r="D724" s="50" t="n"/>
      <c r="E724" s="50" t="n">
        <v>142.25</v>
      </c>
      <c r="F724" s="50" t="n">
        <v>6.02</v>
      </c>
      <c r="G724" s="50" t="n"/>
      <c r="H724" s="50" t="n">
        <v>249.872</v>
      </c>
      <c r="I724" s="50" t="n">
        <v>1.776</v>
      </c>
      <c r="J724" s="50" t="n"/>
      <c r="K724" s="50" t="n">
        <v>249.872</v>
      </c>
      <c r="L724" s="50" t="n">
        <v>1.776</v>
      </c>
      <c r="M724" s="50" t="n"/>
      <c r="N724" s="50" t="n">
        <v>381.903</v>
      </c>
      <c r="O724" s="50" t="n">
        <v>5.306</v>
      </c>
      <c r="P724" s="50" t="n"/>
      <c r="Q724" s="50" t="n">
        <v>384.085</v>
      </c>
      <c r="R724" s="50" t="n">
        <v>5.259</v>
      </c>
      <c r="S724" s="50" t="n"/>
    </row>
    <row r="725">
      <c r="A725" s="50" t="inlineStr">
        <is>
          <t>2010-12</t>
        </is>
      </c>
      <c r="B725" s="50" t="n">
        <v>145.669</v>
      </c>
      <c r="C725" s="50" t="n">
        <v>4.515</v>
      </c>
      <c r="D725" s="50" t="n"/>
      <c r="E725" s="50" t="n">
        <v>142.454</v>
      </c>
      <c r="F725" s="50" t="n">
        <v>3.674</v>
      </c>
      <c r="G725" s="50" t="n"/>
      <c r="H725" s="50" t="n">
        <v>250.134</v>
      </c>
      <c r="I725" s="50" t="n">
        <v>1.922</v>
      </c>
      <c r="J725" s="50" t="n"/>
      <c r="K725" s="50" t="n">
        <v>250.134</v>
      </c>
      <c r="L725" s="50" t="n">
        <v>1.922</v>
      </c>
      <c r="M725" s="50" t="n"/>
      <c r="N725" s="50" t="n">
        <v>380.794</v>
      </c>
      <c r="O725" s="50" t="n">
        <v>4.437</v>
      </c>
      <c r="P725" s="50" t="n"/>
      <c r="Q725" s="50" t="n">
        <v>383.024</v>
      </c>
      <c r="R725" s="50" t="n">
        <v>4.423</v>
      </c>
      <c r="S725" s="50" t="n"/>
    </row>
    <row r="726">
      <c r="A726" s="50" t="inlineStr">
        <is>
          <t>2011-01</t>
        </is>
      </c>
      <c r="B726" s="50" t="n">
        <v>146.478</v>
      </c>
      <c r="C726" s="50" t="n">
        <v>2.555</v>
      </c>
      <c r="D726" s="50" t="n"/>
      <c r="E726" s="50" t="n">
        <v>142.555</v>
      </c>
      <c r="F726" s="50" t="n">
        <v>2.429</v>
      </c>
      <c r="G726" s="50" t="n"/>
      <c r="H726" s="50" t="n">
        <v>250.726</v>
      </c>
      <c r="I726" s="50" t="n">
        <v>2.101</v>
      </c>
      <c r="J726" s="50" t="n"/>
      <c r="K726" s="50" t="n">
        <v>250.726</v>
      </c>
      <c r="L726" s="50" t="n">
        <v>2.101</v>
      </c>
      <c r="M726" s="50" t="n"/>
      <c r="N726" s="50" t="n">
        <v>382.617</v>
      </c>
      <c r="O726" s="50" t="n">
        <v>4.441</v>
      </c>
      <c r="P726" s="50" t="n"/>
      <c r="Q726" s="50" t="n">
        <v>383.966</v>
      </c>
      <c r="R726" s="50" t="n">
        <v>4.459</v>
      </c>
      <c r="S726" s="50" t="n"/>
    </row>
    <row r="727">
      <c r="A727" s="50" t="inlineStr">
        <is>
          <t>2011-02</t>
        </is>
      </c>
      <c r="B727" s="50" t="n">
        <v>146.182</v>
      </c>
      <c r="C727" s="50" t="n">
        <v>2.102</v>
      </c>
      <c r="D727" s="50" t="n"/>
      <c r="E727" s="50" t="n">
        <v>142.937</v>
      </c>
      <c r="F727" s="50" t="n">
        <v>1.939</v>
      </c>
      <c r="G727" s="50" t="n"/>
      <c r="H727" s="50" t="n">
        <v>250.851</v>
      </c>
      <c r="I727" s="50" t="n">
        <v>1.985</v>
      </c>
      <c r="J727" s="50" t="n"/>
      <c r="K727" s="50" t="n">
        <v>250.851</v>
      </c>
      <c r="L727" s="50" t="n">
        <v>1.985</v>
      </c>
      <c r="M727" s="50" t="n"/>
      <c r="N727" s="50" t="n">
        <v>383.881</v>
      </c>
      <c r="O727" s="50" t="n">
        <v>4.196</v>
      </c>
      <c r="P727" s="50" t="n"/>
      <c r="Q727" s="50" t="n">
        <v>385.232</v>
      </c>
      <c r="R727" s="50" t="n">
        <v>4.187</v>
      </c>
      <c r="S727" s="50" t="n"/>
    </row>
    <row r="728">
      <c r="A728" s="50" t="inlineStr">
        <is>
          <t>2011-03</t>
        </is>
      </c>
      <c r="B728" s="50" t="n">
        <v>145.646</v>
      </c>
      <c r="C728" s="50" t="n">
        <v>2.296</v>
      </c>
      <c r="D728" s="50" t="n"/>
      <c r="E728" s="50" t="n">
        <v>144.072</v>
      </c>
      <c r="F728" s="50" t="n">
        <v>2.326</v>
      </c>
      <c r="G728" s="50" t="n"/>
      <c r="H728" s="50" t="n">
        <v>250.82</v>
      </c>
      <c r="I728" s="50" t="n">
        <v>1.701</v>
      </c>
      <c r="J728" s="50" t="n"/>
      <c r="K728" s="50" t="n">
        <v>250.82</v>
      </c>
      <c r="L728" s="50" t="n">
        <v>1.701</v>
      </c>
      <c r="M728" s="50" t="n"/>
      <c r="N728" s="50" t="n">
        <v>385.344</v>
      </c>
      <c r="O728" s="50" t="n">
        <v>3.957</v>
      </c>
      <c r="P728" s="50" t="n"/>
      <c r="Q728" s="50" t="n">
        <v>385.479</v>
      </c>
      <c r="R728" s="50" t="n">
        <v>3.975</v>
      </c>
      <c r="S728" s="50" t="n"/>
    </row>
    <row r="729">
      <c r="A729" s="50" t="inlineStr">
        <is>
          <t>2011-04</t>
        </is>
      </c>
      <c r="B729" s="50" t="n">
        <v>145.542</v>
      </c>
      <c r="C729" s="50" t="n">
        <v>2.726</v>
      </c>
      <c r="D729" s="50" t="n"/>
      <c r="E729" s="50" t="n">
        <v>145.968</v>
      </c>
      <c r="F729" s="50" t="n">
        <v>3.293</v>
      </c>
      <c r="G729" s="50" t="n"/>
      <c r="H729" s="50" t="n">
        <v>251.458</v>
      </c>
      <c r="I729" s="50" t="n">
        <v>1.659</v>
      </c>
      <c r="J729" s="50" t="n"/>
      <c r="K729" s="50" t="n">
        <v>251.458</v>
      </c>
      <c r="L729" s="50" t="n">
        <v>1.659</v>
      </c>
      <c r="M729" s="50" t="n"/>
      <c r="N729" s="50" t="n">
        <v>386.443</v>
      </c>
      <c r="O729" s="50" t="n">
        <v>3.756</v>
      </c>
      <c r="P729" s="50" t="n"/>
      <c r="Q729" s="50" t="n">
        <v>386.317</v>
      </c>
      <c r="R729" s="50" t="n">
        <v>3.762</v>
      </c>
      <c r="S729" s="50" t="n"/>
    </row>
    <row r="730">
      <c r="A730" s="50" t="inlineStr">
        <is>
          <t>2011-05</t>
        </is>
      </c>
      <c r="B730" s="50" t="n">
        <v>146.476</v>
      </c>
      <c r="C730" s="50" t="n">
        <v>3.919</v>
      </c>
      <c r="D730" s="50" t="n"/>
      <c r="E730" s="50" t="n">
        <v>148.361</v>
      </c>
      <c r="F730" s="50" t="n">
        <v>4.086</v>
      </c>
      <c r="G730" s="50" t="n"/>
      <c r="H730" s="50" t="n">
        <v>252.376</v>
      </c>
      <c r="I730" s="50" t="n">
        <v>2.048</v>
      </c>
      <c r="J730" s="50" t="n"/>
      <c r="K730" s="50" t="n">
        <v>252.376</v>
      </c>
      <c r="L730" s="50" t="n">
        <v>2.048</v>
      </c>
      <c r="M730" s="50" t="n"/>
      <c r="N730" s="50" t="n">
        <v>387.739</v>
      </c>
      <c r="O730" s="50" t="n">
        <v>3.793</v>
      </c>
      <c r="P730" s="50" t="n"/>
      <c r="Q730" s="50" t="n">
        <v>386.954</v>
      </c>
      <c r="R730" s="50" t="n">
        <v>3.793</v>
      </c>
      <c r="S730" s="50" t="n"/>
    </row>
    <row r="731">
      <c r="A731" s="50" t="inlineStr">
        <is>
          <t>2011-06</t>
        </is>
      </c>
      <c r="B731" s="50" t="n">
        <v>148.518</v>
      </c>
      <c r="C731" s="50" t="n">
        <v>4.626</v>
      </c>
      <c r="D731" s="50" t="n"/>
      <c r="E731" s="50" t="n">
        <v>151.776</v>
      </c>
      <c r="F731" s="50" t="n">
        <v>5.109</v>
      </c>
      <c r="G731" s="50" t="n"/>
      <c r="H731" s="50" t="n">
        <v>252.529</v>
      </c>
      <c r="I731" s="50" t="n">
        <v>1.976</v>
      </c>
      <c r="J731" s="50" t="n"/>
      <c r="K731" s="50" t="n">
        <v>252.529</v>
      </c>
      <c r="L731" s="50" t="n">
        <v>1.976</v>
      </c>
      <c r="M731" s="50" t="n"/>
      <c r="N731" s="50" t="n">
        <v>388.545</v>
      </c>
      <c r="O731" s="50" t="n">
        <v>3.689</v>
      </c>
      <c r="P731" s="50" t="n"/>
      <c r="Q731" s="50" t="n">
        <v>387.486</v>
      </c>
      <c r="R731" s="50" t="n">
        <v>3.687</v>
      </c>
      <c r="S731" s="50" t="n"/>
    </row>
    <row r="732">
      <c r="A732" s="50" t="inlineStr">
        <is>
          <t>2011-07</t>
        </is>
      </c>
      <c r="B732" s="50" t="n">
        <v>149.971</v>
      </c>
      <c r="C732" s="50" t="n">
        <v>5.234</v>
      </c>
      <c r="D732" s="50" t="n"/>
      <c r="E732" s="50" t="n">
        <v>154.184</v>
      </c>
      <c r="F732" s="50" t="n">
        <v>5.332</v>
      </c>
      <c r="G732" s="50" t="n"/>
      <c r="H732" s="50" t="n">
        <v>252.769</v>
      </c>
      <c r="I732" s="50" t="n">
        <v>2.114</v>
      </c>
      <c r="J732" s="50" t="n"/>
      <c r="K732" s="50" t="n">
        <v>252.769</v>
      </c>
      <c r="L732" s="50" t="n">
        <v>2.114</v>
      </c>
      <c r="M732" s="50" t="n"/>
      <c r="N732" s="50" t="n">
        <v>389.031</v>
      </c>
      <c r="O732" s="50" t="n">
        <v>3.28</v>
      </c>
      <c r="P732" s="50" t="n"/>
      <c r="Q732" s="50" t="n">
        <v>387.358</v>
      </c>
      <c r="R732" s="50" t="n">
        <v>3.268</v>
      </c>
      <c r="S732" s="50" t="n"/>
    </row>
    <row r="733">
      <c r="A733" s="50" t="inlineStr">
        <is>
          <t>2011-08</t>
        </is>
      </c>
      <c r="B733" s="50" t="n">
        <v>151.312</v>
      </c>
      <c r="C733" s="50" t="n">
        <v>5.503</v>
      </c>
      <c r="D733" s="50" t="n"/>
      <c r="E733" s="50" t="n">
        <v>155.823</v>
      </c>
      <c r="F733" s="50" t="n">
        <v>5.351</v>
      </c>
      <c r="G733" s="50" t="n"/>
      <c r="H733" s="50" t="n">
        <v>253.337</v>
      </c>
      <c r="I733" s="50" t="n">
        <v>1.992</v>
      </c>
      <c r="J733" s="50" t="n"/>
      <c r="K733" s="50" t="n">
        <v>253.337</v>
      </c>
      <c r="L733" s="50" t="n">
        <v>1.992</v>
      </c>
      <c r="M733" s="50" t="n"/>
      <c r="N733" s="50" t="n">
        <v>390.105</v>
      </c>
      <c r="O733" s="50" t="n">
        <v>3.392</v>
      </c>
      <c r="P733" s="50" t="n"/>
      <c r="Q733" s="50" t="n">
        <v>388.619</v>
      </c>
      <c r="R733" s="50" t="n">
        <v>3.383</v>
      </c>
      <c r="S733" s="50" t="n"/>
    </row>
    <row r="734">
      <c r="A734" s="50" t="inlineStr">
        <is>
          <t>2011-09</t>
        </is>
      </c>
      <c r="B734" s="50" t="n">
        <v>151.677</v>
      </c>
      <c r="C734" s="50" t="n">
        <v>5.308</v>
      </c>
      <c r="D734" s="50" t="n"/>
      <c r="E734" s="50" t="n">
        <v>153.586</v>
      </c>
      <c r="F734" s="50" t="n">
        <v>5.149</v>
      </c>
      <c r="G734" s="50" t="n"/>
      <c r="H734" s="50" t="n">
        <v>255.244</v>
      </c>
      <c r="I734" s="50" t="n">
        <v>2.413</v>
      </c>
      <c r="J734" s="50" t="n"/>
      <c r="K734" s="50" t="n">
        <v>255.244</v>
      </c>
      <c r="L734" s="50" t="n">
        <v>2.413</v>
      </c>
      <c r="M734" s="50" t="n"/>
      <c r="N734" s="50" t="n">
        <v>391.156</v>
      </c>
      <c r="O734" s="50" t="n">
        <v>3.33</v>
      </c>
      <c r="P734" s="50" t="n"/>
      <c r="Q734" s="50" t="n">
        <v>388.87</v>
      </c>
      <c r="R734" s="50" t="n">
        <v>3.309</v>
      </c>
      <c r="S734" s="50" t="n"/>
    </row>
    <row r="735">
      <c r="A735" s="50" t="inlineStr">
        <is>
          <t>2011-10</t>
        </is>
      </c>
      <c r="B735" s="50" t="n">
        <v>151.986</v>
      </c>
      <c r="C735" s="50" t="n">
        <v>5.317</v>
      </c>
      <c r="D735" s="50" t="n"/>
      <c r="E735" s="50" t="n">
        <v>151.494</v>
      </c>
      <c r="F735" s="50" t="n">
        <v>5.175</v>
      </c>
      <c r="G735" s="50" t="n"/>
      <c r="H735" s="50" t="n">
        <v>255.774</v>
      </c>
      <c r="I735" s="50" t="n">
        <v>2.382</v>
      </c>
      <c r="J735" s="50" t="n"/>
      <c r="K735" s="50" t="n">
        <v>255.774</v>
      </c>
      <c r="L735" s="50" t="n">
        <v>2.382</v>
      </c>
      <c r="M735" s="50" t="n"/>
      <c r="N735" s="50" t="n">
        <v>391.72</v>
      </c>
      <c r="O735" s="50" t="n">
        <v>2.929</v>
      </c>
      <c r="P735" s="50" t="n"/>
      <c r="Q735" s="50" t="n">
        <v>391.893</v>
      </c>
      <c r="R735" s="50" t="n">
        <v>2.933</v>
      </c>
      <c r="S735" s="50" t="n"/>
    </row>
    <row r="736">
      <c r="A736" s="50" t="inlineStr">
        <is>
          <t>2011-11</t>
        </is>
      </c>
      <c r="B736" s="50" t="n">
        <v>152.187</v>
      </c>
      <c r="C736" s="50" t="n">
        <v>5.137</v>
      </c>
      <c r="D736" s="50" t="n"/>
      <c r="E736" s="50" t="n">
        <v>149.23</v>
      </c>
      <c r="F736" s="50" t="n">
        <v>4.907</v>
      </c>
      <c r="G736" s="50" t="n"/>
      <c r="H736" s="50" t="n">
        <v>255.663</v>
      </c>
      <c r="I736" s="50" t="n">
        <v>2.318</v>
      </c>
      <c r="J736" s="50" t="n"/>
      <c r="K736" s="50" t="n">
        <v>255.663</v>
      </c>
      <c r="L736" s="50" t="n">
        <v>2.318</v>
      </c>
      <c r="M736" s="50" t="n"/>
      <c r="N736" s="50" t="n">
        <v>393.329</v>
      </c>
      <c r="O736" s="50" t="n">
        <v>2.992</v>
      </c>
      <c r="P736" s="50" t="n"/>
      <c r="Q736" s="50" t="n">
        <v>395.491</v>
      </c>
      <c r="R736" s="50" t="n">
        <v>2.97</v>
      </c>
      <c r="S736" s="50" t="n"/>
    </row>
    <row r="737">
      <c r="A737" s="50" t="inlineStr">
        <is>
          <t>2011-12</t>
        </is>
      </c>
      <c r="B737" s="50" t="n">
        <v>152.083</v>
      </c>
      <c r="C737" s="50" t="n">
        <v>4.403</v>
      </c>
      <c r="D737" s="50" t="n"/>
      <c r="E737" s="50" t="n">
        <v>148.14</v>
      </c>
      <c r="F737" s="50" t="n">
        <v>3.991</v>
      </c>
      <c r="G737" s="50" t="n"/>
      <c r="H737" s="50" t="n">
        <v>255.644</v>
      </c>
      <c r="I737" s="50" t="n">
        <v>2.203</v>
      </c>
      <c r="J737" s="50" t="n"/>
      <c r="K737" s="50" t="n">
        <v>255.644</v>
      </c>
      <c r="L737" s="50" t="n">
        <v>2.203</v>
      </c>
      <c r="M737" s="50" t="n"/>
      <c r="N737" s="50" t="n">
        <v>393.9</v>
      </c>
      <c r="O737" s="50" t="n">
        <v>3.442</v>
      </c>
      <c r="P737" s="50" t="n"/>
      <c r="Q737" s="50" t="n">
        <v>396.193</v>
      </c>
      <c r="R737" s="50" t="n">
        <v>3.438</v>
      </c>
      <c r="S737" s="50" t="n"/>
    </row>
    <row r="738">
      <c r="A738" s="50" t="inlineStr">
        <is>
          <t>2012-01</t>
        </is>
      </c>
      <c r="B738" s="50" t="n">
        <v>151.106</v>
      </c>
      <c r="C738" s="50" t="n">
        <v>3.16</v>
      </c>
      <c r="D738" s="50" t="n"/>
      <c r="E738" s="50" t="n">
        <v>147.143</v>
      </c>
      <c r="F738" s="50" t="n">
        <v>3.218</v>
      </c>
      <c r="G738" s="50" t="n"/>
      <c r="H738" s="50" t="n">
        <v>256.405</v>
      </c>
      <c r="I738" s="50" t="n">
        <v>2.265</v>
      </c>
      <c r="J738" s="50" t="n"/>
      <c r="K738" s="50" t="n">
        <v>256.405</v>
      </c>
      <c r="L738" s="50" t="n">
        <v>2.265</v>
      </c>
      <c r="M738" s="50" t="n"/>
      <c r="N738" s="50" t="n">
        <v>394.648</v>
      </c>
      <c r="O738" s="50" t="n">
        <v>3.144</v>
      </c>
      <c r="P738" s="50" t="n"/>
      <c r="Q738" s="50" t="n">
        <v>395.974</v>
      </c>
      <c r="R738" s="50" t="n">
        <v>3.127</v>
      </c>
      <c r="S738" s="50" t="n"/>
    </row>
    <row r="739">
      <c r="A739" s="50" t="inlineStr">
        <is>
          <t>2012-02</t>
        </is>
      </c>
      <c r="B739" s="50" t="n">
        <v>149.893</v>
      </c>
      <c r="C739" s="50" t="n">
        <v>2.539</v>
      </c>
      <c r="D739" s="50" t="n"/>
      <c r="E739" s="50" t="n">
        <v>147.011</v>
      </c>
      <c r="F739" s="50" t="n">
        <v>2.85</v>
      </c>
      <c r="G739" s="50" t="n"/>
      <c r="H739" s="50" t="n">
        <v>256.968</v>
      </c>
      <c r="I739" s="50" t="n">
        <v>2.438</v>
      </c>
      <c r="J739" s="50" t="n"/>
      <c r="K739" s="50" t="n">
        <v>256.968</v>
      </c>
      <c r="L739" s="50" t="n">
        <v>2.438</v>
      </c>
      <c r="M739" s="50" t="n"/>
      <c r="N739" s="50" t="n">
        <v>394.274</v>
      </c>
      <c r="O739" s="50" t="n">
        <v>2.707</v>
      </c>
      <c r="P739" s="50" t="n"/>
      <c r="Q739" s="50" t="n">
        <v>395.516</v>
      </c>
      <c r="R739" s="50" t="n">
        <v>2.67</v>
      </c>
      <c r="S739" s="50" t="n"/>
    </row>
    <row r="740">
      <c r="A740" s="50" t="inlineStr">
        <is>
          <t>2012-03</t>
        </is>
      </c>
      <c r="B740" s="50" t="n">
        <v>149.265</v>
      </c>
      <c r="C740" s="50" t="n">
        <v>2.485</v>
      </c>
      <c r="D740" s="50" t="n"/>
      <c r="E740" s="50" t="n">
        <v>148.677</v>
      </c>
      <c r="F740" s="50" t="n">
        <v>3.196</v>
      </c>
      <c r="G740" s="50" t="n"/>
      <c r="H740" s="50" t="n">
        <v>256.616</v>
      </c>
      <c r="I740" s="50" t="n">
        <v>2.311</v>
      </c>
      <c r="J740" s="50" t="n"/>
      <c r="K740" s="50" t="n">
        <v>256.616</v>
      </c>
      <c r="L740" s="50" t="n">
        <v>2.311</v>
      </c>
      <c r="M740" s="50" t="n"/>
      <c r="N740" s="50" t="n">
        <v>396.465</v>
      </c>
      <c r="O740" s="50" t="n">
        <v>2.886</v>
      </c>
      <c r="P740" s="50" t="n"/>
      <c r="Q740" s="50" t="n">
        <v>396.393</v>
      </c>
      <c r="R740" s="50" t="n">
        <v>2.831</v>
      </c>
      <c r="S740" s="50" t="n"/>
    </row>
    <row r="741">
      <c r="A741" s="50" t="inlineStr">
        <is>
          <t>2012-04</t>
        </is>
      </c>
      <c r="B741" s="50" t="n">
        <v>150.053</v>
      </c>
      <c r="C741" s="50" t="n">
        <v>3.099</v>
      </c>
      <c r="D741" s="50" t="n"/>
      <c r="E741" s="50" t="n">
        <v>151.087</v>
      </c>
      <c r="F741" s="50" t="n">
        <v>3.507</v>
      </c>
      <c r="G741" s="50" t="n"/>
      <c r="H741" s="50" t="n">
        <v>256.544</v>
      </c>
      <c r="I741" s="50" t="n">
        <v>2.023</v>
      </c>
      <c r="J741" s="50" t="n"/>
      <c r="K741" s="50" t="n">
        <v>256.544</v>
      </c>
      <c r="L741" s="50" t="n">
        <v>2.023</v>
      </c>
      <c r="M741" s="50" t="n"/>
      <c r="N741" s="50" t="n">
        <v>397.695</v>
      </c>
      <c r="O741" s="50" t="n">
        <v>2.912</v>
      </c>
      <c r="P741" s="50" t="n"/>
      <c r="Q741" s="50" t="n">
        <v>397.507</v>
      </c>
      <c r="R741" s="50" t="n">
        <v>2.897</v>
      </c>
      <c r="S741" s="50" t="n"/>
    </row>
    <row r="742">
      <c r="A742" s="50" t="inlineStr">
        <is>
          <t>2012-05</t>
        </is>
      </c>
      <c r="B742" s="50" t="n">
        <v>151.587</v>
      </c>
      <c r="C742" s="50" t="n">
        <v>3.489</v>
      </c>
      <c r="D742" s="50" t="n"/>
      <c r="E742" s="50" t="n">
        <v>153.565</v>
      </c>
      <c r="F742" s="50" t="n">
        <v>3.508</v>
      </c>
      <c r="G742" s="50" t="n"/>
      <c r="H742" s="50" t="n">
        <v>257.372</v>
      </c>
      <c r="I742" s="50" t="n">
        <v>1.98</v>
      </c>
      <c r="J742" s="50" t="n"/>
      <c r="K742" s="50" t="n">
        <v>257.372</v>
      </c>
      <c r="L742" s="50" t="n">
        <v>1.98</v>
      </c>
      <c r="M742" s="50" t="n"/>
      <c r="N742" s="50" t="n">
        <v>399.15</v>
      </c>
      <c r="O742" s="50" t="n">
        <v>2.943</v>
      </c>
      <c r="P742" s="50" t="n"/>
      <c r="Q742" s="50" t="n">
        <v>398.478</v>
      </c>
      <c r="R742" s="50" t="n">
        <v>2.978</v>
      </c>
      <c r="S742" s="50" t="n"/>
    </row>
    <row r="743">
      <c r="A743" s="50" t="inlineStr">
        <is>
          <t>2012-06</t>
        </is>
      </c>
      <c r="B743" s="50" t="n">
        <v>152.263</v>
      </c>
      <c r="C743" s="50" t="n">
        <v>2.522</v>
      </c>
      <c r="D743" s="50" t="n"/>
      <c r="E743" s="50" t="n">
        <v>155.306</v>
      </c>
      <c r="F743" s="50" t="n">
        <v>2.326</v>
      </c>
      <c r="G743" s="50" t="n"/>
      <c r="H743" s="50" t="n">
        <v>257.629</v>
      </c>
      <c r="I743" s="50" t="n">
        <v>2.02</v>
      </c>
      <c r="J743" s="50" t="n"/>
      <c r="K743" s="50" t="n">
        <v>257.629</v>
      </c>
      <c r="L743" s="50" t="n">
        <v>2.02</v>
      </c>
      <c r="M743" s="50" t="n"/>
      <c r="N743" s="50" t="n">
        <v>400.876</v>
      </c>
      <c r="O743" s="50" t="n">
        <v>3.174</v>
      </c>
      <c r="P743" s="50" t="n"/>
      <c r="Q743" s="50" t="n">
        <v>399.729</v>
      </c>
      <c r="R743" s="50" t="n">
        <v>3.16</v>
      </c>
      <c r="S743" s="50" t="n"/>
    </row>
    <row r="744">
      <c r="A744" s="50" t="inlineStr">
        <is>
          <t>2012-07</t>
        </is>
      </c>
      <c r="B744" s="50" t="n">
        <v>151.97</v>
      </c>
      <c r="C744" s="50" t="n">
        <v>1.333</v>
      </c>
      <c r="D744" s="50" t="n"/>
      <c r="E744" s="50" t="n">
        <v>155.815</v>
      </c>
      <c r="F744" s="50" t="n">
        <v>1.058</v>
      </c>
      <c r="G744" s="50" t="n"/>
      <c r="H744" s="50" t="n">
        <v>257.423</v>
      </c>
      <c r="I744" s="50" t="n">
        <v>1.841</v>
      </c>
      <c r="J744" s="50" t="n"/>
      <c r="K744" s="50" t="n">
        <v>257.423</v>
      </c>
      <c r="L744" s="50" t="n">
        <v>1.841</v>
      </c>
      <c r="M744" s="50" t="n"/>
      <c r="N744" s="50" t="n">
        <v>402.428</v>
      </c>
      <c r="O744" s="50" t="n">
        <v>3.444</v>
      </c>
      <c r="P744" s="50" t="n"/>
      <c r="Q744" s="50" t="n">
        <v>400.709</v>
      </c>
      <c r="R744" s="50" t="n">
        <v>3.447</v>
      </c>
      <c r="S744" s="50" t="n"/>
    </row>
    <row r="745">
      <c r="A745" s="50" t="inlineStr">
        <is>
          <t>2012-08</t>
        </is>
      </c>
      <c r="B745" s="50" t="n">
        <v>150.871</v>
      </c>
      <c r="C745" s="50" t="n">
        <v>-0.291</v>
      </c>
      <c r="D745" s="50" t="n"/>
      <c r="E745" s="50" t="n">
        <v>154.851</v>
      </c>
      <c r="F745" s="50" t="n">
        <v>-0.624</v>
      </c>
      <c r="G745" s="50" t="n"/>
      <c r="H745" s="50" t="n">
        <v>257.641</v>
      </c>
      <c r="I745" s="50" t="n">
        <v>1.699</v>
      </c>
      <c r="J745" s="50" t="n"/>
      <c r="K745" s="50" t="n">
        <v>257.641</v>
      </c>
      <c r="L745" s="50" t="n">
        <v>1.699</v>
      </c>
      <c r="M745" s="50" t="n"/>
      <c r="N745" s="50" t="n">
        <v>404.828</v>
      </c>
      <c r="O745" s="50" t="n">
        <v>3.774</v>
      </c>
      <c r="P745" s="50" t="n"/>
      <c r="Q745" s="50" t="n">
        <v>403.246</v>
      </c>
      <c r="R745" s="50" t="n">
        <v>3.764</v>
      </c>
      <c r="S745" s="50" t="n"/>
    </row>
    <row r="746">
      <c r="A746" s="50" t="inlineStr">
        <is>
          <t>2012-09</t>
        </is>
      </c>
      <c r="B746" s="50" t="n">
        <v>149.647</v>
      </c>
      <c r="C746" s="50" t="n">
        <v>-1.338</v>
      </c>
      <c r="D746" s="50" t="n"/>
      <c r="E746" s="50" t="n">
        <v>151.118</v>
      </c>
      <c r="F746" s="50" t="n">
        <v>-1.607</v>
      </c>
      <c r="G746" s="50" t="n"/>
      <c r="H746" s="50" t="n">
        <v>258.024</v>
      </c>
      <c r="I746" s="50" t="n">
        <v>1.089</v>
      </c>
      <c r="J746" s="50" t="n"/>
      <c r="K746" s="50" t="n">
        <v>258.024</v>
      </c>
      <c r="L746" s="50" t="n">
        <v>1.089</v>
      </c>
      <c r="M746" s="50" t="n"/>
      <c r="N746" s="50" t="n">
        <v>406.844</v>
      </c>
      <c r="O746" s="50" t="n">
        <v>4.011</v>
      </c>
      <c r="P746" s="50" t="n"/>
      <c r="Q746" s="50" t="n">
        <v>404.464</v>
      </c>
      <c r="R746" s="50" t="n">
        <v>4.01</v>
      </c>
      <c r="S746" s="50" t="n"/>
    </row>
    <row r="747">
      <c r="A747" s="50" t="inlineStr">
        <is>
          <t>2012-10</t>
        </is>
      </c>
      <c r="B747" s="50" t="n">
        <v>148.986</v>
      </c>
      <c r="C747" s="50" t="n">
        <v>-1.974</v>
      </c>
      <c r="D747" s="50" t="n"/>
      <c r="E747" s="50" t="n">
        <v>148.293</v>
      </c>
      <c r="F747" s="50" t="n">
        <v>-2.113</v>
      </c>
      <c r="G747" s="50" t="n"/>
      <c r="H747" s="50" t="n">
        <v>258.578</v>
      </c>
      <c r="I747" s="50" t="n">
        <v>1.096</v>
      </c>
      <c r="J747" s="50" t="n"/>
      <c r="K747" s="50" t="n">
        <v>258.578</v>
      </c>
      <c r="L747" s="50" t="n">
        <v>1.096</v>
      </c>
      <c r="M747" s="50" t="n"/>
      <c r="N747" s="50" t="n">
        <v>409.432</v>
      </c>
      <c r="O747" s="50" t="n">
        <v>4.522</v>
      </c>
      <c r="P747" s="50" t="n"/>
      <c r="Q747" s="50" t="n">
        <v>410.031</v>
      </c>
      <c r="R747" s="50" t="n">
        <v>4.628</v>
      </c>
      <c r="S747" s="50" t="n"/>
    </row>
    <row r="748">
      <c r="A748" s="50" t="inlineStr">
        <is>
          <t>2012-11</t>
        </is>
      </c>
      <c r="B748" s="50" t="n">
        <v>148.932</v>
      </c>
      <c r="C748" s="50" t="n">
        <v>-2.139</v>
      </c>
      <c r="D748" s="50" t="n"/>
      <c r="E748" s="50" t="n">
        <v>145.862</v>
      </c>
      <c r="F748" s="50" t="n">
        <v>-2.257</v>
      </c>
      <c r="G748" s="50" t="n"/>
      <c r="H748" s="50" t="n">
        <v>258.943</v>
      </c>
      <c r="I748" s="50" t="n">
        <v>1.283</v>
      </c>
      <c r="J748" s="50" t="n"/>
      <c r="K748" s="50" t="n">
        <v>258.943</v>
      </c>
      <c r="L748" s="50" t="n">
        <v>1.283</v>
      </c>
      <c r="M748" s="50" t="n"/>
      <c r="N748" s="50" t="n">
        <v>410.687</v>
      </c>
      <c r="O748" s="50" t="n">
        <v>4.413</v>
      </c>
      <c r="P748" s="50" t="n"/>
      <c r="Q748" s="50" t="n">
        <v>412.89</v>
      </c>
      <c r="R748" s="50" t="n">
        <v>4.399</v>
      </c>
      <c r="S748" s="50" t="n"/>
    </row>
    <row r="749">
      <c r="A749" s="50" t="inlineStr">
        <is>
          <t>2012-12</t>
        </is>
      </c>
      <c r="B749" s="50" t="n">
        <v>149.243</v>
      </c>
      <c r="C749" s="50" t="n">
        <v>-1.867</v>
      </c>
      <c r="D749" s="50" t="n"/>
      <c r="E749" s="50" t="n">
        <v>145.234</v>
      </c>
      <c r="F749" s="50" t="n">
        <v>-1.962</v>
      </c>
      <c r="G749" s="50" t="n"/>
      <c r="H749" s="50" t="n">
        <v>258.845</v>
      </c>
      <c r="I749" s="50" t="n">
        <v>1.252</v>
      </c>
      <c r="J749" s="50" t="n"/>
      <c r="K749" s="50" t="n">
        <v>258.845</v>
      </c>
      <c r="L749" s="50" t="n">
        <v>1.252</v>
      </c>
      <c r="M749" s="50" t="n"/>
      <c r="N749" s="50" t="n">
        <v>412.433</v>
      </c>
      <c r="O749" s="50" t="n">
        <v>4.705</v>
      </c>
      <c r="P749" s="50" t="n"/>
      <c r="Q749" s="50" t="n">
        <v>414.773</v>
      </c>
      <c r="R749" s="50" t="n">
        <v>4.69</v>
      </c>
      <c r="S749" s="50" t="n"/>
    </row>
    <row r="750">
      <c r="A750" s="50" t="inlineStr">
        <is>
          <t>2013-01</t>
        </is>
      </c>
      <c r="B750" s="50" t="n">
        <v>149.741</v>
      </c>
      <c r="C750" s="50" t="n">
        <v>-0.903</v>
      </c>
      <c r="D750" s="50" t="n"/>
      <c r="E750" s="50" t="n">
        <v>145.26</v>
      </c>
      <c r="F750" s="50" t="n">
        <v>-1.28</v>
      </c>
      <c r="G750" s="50" t="n"/>
      <c r="H750" s="50" t="n">
        <v>259.752</v>
      </c>
      <c r="I750" s="50" t="n">
        <v>1.305</v>
      </c>
      <c r="J750" s="50" t="n"/>
      <c r="K750" s="50" t="n">
        <v>259.752</v>
      </c>
      <c r="L750" s="50" t="n">
        <v>1.305</v>
      </c>
      <c r="M750" s="50" t="n"/>
      <c r="N750" s="50" t="n">
        <v>413.992</v>
      </c>
      <c r="O750" s="50" t="n">
        <v>4.902</v>
      </c>
      <c r="P750" s="50" t="n"/>
      <c r="Q750" s="50" t="n">
        <v>415.51</v>
      </c>
      <c r="R750" s="50" t="n">
        <v>4.934</v>
      </c>
      <c r="S750" s="50" t="n"/>
    </row>
    <row r="751">
      <c r="A751" s="50" t="inlineStr">
        <is>
          <t>2013-02</t>
        </is>
      </c>
      <c r="B751" s="50" t="n">
        <v>149.789</v>
      </c>
      <c r="C751" s="50" t="n">
        <v>-0.06900000000000001</v>
      </c>
      <c r="D751" s="50" t="n"/>
      <c r="E751" s="50" t="n">
        <v>146.718</v>
      </c>
      <c r="F751" s="50" t="n">
        <v>-0.199</v>
      </c>
      <c r="G751" s="50" t="n"/>
      <c r="H751" s="50" t="n">
        <v>260.234</v>
      </c>
      <c r="I751" s="50" t="n">
        <v>1.271</v>
      </c>
      <c r="J751" s="50" t="n"/>
      <c r="K751" s="50" t="n">
        <v>260.234</v>
      </c>
      <c r="L751" s="50" t="n">
        <v>1.271</v>
      </c>
      <c r="M751" s="50" t="n"/>
      <c r="N751" s="50" t="n">
        <v>414.875</v>
      </c>
      <c r="O751" s="50" t="n">
        <v>5.225</v>
      </c>
      <c r="P751" s="50" t="n"/>
      <c r="Q751" s="50" t="n">
        <v>416.147</v>
      </c>
      <c r="R751" s="50" t="n">
        <v>5.216</v>
      </c>
      <c r="S751" s="50" t="n"/>
    </row>
    <row r="752">
      <c r="A752" s="50" t="inlineStr">
        <is>
          <t>2013-03</t>
        </is>
      </c>
      <c r="B752" s="50" t="n">
        <v>148.912</v>
      </c>
      <c r="C752" s="50" t="n">
        <v>-0.236</v>
      </c>
      <c r="D752" s="50" t="n"/>
      <c r="E752" s="50" t="n">
        <v>148.753</v>
      </c>
      <c r="F752" s="50" t="n">
        <v>0.051</v>
      </c>
      <c r="G752" s="50" t="n"/>
      <c r="H752" s="50" t="n">
        <v>260.156</v>
      </c>
      <c r="I752" s="50" t="n">
        <v>1.379</v>
      </c>
      <c r="J752" s="50" t="n"/>
      <c r="K752" s="50" t="n">
        <v>260.156</v>
      </c>
      <c r="L752" s="50" t="n">
        <v>1.379</v>
      </c>
      <c r="M752" s="50" t="n"/>
      <c r="N752" s="50" t="n">
        <v>415.397</v>
      </c>
      <c r="O752" s="50" t="n">
        <v>4.775</v>
      </c>
      <c r="P752" s="50" t="n"/>
      <c r="Q752" s="50" t="n">
        <v>415.381</v>
      </c>
      <c r="R752" s="50" t="n">
        <v>4.79</v>
      </c>
      <c r="S752" s="50" t="n"/>
    </row>
    <row r="753">
      <c r="A753" s="50" t="inlineStr">
        <is>
          <t>2013-04</t>
        </is>
      </c>
      <c r="B753" s="50" t="n">
        <v>148.577</v>
      </c>
      <c r="C753" s="50" t="n">
        <v>-0.984</v>
      </c>
      <c r="D753" s="50" t="n"/>
      <c r="E753" s="50" t="n">
        <v>150.16</v>
      </c>
      <c r="F753" s="50" t="n">
        <v>-0.614</v>
      </c>
      <c r="G753" s="50" t="n"/>
      <c r="H753" s="50" t="n">
        <v>260.341</v>
      </c>
      <c r="I753" s="50" t="n">
        <v>1.48</v>
      </c>
      <c r="J753" s="50" t="n"/>
      <c r="K753" s="50" t="n">
        <v>260.341</v>
      </c>
      <c r="L753" s="50" t="n">
        <v>1.48</v>
      </c>
      <c r="M753" s="50" t="n"/>
      <c r="N753" s="50" t="n">
        <v>415.265</v>
      </c>
      <c r="O753" s="50" t="n">
        <v>4.418</v>
      </c>
      <c r="P753" s="50" t="n"/>
      <c r="Q753" s="50" t="n">
        <v>414.955</v>
      </c>
      <c r="R753" s="50" t="n">
        <v>4.389</v>
      </c>
      <c r="S753" s="50" t="n"/>
    </row>
    <row r="754">
      <c r="A754" s="50" t="inlineStr">
        <is>
          <t>2013-05</t>
        </is>
      </c>
      <c r="B754" s="50" t="n">
        <v>148.501</v>
      </c>
      <c r="C754" s="50" t="n">
        <v>-2.036</v>
      </c>
      <c r="D754" s="50" t="n"/>
      <c r="E754" s="50" t="n">
        <v>151.099</v>
      </c>
      <c r="F754" s="50" t="n">
        <v>-1.606</v>
      </c>
      <c r="G754" s="50" t="n"/>
      <c r="H754" s="50" t="n">
        <v>261.065</v>
      </c>
      <c r="I754" s="50" t="n">
        <v>1.435</v>
      </c>
      <c r="J754" s="50" t="n"/>
      <c r="K754" s="50" t="n">
        <v>261.065</v>
      </c>
      <c r="L754" s="50" t="n">
        <v>1.435</v>
      </c>
      <c r="M754" s="50" t="n"/>
      <c r="N754" s="50" t="n">
        <v>415.657</v>
      </c>
      <c r="O754" s="50" t="n">
        <v>4.136</v>
      </c>
      <c r="P754" s="50" t="n"/>
      <c r="Q754" s="50" t="n">
        <v>414.952</v>
      </c>
      <c r="R754" s="50" t="n">
        <v>4.134</v>
      </c>
      <c r="S754" s="50" t="n"/>
    </row>
    <row r="755">
      <c r="A755" s="50" t="inlineStr">
        <is>
          <t>2013-06</t>
        </is>
      </c>
      <c r="B755" s="50" t="n">
        <v>148.742</v>
      </c>
      <c r="C755" s="50" t="n">
        <v>-2.312</v>
      </c>
      <c r="D755" s="50" t="n"/>
      <c r="E755" s="50" t="n">
        <v>151.76</v>
      </c>
      <c r="F755" s="50" t="n">
        <v>-2.283</v>
      </c>
      <c r="G755" s="50" t="n"/>
      <c r="H755" s="50" t="n">
        <v>261.36</v>
      </c>
      <c r="I755" s="50" t="n">
        <v>1.448</v>
      </c>
      <c r="J755" s="50" t="n"/>
      <c r="K755" s="50" t="n">
        <v>261.36</v>
      </c>
      <c r="L755" s="50" t="n">
        <v>1.448</v>
      </c>
      <c r="M755" s="50" t="n"/>
      <c r="N755" s="50" t="n">
        <v>416.506</v>
      </c>
      <c r="O755" s="50" t="n">
        <v>3.899</v>
      </c>
      <c r="P755" s="50" t="n"/>
      <c r="Q755" s="50" t="n">
        <v>415.353</v>
      </c>
      <c r="R755" s="50" t="n">
        <v>3.909</v>
      </c>
      <c r="S755" s="50" t="n"/>
    </row>
    <row r="756">
      <c r="A756" s="50" t="inlineStr">
        <is>
          <t>2013-07</t>
        </is>
      </c>
      <c r="B756" s="50" t="n">
        <v>149.058</v>
      </c>
      <c r="C756" s="50" t="n">
        <v>-1.916</v>
      </c>
      <c r="D756" s="50" t="n"/>
      <c r="E756" s="50" t="n">
        <v>152.554</v>
      </c>
      <c r="F756" s="50" t="n">
        <v>-2.093</v>
      </c>
      <c r="G756" s="50" t="n"/>
      <c r="H756" s="50" t="n">
        <v>262.229</v>
      </c>
      <c r="I756" s="50" t="n">
        <v>1.867</v>
      </c>
      <c r="J756" s="50" t="n"/>
      <c r="K756" s="50" t="n">
        <v>262.229</v>
      </c>
      <c r="L756" s="50" t="n">
        <v>1.867</v>
      </c>
      <c r="M756" s="50" t="n"/>
      <c r="N756" s="50" t="n">
        <v>421.696</v>
      </c>
      <c r="O756" s="50" t="n">
        <v>4.788</v>
      </c>
      <c r="P756" s="50" t="n"/>
      <c r="Q756" s="50" t="n">
        <v>420.073</v>
      </c>
      <c r="R756" s="50" t="n">
        <v>4.832</v>
      </c>
      <c r="S756" s="50" t="n"/>
    </row>
    <row r="757">
      <c r="A757" s="50" t="inlineStr">
        <is>
          <t>2013-08</t>
        </is>
      </c>
      <c r="B757" s="50" t="n">
        <v>149.539</v>
      </c>
      <c r="C757" s="50" t="n">
        <v>-0.883</v>
      </c>
      <c r="D757" s="50" t="n"/>
      <c r="E757" s="50" t="n">
        <v>153.252</v>
      </c>
      <c r="F757" s="50" t="n">
        <v>-1.033</v>
      </c>
      <c r="G757" s="50" t="n"/>
      <c r="H757" s="50" t="n">
        <v>262.497</v>
      </c>
      <c r="I757" s="50" t="n">
        <v>1.885</v>
      </c>
      <c r="J757" s="50" t="n"/>
      <c r="K757" s="50" t="n">
        <v>262.497</v>
      </c>
      <c r="L757" s="50" t="n">
        <v>1.885</v>
      </c>
      <c r="M757" s="50" t="n"/>
      <c r="N757" s="50" t="n">
        <v>421.842</v>
      </c>
      <c r="O757" s="50" t="n">
        <v>4.203</v>
      </c>
      <c r="P757" s="50" t="n"/>
      <c r="Q757" s="50" t="n">
        <v>420.226</v>
      </c>
      <c r="R757" s="50" t="n">
        <v>4.211</v>
      </c>
      <c r="S757" s="50" t="n"/>
    </row>
    <row r="758">
      <c r="A758" s="50" t="inlineStr">
        <is>
          <t>2013-09</t>
        </is>
      </c>
      <c r="B758" s="50" t="n">
        <v>150.458</v>
      </c>
      <c r="C758" s="50" t="n">
        <v>0.542</v>
      </c>
      <c r="D758" s="50" t="n"/>
      <c r="E758" s="50" t="n">
        <v>151.75</v>
      </c>
      <c r="F758" s="50" t="n">
        <v>0.418</v>
      </c>
      <c r="G758" s="50" t="n"/>
      <c r="H758" s="50" t="n">
        <v>262.96</v>
      </c>
      <c r="I758" s="50" t="n">
        <v>1.913</v>
      </c>
      <c r="J758" s="50" t="n"/>
      <c r="K758" s="50" t="n">
        <v>262.96</v>
      </c>
      <c r="L758" s="50" t="n">
        <v>1.913</v>
      </c>
      <c r="M758" s="50" t="n"/>
      <c r="N758" s="50" t="n">
        <v>422.772</v>
      </c>
      <c r="O758" s="50" t="n">
        <v>3.915</v>
      </c>
      <c r="P758" s="50" t="n"/>
      <c r="Q758" s="50" t="n">
        <v>420.321</v>
      </c>
      <c r="R758" s="50" t="n">
        <v>3.92</v>
      </c>
      <c r="S758" s="50" t="n"/>
    </row>
    <row r="759">
      <c r="A759" s="50" t="inlineStr">
        <is>
          <t>2013-10</t>
        </is>
      </c>
      <c r="B759" s="50" t="n">
        <v>151.248</v>
      </c>
      <c r="C759" s="50" t="n">
        <v>1.518</v>
      </c>
      <c r="D759" s="50" t="n"/>
      <c r="E759" s="50" t="n">
        <v>150.413</v>
      </c>
      <c r="F759" s="50" t="n">
        <v>1.43</v>
      </c>
      <c r="G759" s="50" t="n"/>
      <c r="H759" s="50" t="n">
        <v>263.085</v>
      </c>
      <c r="I759" s="50" t="n">
        <v>1.743</v>
      </c>
      <c r="J759" s="50" t="n"/>
      <c r="K759" s="50" t="n">
        <v>263.085</v>
      </c>
      <c r="L759" s="50" t="n">
        <v>1.743</v>
      </c>
      <c r="M759" s="50" t="n"/>
      <c r="N759" s="50" t="n">
        <v>424</v>
      </c>
      <c r="O759" s="50" t="n">
        <v>3.558</v>
      </c>
      <c r="P759" s="50" t="n"/>
      <c r="Q759" s="50" t="n">
        <v>424.601</v>
      </c>
      <c r="R759" s="50" t="n">
        <v>3.553</v>
      </c>
      <c r="S759" s="50" t="n"/>
    </row>
    <row r="760">
      <c r="A760" s="50" t="inlineStr">
        <is>
          <t>2013-11</t>
        </is>
      </c>
      <c r="B760" s="50" t="n">
        <v>151.993</v>
      </c>
      <c r="C760" s="50" t="n">
        <v>2.055</v>
      </c>
      <c r="D760" s="50" t="n"/>
      <c r="E760" s="50" t="n">
        <v>148.74</v>
      </c>
      <c r="F760" s="50" t="n">
        <v>1.973</v>
      </c>
      <c r="G760" s="50" t="n"/>
      <c r="H760" s="50" t="n">
        <v>262.934</v>
      </c>
      <c r="I760" s="50" t="n">
        <v>1.541</v>
      </c>
      <c r="J760" s="50" t="n"/>
      <c r="K760" s="50" t="n">
        <v>262.934</v>
      </c>
      <c r="L760" s="50" t="n">
        <v>1.541</v>
      </c>
      <c r="M760" s="50" t="n"/>
      <c r="N760" s="50" t="n">
        <v>424.607</v>
      </c>
      <c r="O760" s="50" t="n">
        <v>3.389</v>
      </c>
      <c r="P760" s="50" t="n"/>
      <c r="Q760" s="50" t="n">
        <v>426.64</v>
      </c>
      <c r="R760" s="50" t="n">
        <v>3.33</v>
      </c>
      <c r="S760" s="50" t="n"/>
    </row>
    <row r="761">
      <c r="A761" s="50" t="inlineStr">
        <is>
          <t>2013-12</t>
        </is>
      </c>
      <c r="B761" s="50" t="n">
        <v>152.457</v>
      </c>
      <c r="C761" s="50" t="n">
        <v>2.154</v>
      </c>
      <c r="D761" s="50" t="n"/>
      <c r="E761" s="50" t="n">
        <v>148.183</v>
      </c>
      <c r="F761" s="50" t="n">
        <v>2.031</v>
      </c>
      <c r="G761" s="50" t="n"/>
      <c r="H761" s="50" t="n">
        <v>263.081</v>
      </c>
      <c r="I761" s="50" t="n">
        <v>1.637</v>
      </c>
      <c r="J761" s="50" t="n"/>
      <c r="K761" s="50" t="n">
        <v>263.081</v>
      </c>
      <c r="L761" s="50" t="n">
        <v>1.637</v>
      </c>
      <c r="M761" s="50" t="n"/>
      <c r="N761" s="50" t="n">
        <v>426.488</v>
      </c>
      <c r="O761" s="50" t="n">
        <v>3.408</v>
      </c>
      <c r="P761" s="50" t="n"/>
      <c r="Q761" s="50" t="n">
        <v>428.64</v>
      </c>
      <c r="R761" s="50" t="n">
        <v>3.343</v>
      </c>
      <c r="S761" s="50" t="n"/>
    </row>
    <row r="762">
      <c r="A762" s="50" t="inlineStr">
        <is>
          <t>2014-01</t>
        </is>
      </c>
      <c r="B762" s="50" t="n">
        <v>151.535</v>
      </c>
      <c r="C762" s="50" t="n">
        <v>1.198</v>
      </c>
      <c r="D762" s="50" t="n"/>
      <c r="E762" s="50" t="n">
        <v>147.386</v>
      </c>
      <c r="F762" s="50" t="n">
        <v>1.464</v>
      </c>
      <c r="G762" s="50" t="n"/>
      <c r="H762" s="50" t="n">
        <v>263.718</v>
      </c>
      <c r="I762" s="50" t="n">
        <v>1.527</v>
      </c>
      <c r="J762" s="50" t="n"/>
      <c r="K762" s="50" t="n">
        <v>263.718</v>
      </c>
      <c r="L762" s="50" t="n">
        <v>1.527</v>
      </c>
      <c r="M762" s="50" t="n"/>
      <c r="N762" s="50" t="n">
        <v>427.943</v>
      </c>
      <c r="O762" s="50" t="n">
        <v>3.37</v>
      </c>
      <c r="P762" s="50" t="n"/>
      <c r="Q762" s="50" t="n">
        <v>429.585</v>
      </c>
      <c r="R762" s="50" t="n">
        <v>3.387</v>
      </c>
      <c r="S762" s="50" t="n"/>
    </row>
    <row r="763">
      <c r="A763" s="50" t="inlineStr">
        <is>
          <t>2014-02</t>
        </is>
      </c>
      <c r="B763" s="50" t="n">
        <v>150.718</v>
      </c>
      <c r="C763" s="50" t="n">
        <v>0.62</v>
      </c>
      <c r="D763" s="50" t="n"/>
      <c r="E763" s="50" t="n">
        <v>147.616</v>
      </c>
      <c r="F763" s="50" t="n">
        <v>0.612</v>
      </c>
      <c r="G763" s="50" t="n"/>
      <c r="H763" s="50" t="n">
        <v>264.523</v>
      </c>
      <c r="I763" s="50" t="n">
        <v>1.648</v>
      </c>
      <c r="J763" s="50" t="n"/>
      <c r="K763" s="50" t="n">
        <v>264.523</v>
      </c>
      <c r="L763" s="50" t="n">
        <v>1.648</v>
      </c>
      <c r="M763" s="50" t="n"/>
      <c r="N763" s="50" t="n">
        <v>429.044</v>
      </c>
      <c r="O763" s="50" t="n">
        <v>3.415</v>
      </c>
      <c r="P763" s="50" t="n"/>
      <c r="Q763" s="50" t="n">
        <v>430.31</v>
      </c>
      <c r="R763" s="50" t="n">
        <v>3.403</v>
      </c>
      <c r="S763" s="50" t="n"/>
    </row>
    <row r="764">
      <c r="A764" s="50" t="inlineStr">
        <is>
          <t>2014-03</t>
        </is>
      </c>
      <c r="B764" s="50" t="n">
        <v>149.641</v>
      </c>
      <c r="C764" s="50" t="n">
        <v>0.49</v>
      </c>
      <c r="D764" s="50" t="n"/>
      <c r="E764" s="50" t="n">
        <v>148.92</v>
      </c>
      <c r="F764" s="50" t="n">
        <v>0.112</v>
      </c>
      <c r="G764" s="50" t="n"/>
      <c r="H764" s="50" t="n">
        <v>264.146</v>
      </c>
      <c r="I764" s="50" t="n">
        <v>1.534</v>
      </c>
      <c r="J764" s="50" t="n"/>
      <c r="K764" s="50" t="n">
        <v>264.146</v>
      </c>
      <c r="L764" s="50" t="n">
        <v>1.534</v>
      </c>
      <c r="M764" s="50" t="n"/>
      <c r="N764" s="50" t="n">
        <v>430.065</v>
      </c>
      <c r="O764" s="50" t="n">
        <v>3.531</v>
      </c>
      <c r="P764" s="50" t="n"/>
      <c r="Q764" s="50" t="n">
        <v>430.163</v>
      </c>
      <c r="R764" s="50" t="n">
        <v>3.559</v>
      </c>
      <c r="S764" s="50" t="n"/>
    </row>
    <row r="765">
      <c r="A765" s="50" t="inlineStr">
        <is>
          <t>2014-04</t>
        </is>
      </c>
      <c r="B765" s="50" t="n">
        <v>149.217</v>
      </c>
      <c r="C765" s="50" t="n">
        <v>0.431</v>
      </c>
      <c r="D765" s="50" t="n"/>
      <c r="E765" s="50" t="n">
        <v>150.496</v>
      </c>
      <c r="F765" s="50" t="n">
        <v>0.224</v>
      </c>
      <c r="G765" s="50" t="n"/>
      <c r="H765" s="50" t="n">
        <v>264.508</v>
      </c>
      <c r="I765" s="50" t="n">
        <v>1.601</v>
      </c>
      <c r="J765" s="50" t="n"/>
      <c r="K765" s="50" t="n">
        <v>264.508</v>
      </c>
      <c r="L765" s="50" t="n">
        <v>1.601</v>
      </c>
      <c r="M765" s="50" t="n"/>
      <c r="N765" s="50" t="n">
        <v>433.387</v>
      </c>
      <c r="O765" s="50" t="n">
        <v>4.364</v>
      </c>
      <c r="P765" s="50" t="n"/>
      <c r="Q765" s="50" t="n">
        <v>433.113</v>
      </c>
      <c r="R765" s="50" t="n">
        <v>4.376</v>
      </c>
      <c r="S765" s="50" t="n"/>
    </row>
    <row r="766">
      <c r="A766" s="50" t="inlineStr">
        <is>
          <t>2014-05</t>
        </is>
      </c>
      <c r="B766" s="50" t="n">
        <v>149.006</v>
      </c>
      <c r="C766" s="50" t="n">
        <v>0.34</v>
      </c>
      <c r="D766" s="50" t="n"/>
      <c r="E766" s="50" t="n">
        <v>151.441</v>
      </c>
      <c r="F766" s="50" t="n">
        <v>0.226</v>
      </c>
      <c r="G766" s="50" t="n"/>
      <c r="H766" s="50" t="n">
        <v>265.013</v>
      </c>
      <c r="I766" s="50" t="n">
        <v>1.512</v>
      </c>
      <c r="J766" s="50" t="n"/>
      <c r="K766" s="50" t="n">
        <v>265.013</v>
      </c>
      <c r="L766" s="50" t="n">
        <v>1.512</v>
      </c>
      <c r="M766" s="50" t="n"/>
      <c r="N766" s="50" t="n">
        <v>435.373</v>
      </c>
      <c r="O766" s="50" t="n">
        <v>4.743</v>
      </c>
      <c r="P766" s="50" t="n"/>
      <c r="Q766" s="50" t="n">
        <v>434.934</v>
      </c>
      <c r="R766" s="50" t="n">
        <v>4.815</v>
      </c>
      <c r="S766" s="50" t="n"/>
    </row>
    <row r="767">
      <c r="A767" s="50" t="inlineStr">
        <is>
          <t>2014-06</t>
        </is>
      </c>
      <c r="B767" s="50" t="n">
        <v>148.921</v>
      </c>
      <c r="C767" s="50" t="n">
        <v>0.12</v>
      </c>
      <c r="D767" s="50" t="n"/>
      <c r="E767" s="50" t="n">
        <v>151.978</v>
      </c>
      <c r="F767" s="50" t="n">
        <v>0.144</v>
      </c>
      <c r="G767" s="50" t="n"/>
      <c r="H767" s="50" t="n">
        <v>265.656</v>
      </c>
      <c r="I767" s="50" t="n">
        <v>1.644</v>
      </c>
      <c r="J767" s="50" t="n"/>
      <c r="K767" s="50" t="n">
        <v>265.656</v>
      </c>
      <c r="L767" s="50" t="n">
        <v>1.644</v>
      </c>
      <c r="M767" s="50" t="n"/>
      <c r="N767" s="50" t="n">
        <v>436.665</v>
      </c>
      <c r="O767" s="50" t="n">
        <v>4.84</v>
      </c>
      <c r="P767" s="50" t="n"/>
      <c r="Q767" s="50" t="n">
        <v>435.654</v>
      </c>
      <c r="R767" s="50" t="n">
        <v>4.888</v>
      </c>
      <c r="S767" s="50" t="n"/>
    </row>
    <row r="768">
      <c r="A768" s="50" t="inlineStr">
        <is>
          <t>2014-07</t>
        </is>
      </c>
      <c r="B768" s="50" t="n">
        <v>149.216</v>
      </c>
      <c r="C768" s="50" t="n">
        <v>0.106</v>
      </c>
      <c r="D768" s="50" t="n"/>
      <c r="E768" s="50" t="n">
        <v>152.857</v>
      </c>
      <c r="F768" s="50" t="n">
        <v>0.199</v>
      </c>
      <c r="G768" s="50" t="n"/>
      <c r="H768" s="50" t="n">
        <v>266.282</v>
      </c>
      <c r="I768" s="50" t="n">
        <v>1.546</v>
      </c>
      <c r="J768" s="50" t="n"/>
      <c r="K768" s="50" t="n">
        <v>266.282</v>
      </c>
      <c r="L768" s="50" t="n">
        <v>1.546</v>
      </c>
      <c r="M768" s="50" t="n"/>
      <c r="N768" s="50" t="n">
        <v>437.935</v>
      </c>
      <c r="O768" s="50" t="n">
        <v>3.851</v>
      </c>
      <c r="P768" s="50" t="n"/>
      <c r="Q768" s="50" t="n">
        <v>436.342</v>
      </c>
      <c r="R768" s="50" t="n">
        <v>3.873</v>
      </c>
      <c r="S768" s="50" t="n"/>
    </row>
    <row r="769">
      <c r="A769" s="50" t="inlineStr">
        <is>
          <t>2014-08</t>
        </is>
      </c>
      <c r="B769" s="50" t="n">
        <v>149.472</v>
      </c>
      <c r="C769" s="50" t="n">
        <v>-0.045</v>
      </c>
      <c r="D769" s="50" t="n"/>
      <c r="E769" s="50" t="n">
        <v>153.277</v>
      </c>
      <c r="F769" s="50" t="n">
        <v>0.016</v>
      </c>
      <c r="G769" s="50" t="n"/>
      <c r="H769" s="50" t="n">
        <v>266.129</v>
      </c>
      <c r="I769" s="50" t="n">
        <v>1.384</v>
      </c>
      <c r="J769" s="50" t="n"/>
      <c r="K769" s="50" t="n">
        <v>266.129</v>
      </c>
      <c r="L769" s="50" t="n">
        <v>1.384</v>
      </c>
      <c r="M769" s="50" t="n"/>
      <c r="N769" s="50" t="n">
        <v>439.072</v>
      </c>
      <c r="O769" s="50" t="n">
        <v>4.084</v>
      </c>
      <c r="P769" s="50" t="n"/>
      <c r="Q769" s="50" t="n">
        <v>437.384</v>
      </c>
      <c r="R769" s="50" t="n">
        <v>4.083</v>
      </c>
      <c r="S769" s="50" t="n"/>
    </row>
    <row r="770">
      <c r="A770" s="50" t="inlineStr">
        <is>
          <t>2014-09</t>
        </is>
      </c>
      <c r="B770" s="50" t="n">
        <v>149.859</v>
      </c>
      <c r="C770" s="50" t="n">
        <v>-0.398</v>
      </c>
      <c r="D770" s="50" t="n"/>
      <c r="E770" s="50" t="n">
        <v>151.153</v>
      </c>
      <c r="F770" s="50" t="n">
        <v>-0.393</v>
      </c>
      <c r="G770" s="50" t="n"/>
      <c r="H770" s="50" t="n">
        <v>267.256</v>
      </c>
      <c r="I770" s="50" t="n">
        <v>1.634</v>
      </c>
      <c r="J770" s="50" t="n"/>
      <c r="K770" s="50" t="n">
        <v>267.256</v>
      </c>
      <c r="L770" s="50" t="n">
        <v>1.634</v>
      </c>
      <c r="M770" s="50" t="n"/>
      <c r="N770" s="50" t="n">
        <v>441.204</v>
      </c>
      <c r="O770" s="50" t="n">
        <v>4.36</v>
      </c>
      <c r="P770" s="50" t="n"/>
      <c r="Q770" s="50" t="n">
        <v>438.496</v>
      </c>
      <c r="R770" s="50" t="n">
        <v>4.324</v>
      </c>
      <c r="S770" s="50" t="n"/>
    </row>
    <row r="771">
      <c r="A771" s="50" t="inlineStr">
        <is>
          <t>2014-10</t>
        </is>
      </c>
      <c r="B771" s="50" t="n">
        <v>148.954</v>
      </c>
      <c r="C771" s="50" t="n">
        <v>-1.517</v>
      </c>
      <c r="D771" s="50" t="n"/>
      <c r="E771" s="50" t="n">
        <v>147.893</v>
      </c>
      <c r="F771" s="50" t="n">
        <v>-1.675</v>
      </c>
      <c r="G771" s="50" t="n"/>
      <c r="H771" s="50" t="n">
        <v>268.094</v>
      </c>
      <c r="I771" s="50" t="n">
        <v>1.904</v>
      </c>
      <c r="J771" s="50" t="n"/>
      <c r="K771" s="50" t="n">
        <v>268.094</v>
      </c>
      <c r="L771" s="50" t="n">
        <v>1.904</v>
      </c>
      <c r="M771" s="50" t="n"/>
      <c r="N771" s="50" t="n">
        <v>443.947</v>
      </c>
      <c r="O771" s="50" t="n">
        <v>4.704</v>
      </c>
      <c r="P771" s="50" t="n"/>
      <c r="Q771" s="50" t="n">
        <v>444.443</v>
      </c>
      <c r="R771" s="50" t="n">
        <v>4.673</v>
      </c>
      <c r="S771" s="50" t="n"/>
    </row>
    <row r="772">
      <c r="A772" s="50" t="inlineStr">
        <is>
          <t>2014-11</t>
        </is>
      </c>
      <c r="B772" s="50" t="n">
        <v>147.488</v>
      </c>
      <c r="C772" s="50" t="n">
        <v>-2.964</v>
      </c>
      <c r="D772" s="50" t="n"/>
      <c r="E772" s="50" t="n">
        <v>144.151</v>
      </c>
      <c r="F772" s="50" t="n">
        <v>-3.085</v>
      </c>
      <c r="G772" s="50" t="n"/>
      <c r="H772" s="50" t="n">
        <v>268.389</v>
      </c>
      <c r="I772" s="50" t="n">
        <v>2.075</v>
      </c>
      <c r="J772" s="50" t="n"/>
      <c r="K772" s="50" t="n">
        <v>268.389</v>
      </c>
      <c r="L772" s="50" t="n">
        <v>2.075</v>
      </c>
      <c r="M772" s="50" t="n"/>
      <c r="N772" s="50" t="n">
        <v>445.593</v>
      </c>
      <c r="O772" s="50" t="n">
        <v>4.942</v>
      </c>
      <c r="P772" s="50" t="n"/>
      <c r="Q772" s="50" t="n">
        <v>447.271</v>
      </c>
      <c r="R772" s="50" t="n">
        <v>4.836</v>
      </c>
      <c r="S772" s="50" t="n"/>
    </row>
    <row r="773">
      <c r="A773" s="50" t="inlineStr">
        <is>
          <t>2014-12</t>
        </is>
      </c>
      <c r="B773" s="50" t="n">
        <v>145.83</v>
      </c>
      <c r="C773" s="50" t="n">
        <v>-4.347</v>
      </c>
      <c r="D773" s="50" t="n"/>
      <c r="E773" s="50" t="n">
        <v>141.957</v>
      </c>
      <c r="F773" s="50" t="n">
        <v>-4.202</v>
      </c>
      <c r="G773" s="50" t="n"/>
      <c r="H773" s="50" t="n">
        <v>268.588</v>
      </c>
      <c r="I773" s="50" t="n">
        <v>2.093</v>
      </c>
      <c r="J773" s="50" t="n"/>
      <c r="K773" s="50" t="n">
        <v>268.588</v>
      </c>
      <c r="L773" s="50" t="n">
        <v>2.093</v>
      </c>
      <c r="M773" s="50" t="n"/>
      <c r="N773" s="50" t="n">
        <v>446.969</v>
      </c>
      <c r="O773" s="50" t="n">
        <v>4.802</v>
      </c>
      <c r="P773" s="50" t="n"/>
      <c r="Q773" s="50" t="n">
        <v>448.933</v>
      </c>
      <c r="R773" s="50" t="n">
        <v>4.734</v>
      </c>
      <c r="S773" s="50" t="n"/>
    </row>
    <row r="774">
      <c r="A774" s="50" t="inlineStr">
        <is>
          <t>2015-01</t>
        </is>
      </c>
      <c r="B774" s="50" t="n">
        <v>144.875</v>
      </c>
      <c r="C774" s="50" t="n">
        <v>-4.395</v>
      </c>
      <c r="D774" s="50" t="n"/>
      <c r="E774" s="50" t="n">
        <v>141.461</v>
      </c>
      <c r="F774" s="50" t="n">
        <v>-4.02</v>
      </c>
      <c r="G774" s="50" t="n"/>
      <c r="H774" s="50" t="n">
        <v>268.869</v>
      </c>
      <c r="I774" s="50" t="n">
        <v>1.953</v>
      </c>
      <c r="J774" s="50" t="n"/>
      <c r="K774" s="50" t="n">
        <v>268.869</v>
      </c>
      <c r="L774" s="50" t="n">
        <v>1.953</v>
      </c>
      <c r="M774" s="50" t="n"/>
      <c r="N774" s="50" t="n">
        <v>449.267</v>
      </c>
      <c r="O774" s="50" t="n">
        <v>4.983</v>
      </c>
      <c r="P774" s="50" t="n"/>
      <c r="Q774" s="50" t="n">
        <v>451.007</v>
      </c>
      <c r="R774" s="50" t="n">
        <v>4.987</v>
      </c>
      <c r="S774" s="50" t="n"/>
    </row>
    <row r="775">
      <c r="A775" s="50" t="inlineStr">
        <is>
          <t>2015-02</t>
        </is>
      </c>
      <c r="B775" s="50" t="n">
        <v>147.264</v>
      </c>
      <c r="C775" s="50" t="n">
        <v>-2.292</v>
      </c>
      <c r="D775" s="50" t="n"/>
      <c r="E775" s="50" t="n">
        <v>143.39</v>
      </c>
      <c r="F775" s="50" t="n">
        <v>-2.863</v>
      </c>
      <c r="G775" s="50" t="n"/>
      <c r="H775" s="50" t="n">
        <v>269.136</v>
      </c>
      <c r="I775" s="50" t="n">
        <v>1.744</v>
      </c>
      <c r="J775" s="50" t="n"/>
      <c r="K775" s="50" t="n">
        <v>269.136</v>
      </c>
      <c r="L775" s="50" t="n">
        <v>1.744</v>
      </c>
      <c r="M775" s="50" t="n"/>
      <c r="N775" s="50" t="n">
        <v>452.757</v>
      </c>
      <c r="O775" s="50" t="n">
        <v>5.527</v>
      </c>
      <c r="P775" s="50" t="n"/>
      <c r="Q775" s="50" t="n">
        <v>454.335</v>
      </c>
      <c r="R775" s="50" t="n">
        <v>5.583</v>
      </c>
      <c r="S775" s="50" t="n"/>
    </row>
    <row r="776">
      <c r="A776" s="50" t="inlineStr">
        <is>
          <t>2015-03</t>
        </is>
      </c>
      <c r="B776" s="50" t="n">
        <v>147.694</v>
      </c>
      <c r="C776" s="50" t="n">
        <v>-1.301</v>
      </c>
      <c r="D776" s="50" t="n"/>
      <c r="E776" s="50" t="n">
        <v>147.023</v>
      </c>
      <c r="F776" s="50" t="n">
        <v>-1.274</v>
      </c>
      <c r="G776" s="50" t="n"/>
      <c r="H776" s="50" t="n">
        <v>268.907</v>
      </c>
      <c r="I776" s="50" t="n">
        <v>1.802</v>
      </c>
      <c r="J776" s="50" t="n"/>
      <c r="K776" s="50" t="n">
        <v>268.907</v>
      </c>
      <c r="L776" s="50" t="n">
        <v>1.802</v>
      </c>
      <c r="M776" s="50" t="n"/>
      <c r="N776" s="50" t="n">
        <v>454.728</v>
      </c>
      <c r="O776" s="50" t="n">
        <v>5.735</v>
      </c>
      <c r="P776" s="50" t="n"/>
      <c r="Q776" s="50" t="n">
        <v>455.373</v>
      </c>
      <c r="R776" s="50" t="n">
        <v>5.861</v>
      </c>
      <c r="S776" s="50" t="n"/>
    </row>
    <row r="777">
      <c r="A777" s="50" t="inlineStr">
        <is>
          <t>2015-04</t>
        </is>
      </c>
      <c r="B777" s="50" t="n">
        <v>148.404</v>
      </c>
      <c r="C777" s="50" t="n">
        <v>-0.545</v>
      </c>
      <c r="D777" s="50" t="n"/>
      <c r="E777" s="50" t="n">
        <v>149.788</v>
      </c>
      <c r="F777" s="50" t="n">
        <v>-0.47</v>
      </c>
      <c r="G777" s="50" t="n"/>
      <c r="H777" s="50" t="n">
        <v>269.948</v>
      </c>
      <c r="I777" s="50" t="n">
        <v>2.057</v>
      </c>
      <c r="J777" s="50" t="n"/>
      <c r="K777" s="50" t="n">
        <v>269.948</v>
      </c>
      <c r="L777" s="50" t="n">
        <v>2.057</v>
      </c>
      <c r="M777" s="50" t="n"/>
      <c r="N777" s="50" t="n">
        <v>456.734</v>
      </c>
      <c r="O777" s="50" t="n">
        <v>5.387</v>
      </c>
      <c r="P777" s="50" t="n"/>
      <c r="Q777" s="50" t="n">
        <v>456.564</v>
      </c>
      <c r="R777" s="50" t="n">
        <v>5.415</v>
      </c>
      <c r="S777" s="50" t="n"/>
    </row>
    <row r="778">
      <c r="A778" s="50" t="inlineStr">
        <is>
          <t>2015-05</t>
        </is>
      </c>
      <c r="B778" s="50" t="n">
        <v>149.29</v>
      </c>
      <c r="C778" s="50" t="n">
        <v>0.191</v>
      </c>
      <c r="D778" s="50" t="n"/>
      <c r="E778" s="50" t="n">
        <v>150.713</v>
      </c>
      <c r="F778" s="50" t="n">
        <v>-0.481</v>
      </c>
      <c r="G778" s="50" t="n"/>
      <c r="H778" s="50" t="n">
        <v>270.764</v>
      </c>
      <c r="I778" s="50" t="n">
        <v>2.17</v>
      </c>
      <c r="J778" s="50" t="n"/>
      <c r="K778" s="50" t="n">
        <v>270.764</v>
      </c>
      <c r="L778" s="50" t="n">
        <v>2.17</v>
      </c>
      <c r="M778" s="50" t="n"/>
      <c r="N778" s="50" t="n">
        <v>457.469</v>
      </c>
      <c r="O778" s="50" t="n">
        <v>5.075</v>
      </c>
      <c r="P778" s="50" t="n"/>
      <c r="Q778" s="50" t="n">
        <v>456.995</v>
      </c>
      <c r="R778" s="50" t="n">
        <v>5.072</v>
      </c>
      <c r="S778" s="50" t="n"/>
    </row>
    <row r="779">
      <c r="A779" s="50" t="inlineStr">
        <is>
          <t>2015-06</t>
        </is>
      </c>
      <c r="B779" s="50" t="n">
        <v>149.48</v>
      </c>
      <c r="C779" s="50" t="n">
        <v>0.375</v>
      </c>
      <c r="D779" s="50" t="n"/>
      <c r="E779" s="50" t="n">
        <v>150.97</v>
      </c>
      <c r="F779" s="50" t="n">
        <v>-0.663</v>
      </c>
      <c r="G779" s="50" t="n"/>
      <c r="H779" s="50" t="n">
        <v>270.981</v>
      </c>
      <c r="I779" s="50" t="n">
        <v>2.004</v>
      </c>
      <c r="J779" s="50" t="n"/>
      <c r="K779" s="50" t="n">
        <v>270.981</v>
      </c>
      <c r="L779" s="50" t="n">
        <v>2.004</v>
      </c>
      <c r="M779" s="50" t="n"/>
      <c r="N779" s="50" t="n">
        <v>458.587</v>
      </c>
      <c r="O779" s="50" t="n">
        <v>5.02</v>
      </c>
      <c r="P779" s="50" t="n"/>
      <c r="Q779" s="50" t="n">
        <v>457.774</v>
      </c>
      <c r="R779" s="50" t="n">
        <v>5.077</v>
      </c>
      <c r="S779" s="50" t="n"/>
    </row>
    <row r="780">
      <c r="A780" s="50" t="inlineStr">
        <is>
          <t>2015-07</t>
        </is>
      </c>
      <c r="B780" s="50" t="n">
        <v>149.078</v>
      </c>
      <c r="C780" s="50" t="n">
        <v>-0.092</v>
      </c>
      <c r="D780" s="50" t="n"/>
      <c r="E780" s="50" t="n">
        <v>151.119</v>
      </c>
      <c r="F780" s="50" t="n">
        <v>-1.137</v>
      </c>
      <c r="G780" s="50" t="n"/>
      <c r="H780" s="50" t="n">
        <v>271.175</v>
      </c>
      <c r="I780" s="50" t="n">
        <v>1.838</v>
      </c>
      <c r="J780" s="50" t="n"/>
      <c r="K780" s="50" t="n">
        <v>271.175</v>
      </c>
      <c r="L780" s="50" t="n">
        <v>1.838</v>
      </c>
      <c r="M780" s="50" t="n"/>
      <c r="N780" s="50" t="n">
        <v>461.665</v>
      </c>
      <c r="O780" s="50" t="n">
        <v>5.419</v>
      </c>
      <c r="P780" s="50" t="n"/>
      <c r="Q780" s="50" t="n">
        <v>460.041</v>
      </c>
      <c r="R780" s="50" t="n">
        <v>5.431</v>
      </c>
      <c r="S780" s="50" t="n"/>
    </row>
    <row r="781">
      <c r="A781" s="50" t="inlineStr">
        <is>
          <t>2015-08</t>
        </is>
      </c>
      <c r="B781" s="50" t="n">
        <v>148.295</v>
      </c>
      <c r="C781" s="50" t="n">
        <v>-0.787</v>
      </c>
      <c r="D781" s="50" t="n"/>
      <c r="E781" s="50" t="n">
        <v>150.908</v>
      </c>
      <c r="F781" s="50" t="n">
        <v>-1.546</v>
      </c>
      <c r="G781" s="50" t="n"/>
      <c r="H781" s="50" t="n">
        <v>270.838</v>
      </c>
      <c r="I781" s="50" t="n">
        <v>1.769</v>
      </c>
      <c r="J781" s="50" t="n"/>
      <c r="K781" s="50" t="n">
        <v>270.838</v>
      </c>
      <c r="L781" s="50" t="n">
        <v>1.769</v>
      </c>
      <c r="M781" s="50" t="n"/>
      <c r="N781" s="50" t="n">
        <v>462.985</v>
      </c>
      <c r="O781" s="50" t="n">
        <v>5.446</v>
      </c>
      <c r="P781" s="50" t="n"/>
      <c r="Q781" s="50" t="n">
        <v>461.046</v>
      </c>
      <c r="R781" s="50" t="n">
        <v>5.41</v>
      </c>
      <c r="S781" s="50" t="n"/>
    </row>
    <row r="782">
      <c r="A782" s="50" t="inlineStr">
        <is>
          <t>2015-09</t>
        </is>
      </c>
      <c r="B782" s="50" t="n">
        <v>147.554</v>
      </c>
      <c r="C782" s="50" t="n">
        <v>-1.538</v>
      </c>
      <c r="D782" s="50" t="n"/>
      <c r="E782" s="50" t="n">
        <v>148.52</v>
      </c>
      <c r="F782" s="50" t="n">
        <v>-1.742</v>
      </c>
      <c r="G782" s="50" t="n"/>
      <c r="H782" s="50" t="n">
        <v>271.119</v>
      </c>
      <c r="I782" s="50" t="n">
        <v>1.445</v>
      </c>
      <c r="J782" s="50" t="n"/>
      <c r="K782" s="50" t="n">
        <v>271.119</v>
      </c>
      <c r="L782" s="50" t="n">
        <v>1.445</v>
      </c>
      <c r="M782" s="50" t="n"/>
      <c r="N782" s="50" t="n">
        <v>465.511</v>
      </c>
      <c r="O782" s="50" t="n">
        <v>5.509</v>
      </c>
      <c r="P782" s="50" t="n"/>
      <c r="Q782" s="50" t="n">
        <v>462.467</v>
      </c>
      <c r="R782" s="50" t="n">
        <v>5.467</v>
      </c>
      <c r="S782" s="50" t="n"/>
    </row>
    <row r="783">
      <c r="A783" s="50" t="inlineStr">
        <is>
          <t>2015-10</t>
        </is>
      </c>
      <c r="B783" s="50" t="n">
        <v>146.397</v>
      </c>
      <c r="C783" s="50" t="n">
        <v>-1.717</v>
      </c>
      <c r="D783" s="50" t="n"/>
      <c r="E783" s="50" t="n">
        <v>145.821</v>
      </c>
      <c r="F783" s="50" t="n">
        <v>-1.401</v>
      </c>
      <c r="G783" s="50" t="n"/>
      <c r="H783" s="50" t="n">
        <v>271.804</v>
      </c>
      <c r="I783" s="50" t="n">
        <v>1.384</v>
      </c>
      <c r="J783" s="50" t="n"/>
      <c r="K783" s="50" t="n">
        <v>271.804</v>
      </c>
      <c r="L783" s="50" t="n">
        <v>1.384</v>
      </c>
      <c r="M783" s="50" t="n"/>
      <c r="N783" s="50" t="n">
        <v>465.078</v>
      </c>
      <c r="O783" s="50" t="n">
        <v>4.76</v>
      </c>
      <c r="P783" s="50" t="n"/>
      <c r="Q783" s="50" t="n">
        <v>465.401</v>
      </c>
      <c r="R783" s="50" t="n">
        <v>4.716</v>
      </c>
      <c r="S783" s="50" t="n"/>
    </row>
    <row r="784">
      <c r="A784" s="50" t="inlineStr">
        <is>
          <t>2015-11</t>
        </is>
      </c>
      <c r="B784" s="50" t="n">
        <v>144.85</v>
      </c>
      <c r="C784" s="50" t="n">
        <v>-1.789</v>
      </c>
      <c r="D784" s="50" t="n"/>
      <c r="E784" s="50" t="n">
        <v>143.247</v>
      </c>
      <c r="F784" s="50" t="n">
        <v>-0.627</v>
      </c>
      <c r="G784" s="50" t="n"/>
      <c r="H784" s="50" t="n">
        <v>272.09</v>
      </c>
      <c r="I784" s="50" t="n">
        <v>1.379</v>
      </c>
      <c r="J784" s="50" t="n"/>
      <c r="K784" s="50" t="n">
        <v>272.09</v>
      </c>
      <c r="L784" s="50" t="n">
        <v>1.379</v>
      </c>
      <c r="M784" s="50" t="n"/>
      <c r="N784" s="50" t="n">
        <v>470.425</v>
      </c>
      <c r="O784" s="50" t="n">
        <v>5.573</v>
      </c>
      <c r="P784" s="50" t="n"/>
      <c r="Q784" s="50" t="n">
        <v>471.933</v>
      </c>
      <c r="R784" s="50" t="n">
        <v>5.514</v>
      </c>
      <c r="S784" s="50" t="n"/>
    </row>
    <row r="785">
      <c r="A785" s="50" t="inlineStr">
        <is>
          <t>2015-12</t>
        </is>
      </c>
      <c r="B785" s="50" t="n">
        <v>143.955</v>
      </c>
      <c r="C785" s="50" t="n">
        <v>-1.286</v>
      </c>
      <c r="D785" s="50" t="n"/>
      <c r="E785" s="50" t="n">
        <v>142.474</v>
      </c>
      <c r="F785" s="50" t="n">
        <v>0.364</v>
      </c>
      <c r="G785" s="50" t="n"/>
      <c r="H785" s="50" t="n">
        <v>272.967</v>
      </c>
      <c r="I785" s="50" t="n">
        <v>1.63</v>
      </c>
      <c r="J785" s="50" t="n"/>
      <c r="K785" s="50" t="n">
        <v>272.967</v>
      </c>
      <c r="L785" s="50" t="n">
        <v>1.63</v>
      </c>
      <c r="M785" s="50" t="n"/>
      <c r="N785" s="50" t="n">
        <v>472.652</v>
      </c>
      <c r="O785" s="50" t="n">
        <v>5.746</v>
      </c>
      <c r="P785" s="50" t="n"/>
      <c r="Q785" s="50" t="n">
        <v>474.392</v>
      </c>
      <c r="R785" s="50" t="n">
        <v>5.671</v>
      </c>
      <c r="S785" s="50" t="n"/>
    </row>
    <row r="786">
      <c r="A786" s="50" t="inlineStr">
        <is>
          <t>2016-01</t>
        </is>
      </c>
      <c r="B786" s="50" t="n">
        <v>144.638</v>
      </c>
      <c r="C786" s="50" t="n">
        <v>-0.164</v>
      </c>
      <c r="D786" s="50" t="n"/>
      <c r="E786" s="50" t="n">
        <v>142.668</v>
      </c>
      <c r="F786" s="50" t="n">
        <v>0.853</v>
      </c>
      <c r="G786" s="50" t="n"/>
      <c r="H786" s="50" t="n">
        <v>273.097</v>
      </c>
      <c r="I786" s="50" t="n">
        <v>1.573</v>
      </c>
      <c r="J786" s="50" t="n"/>
      <c r="K786" s="50" t="n">
        <v>273.097</v>
      </c>
      <c r="L786" s="50" t="n">
        <v>1.573</v>
      </c>
      <c r="M786" s="50" t="n"/>
      <c r="N786" s="50" t="n">
        <v>473.661</v>
      </c>
      <c r="O786" s="50" t="n">
        <v>5.43</v>
      </c>
      <c r="P786" s="50" t="n"/>
      <c r="Q786" s="50" t="n">
        <v>475.456</v>
      </c>
      <c r="R786" s="50" t="n">
        <v>5.421</v>
      </c>
      <c r="S786" s="50" t="n"/>
    </row>
    <row r="787">
      <c r="A787" s="50" t="inlineStr">
        <is>
          <t>2016-02</t>
        </is>
      </c>
      <c r="B787" s="50" t="n">
        <v>143.979</v>
      </c>
      <c r="C787" s="50" t="n">
        <v>-2.231</v>
      </c>
      <c r="D787" s="50" t="n"/>
      <c r="E787" s="50" t="n">
        <v>144.024</v>
      </c>
      <c r="F787" s="50" t="n">
        <v>0.442</v>
      </c>
      <c r="G787" s="50" t="n"/>
      <c r="H787" s="50" t="n">
        <v>273.072</v>
      </c>
      <c r="I787" s="50" t="n">
        <v>1.462</v>
      </c>
      <c r="J787" s="50" t="n"/>
      <c r="K787" s="50" t="n">
        <v>273.072</v>
      </c>
      <c r="L787" s="50" t="n">
        <v>1.462</v>
      </c>
      <c r="M787" s="50" t="n"/>
      <c r="N787" s="50" t="n">
        <v>475.028</v>
      </c>
      <c r="O787" s="50" t="n">
        <v>4.919</v>
      </c>
      <c r="P787" s="50" t="n"/>
      <c r="Q787" s="50" t="n">
        <v>477.297</v>
      </c>
      <c r="R787" s="50" t="n">
        <v>5.054</v>
      </c>
      <c r="S787" s="50" t="n"/>
    </row>
    <row r="788">
      <c r="A788" s="50" t="inlineStr">
        <is>
          <t>2016-03</t>
        </is>
      </c>
      <c r="B788" s="50" t="n">
        <v>143.659</v>
      </c>
      <c r="C788" s="50" t="n">
        <v>-2.732</v>
      </c>
      <c r="D788" s="50" t="n"/>
      <c r="E788" s="50" t="n">
        <v>146.178</v>
      </c>
      <c r="F788" s="50" t="n">
        <v>-0.575</v>
      </c>
      <c r="G788" s="50" t="n"/>
      <c r="H788" s="50" t="n">
        <v>273.98</v>
      </c>
      <c r="I788" s="50" t="n">
        <v>1.887</v>
      </c>
      <c r="J788" s="50" t="n"/>
      <c r="K788" s="50" t="n">
        <v>273.98</v>
      </c>
      <c r="L788" s="50" t="n">
        <v>1.887</v>
      </c>
      <c r="M788" s="50" t="n"/>
      <c r="N788" s="50" t="n">
        <v>477.404</v>
      </c>
      <c r="O788" s="50" t="n">
        <v>4.987</v>
      </c>
      <c r="P788" s="50" t="n"/>
      <c r="Q788" s="50" t="n">
        <v>478.644</v>
      </c>
      <c r="R788" s="50" t="n">
        <v>5.11</v>
      </c>
      <c r="S788" s="50" t="n"/>
    </row>
    <row r="789">
      <c r="A789" s="50" t="inlineStr">
        <is>
          <t>2016-04</t>
        </is>
      </c>
      <c r="B789" s="50" t="n">
        <v>145.475</v>
      </c>
      <c r="C789" s="50" t="n">
        <v>-1.974</v>
      </c>
      <c r="D789" s="50" t="n"/>
      <c r="E789" s="50" t="n">
        <v>147.489</v>
      </c>
      <c r="F789" s="50" t="n">
        <v>-1.535</v>
      </c>
      <c r="G789" s="50" t="n"/>
      <c r="H789" s="50" t="n">
        <v>274.864</v>
      </c>
      <c r="I789" s="50" t="n">
        <v>1.821</v>
      </c>
      <c r="J789" s="50" t="n"/>
      <c r="K789" s="50" t="n">
        <v>274.864</v>
      </c>
      <c r="L789" s="50" t="n">
        <v>1.821</v>
      </c>
      <c r="M789" s="50" t="n"/>
      <c r="N789" s="50" t="n">
        <v>483.332</v>
      </c>
      <c r="O789" s="50" t="n">
        <v>5.824</v>
      </c>
      <c r="P789" s="50" t="n"/>
      <c r="Q789" s="50" t="n">
        <v>483.823</v>
      </c>
      <c r="R789" s="50" t="n">
        <v>5.97</v>
      </c>
      <c r="S789" s="50" t="n"/>
    </row>
    <row r="790">
      <c r="A790" s="50" t="inlineStr">
        <is>
          <t>2016-05</t>
        </is>
      </c>
      <c r="B790" s="50" t="n">
        <v>146.416</v>
      </c>
      <c r="C790" s="50" t="n">
        <v>-1.925</v>
      </c>
      <c r="D790" s="50" t="n"/>
      <c r="E790" s="50" t="n">
        <v>147.223</v>
      </c>
      <c r="F790" s="50" t="n">
        <v>-2.316</v>
      </c>
      <c r="G790" s="50" t="n"/>
      <c r="H790" s="50" t="n">
        <v>275.331</v>
      </c>
      <c r="I790" s="50" t="n">
        <v>1.687</v>
      </c>
      <c r="J790" s="50" t="n"/>
      <c r="K790" s="50" t="n">
        <v>275.331</v>
      </c>
      <c r="L790" s="50" t="n">
        <v>1.687</v>
      </c>
      <c r="M790" s="50" t="n"/>
      <c r="N790" s="50" t="n">
        <v>486.626</v>
      </c>
      <c r="O790" s="50" t="n">
        <v>6.374</v>
      </c>
      <c r="P790" s="50" t="n"/>
      <c r="Q790" s="50" t="n">
        <v>487.021</v>
      </c>
      <c r="R790" s="50" t="n">
        <v>6.57</v>
      </c>
      <c r="S790" s="50" t="n"/>
    </row>
    <row r="791">
      <c r="A791" s="50" t="inlineStr">
        <is>
          <t>2016-06</t>
        </is>
      </c>
      <c r="B791" s="50" t="n">
        <v>144.887</v>
      </c>
      <c r="C791" s="50" t="n">
        <v>-3.073</v>
      </c>
      <c r="D791" s="50" t="n"/>
      <c r="E791" s="50" t="n">
        <v>146.303</v>
      </c>
      <c r="F791" s="50" t="n">
        <v>-3.091</v>
      </c>
      <c r="G791" s="50" t="n"/>
      <c r="H791" s="50" t="n">
        <v>275.563</v>
      </c>
      <c r="I791" s="50" t="n">
        <v>1.691</v>
      </c>
      <c r="J791" s="50" t="n"/>
      <c r="K791" s="50" t="n">
        <v>275.563</v>
      </c>
      <c r="L791" s="50" t="n">
        <v>1.691</v>
      </c>
      <c r="M791" s="50" t="n"/>
      <c r="N791" s="50" t="n">
        <v>488.639</v>
      </c>
      <c r="O791" s="50" t="n">
        <v>6.553</v>
      </c>
      <c r="P791" s="50" t="n"/>
      <c r="Q791" s="50" t="n">
        <v>487.631</v>
      </c>
      <c r="R791" s="50" t="n">
        <v>6.522</v>
      </c>
      <c r="S791" s="50" t="n"/>
    </row>
    <row r="792">
      <c r="A792" s="50" t="inlineStr">
        <is>
          <t>2016-07</t>
        </is>
      </c>
      <c r="B792" s="50" t="n">
        <v>143.27</v>
      </c>
      <c r="C792" s="50" t="n">
        <v>-3.896</v>
      </c>
      <c r="D792" s="50" t="n"/>
      <c r="E792" s="50" t="n">
        <v>145.457</v>
      </c>
      <c r="F792" s="50" t="n">
        <v>-3.747</v>
      </c>
      <c r="G792" s="50" t="n"/>
      <c r="H792" s="50" t="n">
        <v>276.058</v>
      </c>
      <c r="I792" s="50" t="n">
        <v>1.801</v>
      </c>
      <c r="J792" s="50" t="n"/>
      <c r="K792" s="50" t="n">
        <v>276.058</v>
      </c>
      <c r="L792" s="50" t="n">
        <v>1.801</v>
      </c>
      <c r="M792" s="50" t="n"/>
      <c r="N792" s="50" t="n">
        <v>490.851</v>
      </c>
      <c r="O792" s="50" t="n">
        <v>6.322</v>
      </c>
      <c r="P792" s="50" t="n"/>
      <c r="Q792" s="50" t="n">
        <v>489.064</v>
      </c>
      <c r="R792" s="50" t="n">
        <v>6.309</v>
      </c>
      <c r="S792" s="50" t="n"/>
    </row>
    <row r="793">
      <c r="A793" s="50" t="inlineStr">
        <is>
          <t>2016-08</t>
        </is>
      </c>
      <c r="B793" s="50" t="n">
        <v>142.803</v>
      </c>
      <c r="C793" s="50" t="n">
        <v>-3.703</v>
      </c>
      <c r="D793" s="50" t="n"/>
      <c r="E793" s="50" t="n">
        <v>144.858</v>
      </c>
      <c r="F793" s="50" t="n">
        <v>-4.009</v>
      </c>
      <c r="G793" s="50" t="n"/>
      <c r="H793" s="50" t="n">
        <v>275.923</v>
      </c>
      <c r="I793" s="50" t="n">
        <v>1.878</v>
      </c>
      <c r="J793" s="50" t="n"/>
      <c r="K793" s="50" t="n">
        <v>275.923</v>
      </c>
      <c r="L793" s="50" t="n">
        <v>1.878</v>
      </c>
      <c r="M793" s="50" t="n"/>
      <c r="N793" s="50" t="n">
        <v>493.405</v>
      </c>
      <c r="O793" s="50" t="n">
        <v>6.57</v>
      </c>
      <c r="P793" s="50" t="n"/>
      <c r="Q793" s="50" t="n">
        <v>491.047</v>
      </c>
      <c r="R793" s="50" t="n">
        <v>6.507</v>
      </c>
      <c r="S793" s="50" t="n"/>
    </row>
    <row r="794">
      <c r="A794" s="50" t="inlineStr">
        <is>
          <t>2016-09</t>
        </is>
      </c>
      <c r="B794" s="50" t="n">
        <v>144.851</v>
      </c>
      <c r="C794" s="50" t="n">
        <v>-1.832</v>
      </c>
      <c r="D794" s="50" t="n"/>
      <c r="E794" s="50" t="n">
        <v>142.482</v>
      </c>
      <c r="F794" s="50" t="n">
        <v>-4.065</v>
      </c>
      <c r="G794" s="50" t="n"/>
      <c r="H794" s="50" t="n">
        <v>275.331</v>
      </c>
      <c r="I794" s="50" t="n">
        <v>1.554</v>
      </c>
      <c r="J794" s="50" t="n"/>
      <c r="K794" s="50" t="n">
        <v>275.331</v>
      </c>
      <c r="L794" s="50" t="n">
        <v>1.554</v>
      </c>
      <c r="M794" s="50" t="n"/>
      <c r="N794" s="50" t="n">
        <v>495.635</v>
      </c>
      <c r="O794" s="50" t="n">
        <v>6.471</v>
      </c>
      <c r="P794" s="50" t="n"/>
      <c r="Q794" s="50" t="n">
        <v>492.119</v>
      </c>
      <c r="R794" s="50" t="n">
        <v>6.412</v>
      </c>
      <c r="S794" s="50" t="n"/>
    </row>
    <row r="795">
      <c r="A795" s="50" t="inlineStr">
        <is>
          <t>2016-10</t>
        </is>
      </c>
      <c r="B795" s="50" t="n">
        <v>142.217</v>
      </c>
      <c r="C795" s="50" t="n">
        <v>-2.855</v>
      </c>
      <c r="D795" s="50" t="n"/>
      <c r="E795" s="50" t="n">
        <v>139.914</v>
      </c>
      <c r="F795" s="50" t="n">
        <v>-4.051</v>
      </c>
      <c r="G795" s="50" t="n"/>
      <c r="H795" s="50" t="n">
        <v>275.645</v>
      </c>
      <c r="I795" s="50" t="n">
        <v>1.413</v>
      </c>
      <c r="J795" s="50" t="n"/>
      <c r="K795" s="50" t="n">
        <v>275.645</v>
      </c>
      <c r="L795" s="50" t="n">
        <v>1.413</v>
      </c>
      <c r="M795" s="50" t="n"/>
      <c r="N795" s="50" t="n">
        <v>498.576</v>
      </c>
      <c r="O795" s="50" t="n">
        <v>7.203</v>
      </c>
      <c r="P795" s="50" t="n"/>
      <c r="Q795" s="50" t="n">
        <v>496.658</v>
      </c>
      <c r="R795" s="50" t="n">
        <v>6.716</v>
      </c>
      <c r="S795" s="50" t="n"/>
    </row>
    <row r="796">
      <c r="A796" s="50" t="inlineStr">
        <is>
          <t>2016-11</t>
        </is>
      </c>
      <c r="B796" s="50" t="n">
        <v>139.975</v>
      </c>
      <c r="C796" s="50" t="n">
        <v>-3.366</v>
      </c>
      <c r="D796" s="50" t="n"/>
      <c r="E796" s="50" t="n">
        <v>137.789</v>
      </c>
      <c r="F796" s="50" t="n">
        <v>-3.81</v>
      </c>
      <c r="G796" s="50" t="n"/>
      <c r="H796" s="50" t="n">
        <v>277.348</v>
      </c>
      <c r="I796" s="50" t="n">
        <v>1.932</v>
      </c>
      <c r="J796" s="50" t="n"/>
      <c r="K796" s="50" t="n">
        <v>277.348</v>
      </c>
      <c r="L796" s="50" t="n">
        <v>1.932</v>
      </c>
      <c r="M796" s="50" t="n"/>
      <c r="N796" s="50" t="n">
        <v>501.868</v>
      </c>
      <c r="O796" s="50" t="n">
        <v>6.684</v>
      </c>
      <c r="P796" s="50" t="n"/>
      <c r="Q796" s="50" t="n">
        <v>503.44</v>
      </c>
      <c r="R796" s="50" t="n">
        <v>6.676</v>
      </c>
      <c r="S796" s="50" t="n"/>
    </row>
    <row r="797">
      <c r="A797" s="50" t="inlineStr">
        <is>
          <t>2016-12</t>
        </is>
      </c>
      <c r="B797" s="50" t="n">
        <v>139.457</v>
      </c>
      <c r="C797" s="50" t="n">
        <v>-3.125</v>
      </c>
      <c r="D797" s="50" t="n"/>
      <c r="E797" s="50" t="n">
        <v>137.475</v>
      </c>
      <c r="F797" s="50" t="n">
        <v>-3.509</v>
      </c>
      <c r="G797" s="50" t="n"/>
      <c r="H797" s="50" t="n">
        <v>278.002</v>
      </c>
      <c r="I797" s="50" t="n">
        <v>1.845</v>
      </c>
      <c r="J797" s="50" t="n"/>
      <c r="K797" s="50" t="n">
        <v>278.002</v>
      </c>
      <c r="L797" s="50" t="n">
        <v>1.845</v>
      </c>
      <c r="M797" s="50" t="n"/>
      <c r="N797" s="50" t="n">
        <v>505.351</v>
      </c>
      <c r="O797" s="50" t="n">
        <v>6.918</v>
      </c>
      <c r="P797" s="50" t="n"/>
      <c r="Q797" s="50" t="n">
        <v>507.589</v>
      </c>
      <c r="R797" s="50" t="n">
        <v>6.998</v>
      </c>
      <c r="S797" s="50" t="n"/>
    </row>
    <row r="798">
      <c r="A798" s="50" t="inlineStr">
        <is>
          <t>2017-01</t>
        </is>
      </c>
      <c r="B798" s="50" t="n">
        <v>138.761</v>
      </c>
      <c r="C798" s="50" t="n">
        <v>-4.063</v>
      </c>
      <c r="D798" s="50" t="n"/>
      <c r="E798" s="50" t="n">
        <v>137.397</v>
      </c>
      <c r="F798" s="50" t="n">
        <v>-3.695</v>
      </c>
      <c r="G798" s="50" t="n"/>
      <c r="H798" s="50" t="n">
        <v>279.523</v>
      </c>
      <c r="I798" s="50" t="n">
        <v>2.353</v>
      </c>
      <c r="J798" s="50" t="n"/>
      <c r="K798" s="50" t="n">
        <v>279.523</v>
      </c>
      <c r="L798" s="50" t="n">
        <v>2.353</v>
      </c>
      <c r="M798" s="50" t="n"/>
      <c r="N798" s="50" t="n">
        <v>509.275</v>
      </c>
      <c r="O798" s="50" t="n">
        <v>7.519</v>
      </c>
      <c r="P798" s="50" t="n"/>
      <c r="Q798" s="50" t="n">
        <v>510.919</v>
      </c>
      <c r="R798" s="50" t="n">
        <v>7.459</v>
      </c>
      <c r="S798" s="50" t="n"/>
    </row>
    <row r="799">
      <c r="A799" s="50" t="inlineStr">
        <is>
          <t>2017-02</t>
        </is>
      </c>
      <c r="B799" s="50" t="n">
        <v>138.713</v>
      </c>
      <c r="C799" s="50" t="n">
        <v>-3.657</v>
      </c>
      <c r="D799" s="50" t="n"/>
      <c r="E799" s="50" t="n">
        <v>137.899</v>
      </c>
      <c r="F799" s="50" t="n">
        <v>-4.253</v>
      </c>
      <c r="G799" s="50" t="n"/>
      <c r="H799" s="50" t="n">
        <v>279.782</v>
      </c>
      <c r="I799" s="50" t="n">
        <v>2.457</v>
      </c>
      <c r="J799" s="50" t="n"/>
      <c r="K799" s="50" t="n">
        <v>279.782</v>
      </c>
      <c r="L799" s="50" t="n">
        <v>2.457</v>
      </c>
      <c r="M799" s="50" t="n"/>
      <c r="N799" s="50" t="n">
        <v>511.125</v>
      </c>
      <c r="O799" s="50" t="n">
        <v>7.599</v>
      </c>
      <c r="P799" s="50" t="n"/>
      <c r="Q799" s="50" t="n">
        <v>513.4690000000001</v>
      </c>
      <c r="R799" s="50" t="n">
        <v>7.579</v>
      </c>
      <c r="S799" s="50" t="n"/>
    </row>
    <row r="800">
      <c r="A800" s="50" t="inlineStr">
        <is>
          <t>2017-03</t>
        </is>
      </c>
      <c r="B800" s="50" t="n">
        <v>139.232</v>
      </c>
      <c r="C800" s="50" t="n">
        <v>-3.082</v>
      </c>
      <c r="D800" s="50" t="n"/>
      <c r="E800" s="50" t="n">
        <v>139.372</v>
      </c>
      <c r="F800" s="50" t="n">
        <v>-4.656</v>
      </c>
      <c r="G800" s="50" t="n"/>
      <c r="H800" s="50" t="n">
        <v>279.6</v>
      </c>
      <c r="I800" s="50" t="n">
        <v>2.051</v>
      </c>
      <c r="J800" s="50" t="n"/>
      <c r="K800" s="50" t="n">
        <v>279.6</v>
      </c>
      <c r="L800" s="50" t="n">
        <v>2.051</v>
      </c>
      <c r="M800" s="50" t="n"/>
      <c r="N800" s="50" t="n">
        <v>515.074</v>
      </c>
      <c r="O800" s="50" t="n">
        <v>7.891</v>
      </c>
      <c r="P800" s="50" t="n"/>
      <c r="Q800" s="50" t="n">
        <v>517.619</v>
      </c>
      <c r="R800" s="50" t="n">
        <v>8.143000000000001</v>
      </c>
      <c r="S800" s="50" t="n"/>
    </row>
    <row r="801">
      <c r="A801" s="50" t="inlineStr">
        <is>
          <t>2017-04</t>
        </is>
      </c>
      <c r="B801" s="50" t="n">
        <v>138.596</v>
      </c>
      <c r="C801" s="50" t="n">
        <v>-4.729</v>
      </c>
      <c r="D801" s="50" t="n"/>
      <c r="E801" s="50" t="n">
        <v>140.654</v>
      </c>
      <c r="F801" s="50" t="n">
        <v>-4.634</v>
      </c>
      <c r="G801" s="50" t="n"/>
      <c r="H801" s="50" t="n">
        <v>280.17</v>
      </c>
      <c r="I801" s="50" t="n">
        <v>1.93</v>
      </c>
      <c r="J801" s="50" t="n"/>
      <c r="K801" s="50" t="n">
        <v>280.17</v>
      </c>
      <c r="L801" s="50" t="n">
        <v>1.93</v>
      </c>
      <c r="M801" s="50" t="n"/>
      <c r="N801" s="50" t="n">
        <v>515.003</v>
      </c>
      <c r="O801" s="50" t="n">
        <v>6.553</v>
      </c>
      <c r="P801" s="50" t="n"/>
      <c r="Q801" s="50" t="n">
        <v>516.203</v>
      </c>
      <c r="R801" s="50" t="n">
        <v>6.693</v>
      </c>
      <c r="S801" s="50" t="n"/>
    </row>
    <row r="802">
      <c r="A802" s="50" t="inlineStr">
        <is>
          <t>2017-05</t>
        </is>
      </c>
      <c r="B802" s="50" t="n">
        <v>138.601</v>
      </c>
      <c r="C802" s="50" t="n">
        <v>-5.338</v>
      </c>
      <c r="D802" s="50" t="n"/>
      <c r="E802" s="50" t="n">
        <v>140.875</v>
      </c>
      <c r="F802" s="50" t="n">
        <v>-4.312</v>
      </c>
      <c r="G802" s="50" t="n"/>
      <c r="H802" s="50" t="n">
        <v>280.388</v>
      </c>
      <c r="I802" s="50" t="n">
        <v>1.837</v>
      </c>
      <c r="J802" s="50" t="n"/>
      <c r="K802" s="50" t="n">
        <v>280.388</v>
      </c>
      <c r="L802" s="50" t="n">
        <v>1.837</v>
      </c>
      <c r="M802" s="50" t="n"/>
      <c r="N802" s="50" t="n">
        <v>520.722</v>
      </c>
      <c r="O802" s="50" t="n">
        <v>7.007</v>
      </c>
      <c r="P802" s="50" t="n"/>
      <c r="Q802" s="50" t="n">
        <v>521.149</v>
      </c>
      <c r="R802" s="50" t="n">
        <v>7.008</v>
      </c>
      <c r="S802" s="50" t="n"/>
    </row>
    <row r="803">
      <c r="A803" s="50" t="inlineStr">
        <is>
          <t>2017-06</t>
        </is>
      </c>
      <c r="B803" s="50" t="n">
        <v>137.691</v>
      </c>
      <c r="C803" s="50" t="n">
        <v>-4.967</v>
      </c>
      <c r="D803" s="50" t="n"/>
      <c r="E803" s="50" t="n">
        <v>140.015</v>
      </c>
      <c r="F803" s="50" t="n">
        <v>-4.298</v>
      </c>
      <c r="G803" s="50" t="n"/>
      <c r="H803" s="50" t="n">
        <v>279.294</v>
      </c>
      <c r="I803" s="50" t="n">
        <v>1.354</v>
      </c>
      <c r="J803" s="50" t="n"/>
      <c r="K803" s="50" t="n">
        <v>279.294</v>
      </c>
      <c r="L803" s="50" t="n">
        <v>1.354</v>
      </c>
      <c r="M803" s="50" t="n"/>
      <c r="N803" s="50" t="n">
        <v>525.931</v>
      </c>
      <c r="O803" s="50" t="n">
        <v>7.632</v>
      </c>
      <c r="P803" s="50" t="n"/>
      <c r="Q803" s="50" t="n">
        <v>525.397</v>
      </c>
      <c r="R803" s="50" t="n">
        <v>7.745</v>
      </c>
      <c r="S803" s="50" t="n"/>
    </row>
    <row r="804">
      <c r="A804" s="50" t="inlineStr">
        <is>
          <t>2017-07</t>
        </is>
      </c>
      <c r="B804" s="50" t="n">
        <v>136.872</v>
      </c>
      <c r="C804" s="50" t="n">
        <v>-4.466</v>
      </c>
      <c r="D804" s="50" t="n"/>
      <c r="E804" s="50" t="n">
        <v>139.519</v>
      </c>
      <c r="F804" s="50" t="n">
        <v>-4.082</v>
      </c>
      <c r="G804" s="50" t="n"/>
      <c r="H804" s="50" t="n">
        <v>279.605</v>
      </c>
      <c r="I804" s="50" t="n">
        <v>1.285</v>
      </c>
      <c r="J804" s="50" t="n"/>
      <c r="K804" s="50" t="n">
        <v>279.605</v>
      </c>
      <c r="L804" s="50" t="n">
        <v>1.285</v>
      </c>
      <c r="M804" s="50" t="n"/>
      <c r="N804" s="50" t="n">
        <v>528.26</v>
      </c>
      <c r="O804" s="50" t="n">
        <v>7.621</v>
      </c>
      <c r="P804" s="50" t="n"/>
      <c r="Q804" s="50" t="n">
        <v>526.394</v>
      </c>
      <c r="R804" s="50" t="n">
        <v>7.633</v>
      </c>
      <c r="S804" s="50" t="n"/>
    </row>
    <row r="805">
      <c r="A805" s="50" t="inlineStr">
        <is>
          <t>2017-08</t>
        </is>
      </c>
      <c r="B805" s="50" t="n">
        <v>136.875</v>
      </c>
      <c r="C805" s="50" t="n">
        <v>-4.151</v>
      </c>
      <c r="D805" s="50" t="n"/>
      <c r="E805" s="50" t="n">
        <v>139.35</v>
      </c>
      <c r="F805" s="50" t="n">
        <v>-3.802</v>
      </c>
      <c r="G805" s="50" t="n"/>
      <c r="H805" s="50" t="n">
        <v>280.488</v>
      </c>
      <c r="I805" s="50" t="n">
        <v>1.654</v>
      </c>
      <c r="J805" s="50" t="n"/>
      <c r="K805" s="50" t="n">
        <v>280.488</v>
      </c>
      <c r="L805" s="50" t="n">
        <v>1.654</v>
      </c>
      <c r="M805" s="50" t="n"/>
      <c r="N805" s="50" t="n">
        <v>533.6079999999999</v>
      </c>
      <c r="O805" s="50" t="n">
        <v>8.148</v>
      </c>
      <c r="P805" s="50" t="n"/>
      <c r="Q805" s="50" t="n">
        <v>530.908</v>
      </c>
      <c r="R805" s="50" t="n">
        <v>8.118</v>
      </c>
      <c r="S805" s="50" t="n"/>
    </row>
    <row r="806">
      <c r="A806" s="50" t="inlineStr">
        <is>
          <t>2017-09</t>
        </is>
      </c>
      <c r="B806" s="50" t="n">
        <v>135.033</v>
      </c>
      <c r="C806" s="50" t="n">
        <v>-6.778</v>
      </c>
      <c r="D806" s="50" t="n"/>
      <c r="E806" s="50" t="n">
        <v>137.141</v>
      </c>
      <c r="F806" s="50" t="n">
        <v>-3.749</v>
      </c>
      <c r="G806" s="50" t="n"/>
      <c r="H806" s="50" t="n">
        <v>282.203</v>
      </c>
      <c r="I806" s="50" t="n">
        <v>2.496</v>
      </c>
      <c r="J806" s="50" t="n"/>
      <c r="K806" s="50" t="n">
        <v>282.203</v>
      </c>
      <c r="L806" s="50" t="n">
        <v>2.496</v>
      </c>
      <c r="M806" s="50" t="n"/>
      <c r="N806" s="50" t="n">
        <v>536.015</v>
      </c>
      <c r="O806" s="50" t="n">
        <v>8.147</v>
      </c>
      <c r="P806" s="50" t="n"/>
      <c r="Q806" s="50" t="n">
        <v>532.455</v>
      </c>
      <c r="R806" s="50" t="n">
        <v>8.196</v>
      </c>
      <c r="S806" s="50" t="n"/>
    </row>
    <row r="807">
      <c r="A807" s="50" t="inlineStr">
        <is>
          <t>2017-10</t>
        </is>
      </c>
      <c r="B807" s="50" t="n">
        <v>137.803</v>
      </c>
      <c r="C807" s="50" t="n">
        <v>-3.104</v>
      </c>
      <c r="D807" s="50" t="n"/>
      <c r="E807" s="50" t="n">
        <v>135.867</v>
      </c>
      <c r="F807" s="50" t="n">
        <v>-2.892</v>
      </c>
      <c r="G807" s="50" t="n"/>
      <c r="H807" s="50" t="n">
        <v>283.257</v>
      </c>
      <c r="I807" s="50" t="n">
        <v>2.762</v>
      </c>
      <c r="J807" s="50" t="n"/>
      <c r="K807" s="50" t="n">
        <v>283.257</v>
      </c>
      <c r="L807" s="50" t="n">
        <v>2.762</v>
      </c>
      <c r="M807" s="50" t="n"/>
      <c r="N807" s="50" t="n">
        <v>539.144</v>
      </c>
      <c r="O807" s="50" t="n">
        <v>8.137</v>
      </c>
      <c r="P807" s="50" t="n"/>
      <c r="Q807" s="50" t="n">
        <v>537.222</v>
      </c>
      <c r="R807" s="50" t="n">
        <v>8.167</v>
      </c>
      <c r="S807" s="50" t="n"/>
    </row>
    <row r="808">
      <c r="A808" s="50" t="inlineStr">
        <is>
          <t>2017-11</t>
        </is>
      </c>
      <c r="B808" s="50" t="n">
        <v>138.261</v>
      </c>
      <c r="C808" s="50" t="n">
        <v>-1.225</v>
      </c>
      <c r="D808" s="50" t="n"/>
      <c r="E808" s="50" t="n">
        <v>134.901</v>
      </c>
      <c r="F808" s="50" t="n">
        <v>-2.096</v>
      </c>
      <c r="G808" s="50" t="n"/>
      <c r="H808" s="50" t="n">
        <v>282.502</v>
      </c>
      <c r="I808" s="50" t="n">
        <v>1.858</v>
      </c>
      <c r="J808" s="50" t="n"/>
      <c r="K808" s="50" t="n">
        <v>282.502</v>
      </c>
      <c r="L808" s="50" t="n">
        <v>1.858</v>
      </c>
      <c r="M808" s="50" t="n"/>
      <c r="N808" s="50" t="n">
        <v>542.965</v>
      </c>
      <c r="O808" s="50" t="n">
        <v>8.189</v>
      </c>
      <c r="P808" s="50" t="n"/>
      <c r="Q808" s="50" t="n">
        <v>543.6130000000001</v>
      </c>
      <c r="R808" s="50" t="n">
        <v>7.98</v>
      </c>
      <c r="S808" s="50" t="n"/>
    </row>
    <row r="809">
      <c r="A809" s="50" t="inlineStr">
        <is>
          <t>2017-12</t>
        </is>
      </c>
      <c r="B809" s="50" t="n">
        <v>138.123</v>
      </c>
      <c r="C809" s="50" t="n">
        <v>-0.957</v>
      </c>
      <c r="D809" s="50" t="n"/>
      <c r="E809" s="50" t="n">
        <v>136.118</v>
      </c>
      <c r="F809" s="50" t="n">
        <v>-0.987</v>
      </c>
      <c r="G809" s="50" t="n"/>
      <c r="H809" s="50" t="n">
        <v>283.107</v>
      </c>
      <c r="I809" s="50" t="n">
        <v>1.836</v>
      </c>
      <c r="J809" s="50" t="n"/>
      <c r="K809" s="50" t="n">
        <v>283.107</v>
      </c>
      <c r="L809" s="50" t="n">
        <v>1.836</v>
      </c>
      <c r="M809" s="50" t="n"/>
      <c r="N809" s="50" t="n">
        <v>546.549</v>
      </c>
      <c r="O809" s="50" t="n">
        <v>8.151999999999999</v>
      </c>
      <c r="P809" s="50" t="n"/>
      <c r="Q809" s="50" t="n">
        <v>547.586</v>
      </c>
      <c r="R809" s="50" t="n">
        <v>7.88</v>
      </c>
      <c r="S809" s="50" t="n"/>
    </row>
    <row r="810">
      <c r="A810" s="50" t="inlineStr">
        <is>
          <t>2018-01</t>
        </is>
      </c>
      <c r="B810" s="50" t="n">
        <v>138.559</v>
      </c>
      <c r="C810" s="50" t="n">
        <v>-0.146</v>
      </c>
      <c r="D810" s="50" t="n"/>
      <c r="E810" s="50" t="n">
        <v>136.555</v>
      </c>
      <c r="F810" s="50" t="n">
        <v>-0.613</v>
      </c>
      <c r="G810" s="50" t="n"/>
      <c r="H810" s="50" t="n">
        <v>283.305</v>
      </c>
      <c r="I810" s="50" t="n">
        <v>1.353</v>
      </c>
      <c r="J810" s="50" t="n"/>
      <c r="K810" s="50" t="n">
        <v>283.305</v>
      </c>
      <c r="L810" s="50" t="n">
        <v>1.353</v>
      </c>
      <c r="M810" s="50" t="n"/>
      <c r="N810" s="50" t="n">
        <v>552.617</v>
      </c>
      <c r="O810" s="50" t="n">
        <v>8.510999999999999</v>
      </c>
      <c r="P810" s="50" t="n"/>
      <c r="Q810" s="50" t="n">
        <v>554.1660000000001</v>
      </c>
      <c r="R810" s="50" t="n">
        <v>8.465</v>
      </c>
      <c r="S810" s="50" t="n"/>
    </row>
    <row r="811">
      <c r="A811" s="50" t="inlineStr">
        <is>
          <t>2018-02</t>
        </is>
      </c>
      <c r="B811" s="50" t="n">
        <v>138.643</v>
      </c>
      <c r="C811" s="50" t="n">
        <v>-0.05</v>
      </c>
      <c r="D811" s="50" t="n"/>
      <c r="E811" s="50" t="n">
        <v>137.768</v>
      </c>
      <c r="F811" s="50" t="n">
        <v>-0.095</v>
      </c>
      <c r="G811" s="50" t="n"/>
      <c r="H811" s="50" t="n">
        <v>284.032</v>
      </c>
      <c r="I811" s="50" t="n">
        <v>1.519</v>
      </c>
      <c r="J811" s="50" t="n"/>
      <c r="K811" s="50" t="n">
        <v>284.032</v>
      </c>
      <c r="L811" s="50" t="n">
        <v>1.519</v>
      </c>
      <c r="M811" s="50" t="n"/>
      <c r="N811" s="50" t="n">
        <v>560.327</v>
      </c>
      <c r="O811" s="50" t="n">
        <v>9.625999999999999</v>
      </c>
      <c r="P811" s="50" t="n"/>
      <c r="Q811" s="50" t="n">
        <v>563.365</v>
      </c>
      <c r="R811" s="50" t="n">
        <v>9.717000000000001</v>
      </c>
      <c r="S811" s="50" t="n"/>
    </row>
    <row r="812">
      <c r="A812" s="50" t="inlineStr">
        <is>
          <t>2018-03</t>
        </is>
      </c>
      <c r="B812" s="50" t="n">
        <v>138.212</v>
      </c>
      <c r="C812" s="50" t="n">
        <v>-0.733</v>
      </c>
      <c r="D812" s="50" t="n"/>
      <c r="E812" s="50" t="n">
        <v>139.892</v>
      </c>
      <c r="F812" s="50" t="n">
        <v>0.373</v>
      </c>
      <c r="G812" s="50" t="n"/>
      <c r="H812" s="50" t="n">
        <v>283.656</v>
      </c>
      <c r="I812" s="50" t="n">
        <v>1.451</v>
      </c>
      <c r="J812" s="50" t="n"/>
      <c r="K812" s="50" t="n">
        <v>283.656</v>
      </c>
      <c r="L812" s="50" t="n">
        <v>1.451</v>
      </c>
      <c r="M812" s="50" t="n"/>
      <c r="N812" s="50" t="n">
        <v>560.022</v>
      </c>
      <c r="O812" s="50" t="n">
        <v>8.727</v>
      </c>
      <c r="P812" s="50" t="n"/>
      <c r="Q812" s="50" t="n">
        <v>563.7619999999999</v>
      </c>
      <c r="R812" s="50" t="n">
        <v>8.914</v>
      </c>
      <c r="S812" s="50" t="n"/>
    </row>
    <row r="813">
      <c r="A813" s="50" t="inlineStr">
        <is>
          <t>2018-04</t>
        </is>
      </c>
      <c r="B813" s="50" t="n">
        <v>137.876</v>
      </c>
      <c r="C813" s="50" t="n">
        <v>-0.519</v>
      </c>
      <c r="D813" s="50" t="n"/>
      <c r="E813" s="50" t="n">
        <v>139.368</v>
      </c>
      <c r="F813" s="50" t="n">
        <v>-0.914</v>
      </c>
      <c r="G813" s="50" t="n"/>
      <c r="H813" s="50" t="n">
        <v>284.367</v>
      </c>
      <c r="I813" s="50" t="n">
        <v>1.498</v>
      </c>
      <c r="J813" s="50" t="n"/>
      <c r="K813" s="50" t="n">
        <v>284.367</v>
      </c>
      <c r="L813" s="50" t="n">
        <v>1.498</v>
      </c>
      <c r="M813" s="50" t="n"/>
      <c r="N813" s="50" t="n">
        <v>561.223</v>
      </c>
      <c r="O813" s="50" t="n">
        <v>8.975</v>
      </c>
      <c r="P813" s="50" t="n"/>
      <c r="Q813" s="50" t="n">
        <v>562.749</v>
      </c>
      <c r="R813" s="50" t="n">
        <v>9.016999999999999</v>
      </c>
      <c r="S813" s="50" t="n"/>
    </row>
    <row r="814">
      <c r="A814" s="50" t="inlineStr">
        <is>
          <t>2018-05</t>
        </is>
      </c>
      <c r="B814" s="50" t="n">
        <v>138.533</v>
      </c>
      <c r="C814" s="50" t="n">
        <v>-0.049</v>
      </c>
      <c r="D814" s="50" t="n"/>
      <c r="E814" s="50" t="n">
        <v>138.506</v>
      </c>
      <c r="F814" s="50" t="n">
        <v>-1.682</v>
      </c>
      <c r="G814" s="50" t="n"/>
      <c r="H814" s="50" t="n">
        <v>284.851</v>
      </c>
      <c r="I814" s="50" t="n">
        <v>1.592</v>
      </c>
      <c r="J814" s="50" t="n"/>
      <c r="K814" s="50" t="n">
        <v>284.851</v>
      </c>
      <c r="L814" s="50" t="n">
        <v>1.592</v>
      </c>
      <c r="M814" s="50" t="n"/>
      <c r="N814" s="50" t="n">
        <v>564.13</v>
      </c>
      <c r="O814" s="50" t="n">
        <v>8.336</v>
      </c>
      <c r="P814" s="50" t="n"/>
      <c r="Q814" s="50" t="n">
        <v>564.4450000000001</v>
      </c>
      <c r="R814" s="50" t="n">
        <v>8.308</v>
      </c>
      <c r="S814" s="50" t="n"/>
    </row>
    <row r="815">
      <c r="A815" s="50" t="inlineStr">
        <is>
          <t>2018-06</t>
        </is>
      </c>
      <c r="B815" s="50" t="n">
        <v>137.952</v>
      </c>
      <c r="C815" s="50" t="n">
        <v>0.19</v>
      </c>
      <c r="D815" s="50" t="n"/>
      <c r="E815" s="50" t="n">
        <v>139.09</v>
      </c>
      <c r="F815" s="50" t="n">
        <v>-0.661</v>
      </c>
      <c r="G815" s="50" t="n"/>
      <c r="H815" s="50" t="n">
        <v>285.753</v>
      </c>
      <c r="I815" s="50" t="n">
        <v>2.313</v>
      </c>
      <c r="J815" s="50" t="n"/>
      <c r="K815" s="50" t="n">
        <v>285.753</v>
      </c>
      <c r="L815" s="50" t="n">
        <v>2.313</v>
      </c>
      <c r="M815" s="50" t="n"/>
      <c r="N815" s="50" t="n">
        <v>565.864</v>
      </c>
      <c r="O815" s="50" t="n">
        <v>7.593</v>
      </c>
      <c r="P815" s="50" t="n"/>
      <c r="Q815" s="50" t="n">
        <v>565.284</v>
      </c>
      <c r="R815" s="50" t="n">
        <v>7.592</v>
      </c>
      <c r="S815" s="50" t="n"/>
    </row>
    <row r="816">
      <c r="A816" s="50" t="inlineStr">
        <is>
          <t>2018-07</t>
        </is>
      </c>
      <c r="B816" s="50" t="n">
        <v>137.608</v>
      </c>
      <c r="C816" s="50" t="n">
        <v>0.538</v>
      </c>
      <c r="D816" s="50" t="n"/>
      <c r="E816" s="50" t="n">
        <v>140.687</v>
      </c>
      <c r="F816" s="50" t="n">
        <v>0.837</v>
      </c>
      <c r="G816" s="50" t="n"/>
      <c r="H816" s="50" t="n">
        <v>286.067</v>
      </c>
      <c r="I816" s="50" t="n">
        <v>2.311</v>
      </c>
      <c r="J816" s="50" t="n"/>
      <c r="K816" s="50" t="n">
        <v>286.067</v>
      </c>
      <c r="L816" s="50" t="n">
        <v>2.311</v>
      </c>
      <c r="M816" s="50" t="n"/>
      <c r="N816" s="50" t="n">
        <v>567.647</v>
      </c>
      <c r="O816" s="50" t="n">
        <v>7.456</v>
      </c>
      <c r="P816" s="50" t="n"/>
      <c r="Q816" s="50" t="n">
        <v>565.547</v>
      </c>
      <c r="R816" s="50" t="n">
        <v>7.438</v>
      </c>
      <c r="S816" s="50" t="n"/>
    </row>
    <row r="817">
      <c r="A817" s="50" t="inlineStr">
        <is>
          <t>2018-08</t>
        </is>
      </c>
      <c r="B817" s="50" t="n">
        <v>138.093</v>
      </c>
      <c r="C817" s="50" t="n">
        <v>0.89</v>
      </c>
      <c r="D817" s="50" t="n"/>
      <c r="E817" s="50" t="n">
        <v>141.095</v>
      </c>
      <c r="F817" s="50" t="n">
        <v>1.252</v>
      </c>
      <c r="G817" s="50" t="n"/>
      <c r="H817" s="50" t="n">
        <v>286.931</v>
      </c>
      <c r="I817" s="50" t="n">
        <v>2.297</v>
      </c>
      <c r="J817" s="50" t="n"/>
      <c r="K817" s="50" t="n">
        <v>286.931</v>
      </c>
      <c r="L817" s="50" t="n">
        <v>2.297</v>
      </c>
      <c r="M817" s="50" t="n"/>
      <c r="N817" s="50" t="n">
        <v>568.147</v>
      </c>
      <c r="O817" s="50" t="n">
        <v>6.473</v>
      </c>
      <c r="P817" s="50" t="n"/>
      <c r="Q817" s="50" t="n">
        <v>565.1130000000001</v>
      </c>
      <c r="R817" s="50" t="n">
        <v>6.443</v>
      </c>
      <c r="S817" s="50" t="n"/>
    </row>
    <row r="818">
      <c r="A818" s="50" t="inlineStr">
        <is>
          <t>2018-09</t>
        </is>
      </c>
      <c r="B818" s="50" t="n">
        <v>136.92</v>
      </c>
      <c r="C818" s="50" t="n">
        <v>1.397</v>
      </c>
      <c r="D818" s="50" t="n"/>
      <c r="E818" s="50" t="n">
        <v>135.13</v>
      </c>
      <c r="F818" s="50" t="n">
        <v>-1.466</v>
      </c>
      <c r="G818" s="50" t="n"/>
      <c r="H818" s="50" t="n">
        <v>288.457</v>
      </c>
      <c r="I818" s="50" t="n">
        <v>2.216</v>
      </c>
      <c r="J818" s="50" t="n"/>
      <c r="K818" s="50" t="n">
        <v>288.457</v>
      </c>
      <c r="L818" s="50" t="n">
        <v>2.216</v>
      </c>
      <c r="M818" s="50" t="n"/>
      <c r="N818" s="50" t="n">
        <v>571.655</v>
      </c>
      <c r="O818" s="50" t="n">
        <v>6.649</v>
      </c>
      <c r="P818" s="50" t="n"/>
      <c r="Q818" s="50" t="n">
        <v>567.838</v>
      </c>
      <c r="R818" s="50" t="n">
        <v>6.645</v>
      </c>
      <c r="S818" s="50" t="n"/>
    </row>
    <row r="819">
      <c r="A819" s="50" t="inlineStr">
        <is>
          <t>2018-10</t>
        </is>
      </c>
      <c r="B819" s="50" t="n">
        <v>138.247</v>
      </c>
      <c r="C819" s="50" t="n">
        <v>0.322</v>
      </c>
      <c r="D819" s="50" t="n"/>
      <c r="E819" s="50" t="n">
        <v>136.45</v>
      </c>
      <c r="F819" s="50" t="n">
        <v>0.429</v>
      </c>
      <c r="G819" s="50" t="n"/>
      <c r="H819" s="50" t="n">
        <v>289.057</v>
      </c>
      <c r="I819" s="50" t="n">
        <v>2.048</v>
      </c>
      <c r="J819" s="50" t="n"/>
      <c r="K819" s="50" t="n">
        <v>289.057</v>
      </c>
      <c r="L819" s="50" t="n">
        <v>2.048</v>
      </c>
      <c r="M819" s="50" t="n"/>
      <c r="N819" s="50" t="n">
        <v>575.1079999999999</v>
      </c>
      <c r="O819" s="50" t="n">
        <v>6.671</v>
      </c>
      <c r="P819" s="50" t="n"/>
      <c r="Q819" s="50" t="n">
        <v>573.05</v>
      </c>
      <c r="R819" s="50" t="n">
        <v>6.669</v>
      </c>
      <c r="S819" s="50" t="n"/>
    </row>
    <row r="820">
      <c r="A820" s="50" t="inlineStr">
        <is>
          <t>2018-11</t>
        </is>
      </c>
      <c r="B820" s="50" t="n">
        <v>139.763</v>
      </c>
      <c r="C820" s="50" t="n">
        <v>1.086</v>
      </c>
      <c r="D820" s="50" t="n"/>
      <c r="E820" s="50" t="n">
        <v>138.01</v>
      </c>
      <c r="F820" s="50" t="n">
        <v>2.305</v>
      </c>
      <c r="G820" s="50" t="n"/>
      <c r="H820" s="50" t="n">
        <v>290.114</v>
      </c>
      <c r="I820" s="50" t="n">
        <v>2.694</v>
      </c>
      <c r="J820" s="50" t="n"/>
      <c r="K820" s="50" t="n">
        <v>290.114</v>
      </c>
      <c r="L820" s="50" t="n">
        <v>2.694</v>
      </c>
      <c r="M820" s="50" t="n"/>
      <c r="N820" s="50" t="n">
        <v>573.253</v>
      </c>
      <c r="O820" s="50" t="n">
        <v>5.578</v>
      </c>
      <c r="P820" s="50" t="n"/>
      <c r="Q820" s="50" t="n">
        <v>573.338</v>
      </c>
      <c r="R820" s="50" t="n">
        <v>5.468</v>
      </c>
      <c r="S820" s="50" t="n"/>
    </row>
    <row r="821">
      <c r="A821" s="50" t="inlineStr">
        <is>
          <t>2018-12</t>
        </is>
      </c>
      <c r="B821" s="50" t="n">
        <v>140.18</v>
      </c>
      <c r="C821" s="50" t="n">
        <v>1.489</v>
      </c>
      <c r="D821" s="50" t="n"/>
      <c r="E821" s="50" t="n">
        <v>138.069</v>
      </c>
      <c r="F821" s="50" t="n">
        <v>1.433</v>
      </c>
      <c r="G821" s="50" t="n"/>
      <c r="H821" s="50" t="n">
        <v>289.705</v>
      </c>
      <c r="I821" s="50" t="n">
        <v>2.331</v>
      </c>
      <c r="J821" s="50" t="n"/>
      <c r="K821" s="50" t="n">
        <v>289.705</v>
      </c>
      <c r="L821" s="50" t="n">
        <v>2.331</v>
      </c>
      <c r="M821" s="50" t="n"/>
      <c r="N821" s="50" t="n">
        <v>572.187</v>
      </c>
      <c r="O821" s="50" t="n">
        <v>4.691</v>
      </c>
      <c r="P821" s="50" t="n"/>
      <c r="Q821" s="50" t="n">
        <v>572.824</v>
      </c>
      <c r="R821" s="50" t="n">
        <v>4.609</v>
      </c>
      <c r="S821" s="50" t="n"/>
    </row>
    <row r="822">
      <c r="A822" s="50" t="inlineStr">
        <is>
          <t>2019-01</t>
        </is>
      </c>
      <c r="B822" s="50" t="n">
        <v>142.214</v>
      </c>
      <c r="C822" s="50" t="n">
        <v>2.638</v>
      </c>
      <c r="D822" s="50" t="n"/>
      <c r="E822" s="50" t="n">
        <v>138.8</v>
      </c>
      <c r="F822" s="50" t="n">
        <v>1.644</v>
      </c>
      <c r="G822" s="50" t="n"/>
      <c r="H822" s="50" t="n">
        <v>290.758</v>
      </c>
      <c r="I822" s="50" t="n">
        <v>2.631</v>
      </c>
      <c r="J822" s="50" t="n"/>
      <c r="K822" s="50" t="n">
        <v>290.758</v>
      </c>
      <c r="L822" s="50" t="n">
        <v>2.631</v>
      </c>
      <c r="M822" s="50" t="n"/>
      <c r="N822" s="50" t="n">
        <v>571.5410000000001</v>
      </c>
      <c r="O822" s="50" t="n">
        <v>3.424</v>
      </c>
      <c r="P822" s="50" t="n"/>
      <c r="Q822" s="50" t="n">
        <v>572.95</v>
      </c>
      <c r="R822" s="50" t="n">
        <v>3.39</v>
      </c>
      <c r="S822" s="50" t="n"/>
    </row>
    <row r="823">
      <c r="A823" s="50" t="inlineStr">
        <is>
          <t>2019-02</t>
        </is>
      </c>
      <c r="B823" s="50" t="n">
        <v>142.272</v>
      </c>
      <c r="C823" s="50" t="n">
        <v>2.618</v>
      </c>
      <c r="D823" s="50" t="n"/>
      <c r="E823" s="50" t="n">
        <v>139.301</v>
      </c>
      <c r="F823" s="50" t="n">
        <v>1.113</v>
      </c>
      <c r="G823" s="50" t="n"/>
      <c r="H823" s="50" t="n">
        <v>291.993</v>
      </c>
      <c r="I823" s="50" t="n">
        <v>2.803</v>
      </c>
      <c r="J823" s="50" t="n"/>
      <c r="K823" s="50" t="n">
        <v>291.993</v>
      </c>
      <c r="L823" s="50" t="n">
        <v>2.803</v>
      </c>
      <c r="M823" s="50" t="n"/>
      <c r="N823" s="50" t="n">
        <v>570.708</v>
      </c>
      <c r="O823" s="50" t="n">
        <v>1.853</v>
      </c>
      <c r="P823" s="50" t="n"/>
      <c r="Q823" s="50" t="n">
        <v>574.447</v>
      </c>
      <c r="R823" s="50" t="n">
        <v>1.967</v>
      </c>
      <c r="S823" s="50" t="n"/>
    </row>
    <row r="824">
      <c r="A824" s="50" t="inlineStr">
        <is>
          <t>2019-03</t>
        </is>
      </c>
      <c r="B824" s="50" t="n">
        <v>141.218</v>
      </c>
      <c r="C824" s="50" t="n">
        <v>2.175</v>
      </c>
      <c r="D824" s="50" t="n"/>
      <c r="E824" s="50" t="n">
        <v>140.513</v>
      </c>
      <c r="F824" s="50" t="n">
        <v>0.444</v>
      </c>
      <c r="G824" s="50" t="n"/>
      <c r="H824" s="50" t="n">
        <v>294.226</v>
      </c>
      <c r="I824" s="50" t="n">
        <v>3.726</v>
      </c>
      <c r="J824" s="50" t="n"/>
      <c r="K824" s="50" t="n">
        <v>294.226</v>
      </c>
      <c r="L824" s="50" t="n">
        <v>3.726</v>
      </c>
      <c r="M824" s="50" t="n"/>
      <c r="N824" s="50" t="n">
        <v>568.761</v>
      </c>
      <c r="O824" s="50" t="n">
        <v>1.56</v>
      </c>
      <c r="P824" s="50" t="n"/>
      <c r="Q824" s="50" t="n">
        <v>573.087</v>
      </c>
      <c r="R824" s="50" t="n">
        <v>1.654</v>
      </c>
      <c r="S824" s="50" t="n"/>
    </row>
    <row r="825">
      <c r="A825" s="50" t="inlineStr">
        <is>
          <t>2019-04</t>
        </is>
      </c>
      <c r="B825" s="50" t="n">
        <v>139.895</v>
      </c>
      <c r="C825" s="50" t="n">
        <v>1.464</v>
      </c>
      <c r="D825" s="50" t="n"/>
      <c r="E825" s="50" t="n">
        <v>140.458</v>
      </c>
      <c r="F825" s="50" t="n">
        <v>0.782</v>
      </c>
      <c r="G825" s="50" t="n"/>
      <c r="H825" s="50" t="n">
        <v>295.266</v>
      </c>
      <c r="I825" s="50" t="n">
        <v>3.833</v>
      </c>
      <c r="J825" s="50" t="n"/>
      <c r="K825" s="50" t="n">
        <v>295.266</v>
      </c>
      <c r="L825" s="50" t="n">
        <v>3.833</v>
      </c>
      <c r="M825" s="50" t="n"/>
      <c r="N825" s="50" t="n">
        <v>569.453</v>
      </c>
      <c r="O825" s="50" t="n">
        <v>1.466</v>
      </c>
      <c r="P825" s="50" t="n"/>
      <c r="Q825" s="50" t="n">
        <v>570.492</v>
      </c>
      <c r="R825" s="50" t="n">
        <v>1.376</v>
      </c>
      <c r="S825" s="50" t="n"/>
    </row>
    <row r="826">
      <c r="A826" s="50" t="inlineStr">
        <is>
          <t>2019-05</t>
        </is>
      </c>
      <c r="B826" s="50" t="n">
        <v>138.573</v>
      </c>
      <c r="C826" s="50" t="n">
        <v>0.029</v>
      </c>
      <c r="D826" s="50" t="n"/>
      <c r="E826" s="50" t="n">
        <v>138.888</v>
      </c>
      <c r="F826" s="50" t="n">
        <v>0.276</v>
      </c>
      <c r="G826" s="50" t="n"/>
      <c r="H826" s="50" t="n">
        <v>294.586</v>
      </c>
      <c r="I826" s="50" t="n">
        <v>3.418</v>
      </c>
      <c r="J826" s="50" t="n"/>
      <c r="K826" s="50" t="n">
        <v>294.586</v>
      </c>
      <c r="L826" s="50" t="n">
        <v>3.418</v>
      </c>
      <c r="M826" s="50" t="n"/>
      <c r="N826" s="50" t="n">
        <v>568.0650000000001</v>
      </c>
      <c r="O826" s="50" t="n">
        <v>0.698</v>
      </c>
      <c r="P826" s="50" t="n"/>
      <c r="Q826" s="50" t="n">
        <v>568.301</v>
      </c>
      <c r="R826" s="50" t="n">
        <v>0.6830000000000001</v>
      </c>
      <c r="S826" s="50" t="n"/>
    </row>
    <row r="827">
      <c r="A827" s="50" t="inlineStr">
        <is>
          <t>2019-06</t>
        </is>
      </c>
      <c r="B827" s="50" t="n">
        <v>138.241</v>
      </c>
      <c r="C827" s="50" t="n">
        <v>0.209</v>
      </c>
      <c r="D827" s="50" t="n"/>
      <c r="E827" s="50" t="n">
        <v>140.823</v>
      </c>
      <c r="F827" s="50" t="n">
        <v>1.246</v>
      </c>
      <c r="G827" s="50" t="n"/>
      <c r="H827" s="50" t="n">
        <v>295.67</v>
      </c>
      <c r="I827" s="50" t="n">
        <v>3.47</v>
      </c>
      <c r="J827" s="50" t="n"/>
      <c r="K827" s="50" t="n">
        <v>295.67</v>
      </c>
      <c r="L827" s="50" t="n">
        <v>3.47</v>
      </c>
      <c r="M827" s="50" t="n"/>
      <c r="N827" s="50" t="n">
        <v>569.449</v>
      </c>
      <c r="O827" s="50" t="n">
        <v>0.634</v>
      </c>
      <c r="P827" s="50" t="n"/>
      <c r="Q827" s="50" t="n">
        <v>569.079</v>
      </c>
      <c r="R827" s="50" t="n">
        <v>0.671</v>
      </c>
      <c r="S827" s="50" t="n"/>
    </row>
    <row r="828">
      <c r="A828" s="50" t="inlineStr">
        <is>
          <t>2019-07</t>
        </is>
      </c>
      <c r="B828" s="50" t="n">
        <v>138.132</v>
      </c>
      <c r="C828" s="50" t="n">
        <v>0.381</v>
      </c>
      <c r="D828" s="50" t="n"/>
      <c r="E828" s="50" t="n">
        <v>142.756</v>
      </c>
      <c r="F828" s="50" t="n">
        <v>1.471</v>
      </c>
      <c r="G828" s="50" t="n"/>
      <c r="H828" s="50" t="n">
        <v>295.377</v>
      </c>
      <c r="I828" s="50" t="n">
        <v>3.254</v>
      </c>
      <c r="J828" s="50" t="n"/>
      <c r="K828" s="50" t="n">
        <v>295.377</v>
      </c>
      <c r="L828" s="50" t="n">
        <v>3.254</v>
      </c>
      <c r="M828" s="50" t="n"/>
      <c r="N828" s="50" t="n">
        <v>570.961</v>
      </c>
      <c r="O828" s="50" t="n">
        <v>0.584</v>
      </c>
      <c r="P828" s="50" t="n"/>
      <c r="Q828" s="50" t="n">
        <v>569.011</v>
      </c>
      <c r="R828" s="50" t="n">
        <v>0.613</v>
      </c>
      <c r="S828" s="50" t="n"/>
    </row>
    <row r="829">
      <c r="A829" s="50" t="inlineStr">
        <is>
          <t>2019-08</t>
        </is>
      </c>
      <c r="B829" s="50" t="n">
        <v>138.686</v>
      </c>
      <c r="C829" s="50" t="n">
        <v>0.429</v>
      </c>
      <c r="D829" s="50" t="n"/>
      <c r="E829" s="50" t="n">
        <v>144.026</v>
      </c>
      <c r="F829" s="50" t="n">
        <v>2.077</v>
      </c>
      <c r="G829" s="50" t="n"/>
      <c r="H829" s="50" t="n">
        <v>297.884</v>
      </c>
      <c r="I829" s="50" t="n">
        <v>3.817</v>
      </c>
      <c r="J829" s="50" t="n"/>
      <c r="K829" s="50" t="n">
        <v>297.884</v>
      </c>
      <c r="L829" s="50" t="n">
        <v>3.817</v>
      </c>
      <c r="M829" s="50" t="n"/>
      <c r="N829" s="50" t="n">
        <v>572.052</v>
      </c>
      <c r="O829" s="50" t="n">
        <v>0.6870000000000001</v>
      </c>
      <c r="P829" s="50" t="n"/>
      <c r="Q829" s="50" t="n">
        <v>568.972</v>
      </c>
      <c r="R829" s="50" t="n">
        <v>0.6830000000000001</v>
      </c>
      <c r="S829" s="50" t="n"/>
    </row>
    <row r="830">
      <c r="A830" s="50" t="inlineStr">
        <is>
          <t>2019-09</t>
        </is>
      </c>
      <c r="B830" s="50" t="n">
        <v>138.694</v>
      </c>
      <c r="C830" s="50" t="n">
        <v>1.296</v>
      </c>
      <c r="D830" s="50" t="n"/>
      <c r="E830" s="50" t="n">
        <v>138.653</v>
      </c>
      <c r="F830" s="50" t="n">
        <v>2.607</v>
      </c>
      <c r="G830" s="50" t="n"/>
      <c r="H830" s="50" t="n">
        <v>298.441</v>
      </c>
      <c r="I830" s="50" t="n">
        <v>3.461</v>
      </c>
      <c r="J830" s="50" t="n"/>
      <c r="K830" s="50" t="n">
        <v>298.441</v>
      </c>
      <c r="L830" s="50" t="n">
        <v>3.461</v>
      </c>
      <c r="M830" s="50" t="n"/>
      <c r="N830" s="50" t="n">
        <v>572.506</v>
      </c>
      <c r="O830" s="50" t="n">
        <v>0.149</v>
      </c>
      <c r="P830" s="50" t="n"/>
      <c r="Q830" s="50" t="n">
        <v>569.106</v>
      </c>
      <c r="R830" s="50" t="n">
        <v>0.223</v>
      </c>
      <c r="S830" s="50" t="n"/>
    </row>
    <row r="831">
      <c r="A831" s="50" t="inlineStr">
        <is>
          <t>2019-10</t>
        </is>
      </c>
      <c r="B831" s="50" t="n">
        <v>139.701</v>
      </c>
      <c r="C831" s="50" t="n">
        <v>1.052</v>
      </c>
      <c r="D831" s="50" t="n"/>
      <c r="E831" s="50" t="n">
        <v>138.407</v>
      </c>
      <c r="F831" s="50" t="n">
        <v>1.434</v>
      </c>
      <c r="G831" s="50" t="n"/>
      <c r="H831" s="50" t="n">
        <v>298.925</v>
      </c>
      <c r="I831" s="50" t="n">
        <v>3.414</v>
      </c>
      <c r="J831" s="50" t="n"/>
      <c r="K831" s="50" t="n">
        <v>298.925</v>
      </c>
      <c r="L831" s="50" t="n">
        <v>3.414</v>
      </c>
      <c r="M831" s="50" t="n"/>
      <c r="N831" s="50" t="n">
        <v>573.403</v>
      </c>
      <c r="O831" s="50" t="n">
        <v>-0.296</v>
      </c>
      <c r="P831" s="50" t="n"/>
      <c r="Q831" s="50" t="n">
        <v>571.975</v>
      </c>
      <c r="R831" s="50" t="n">
        <v>-0.188</v>
      </c>
      <c r="S831" s="50" t="n"/>
    </row>
    <row r="832">
      <c r="A832" s="50" t="inlineStr">
        <is>
          <t>2019-11</t>
        </is>
      </c>
      <c r="B832" s="50" t="n">
        <v>139.579</v>
      </c>
      <c r="C832" s="50" t="n">
        <v>-0.132</v>
      </c>
      <c r="D832" s="50" t="n"/>
      <c r="E832" s="50" t="n">
        <v>137.407</v>
      </c>
      <c r="F832" s="50" t="n">
        <v>-0.437</v>
      </c>
      <c r="G832" s="50" t="n"/>
      <c r="H832" s="50" t="n">
        <v>299.26</v>
      </c>
      <c r="I832" s="50" t="n">
        <v>3.153</v>
      </c>
      <c r="J832" s="50" t="n"/>
      <c r="K832" s="50" t="n">
        <v>299.26</v>
      </c>
      <c r="L832" s="50" t="n">
        <v>3.153</v>
      </c>
      <c r="M832" s="50" t="n"/>
      <c r="N832" s="50" t="n">
        <v>572.4589999999999</v>
      </c>
      <c r="O832" s="50" t="n">
        <v>-0.139</v>
      </c>
      <c r="P832" s="50" t="n"/>
      <c r="Q832" s="50" t="n">
        <v>571.987</v>
      </c>
      <c r="R832" s="50" t="n">
        <v>-0.236</v>
      </c>
      <c r="S832" s="50" t="n"/>
    </row>
    <row r="833">
      <c r="A833" s="50" t="inlineStr">
        <is>
          <t>2019-12</t>
        </is>
      </c>
      <c r="B833" s="50" t="n">
        <v>140.088</v>
      </c>
      <c r="C833" s="50" t="n">
        <v>-0.066</v>
      </c>
      <c r="D833" s="50" t="n"/>
      <c r="E833" s="50" t="n">
        <v>137.125</v>
      </c>
      <c r="F833" s="50" t="n">
        <v>-0.6840000000000001</v>
      </c>
      <c r="G833" s="50" t="n"/>
      <c r="H833" s="50" t="n">
        <v>299.614</v>
      </c>
      <c r="I833" s="50" t="n">
        <v>3.42</v>
      </c>
      <c r="J833" s="50" t="n"/>
      <c r="K833" s="50" t="n">
        <v>299.614</v>
      </c>
      <c r="L833" s="50" t="n">
        <v>3.42</v>
      </c>
      <c r="M833" s="50" t="n"/>
      <c r="N833" s="50" t="n">
        <v>573.282</v>
      </c>
      <c r="O833" s="50" t="n">
        <v>0.191</v>
      </c>
      <c r="P833" s="50" t="n"/>
      <c r="Q833" s="50" t="n">
        <v>572.979</v>
      </c>
      <c r="R833" s="50" t="n">
        <v>0.027</v>
      </c>
      <c r="S833" s="50" t="n"/>
    </row>
    <row r="834">
      <c r="A834" s="50" t="inlineStr">
        <is>
          <t>2020-01</t>
        </is>
      </c>
      <c r="B834" s="50" t="n">
        <v>139.424</v>
      </c>
      <c r="C834" s="50" t="n">
        <v>-1.962</v>
      </c>
      <c r="D834" s="50" t="n"/>
      <c r="E834" s="50" t="n">
        <v>136.064</v>
      </c>
      <c r="F834" s="50" t="n">
        <v>-1.971</v>
      </c>
      <c r="G834" s="50" t="n"/>
      <c r="H834" s="50" t="n">
        <v>300.112</v>
      </c>
      <c r="I834" s="50" t="n">
        <v>3.217</v>
      </c>
      <c r="J834" s="50" t="n"/>
      <c r="K834" s="50" t="n">
        <v>300.112</v>
      </c>
      <c r="L834" s="50" t="n">
        <v>3.217</v>
      </c>
      <c r="M834" s="50" t="n"/>
      <c r="N834" s="50" t="n">
        <v>572.109</v>
      </c>
      <c r="O834" s="50" t="n">
        <v>0.099</v>
      </c>
      <c r="P834" s="50" t="n"/>
      <c r="Q834" s="50" t="n">
        <v>572.693</v>
      </c>
      <c r="R834" s="50" t="n">
        <v>-0.045</v>
      </c>
      <c r="S834" s="50" t="n"/>
    </row>
    <row r="835">
      <c r="A835" s="50" t="inlineStr">
        <is>
          <t>2020-02</t>
        </is>
      </c>
      <c r="B835" s="50" t="n">
        <v>140.593</v>
      </c>
      <c r="C835" s="50" t="n">
        <v>-1.18</v>
      </c>
      <c r="D835" s="50" t="n"/>
      <c r="E835" s="50" t="n">
        <v>137.452</v>
      </c>
      <c r="F835" s="50" t="n">
        <v>-1.327</v>
      </c>
      <c r="G835" s="50" t="n"/>
      <c r="H835" s="50" t="n">
        <v>302.22</v>
      </c>
      <c r="I835" s="50" t="n">
        <v>3.502</v>
      </c>
      <c r="J835" s="50" t="n"/>
      <c r="K835" s="50" t="n">
        <v>302.22</v>
      </c>
      <c r="L835" s="50" t="n">
        <v>3.502</v>
      </c>
      <c r="M835" s="50" t="n"/>
      <c r="N835" s="50" t="n">
        <v>573.008</v>
      </c>
      <c r="O835" s="50" t="n">
        <v>0.403</v>
      </c>
      <c r="P835" s="50" t="n"/>
      <c r="Q835" s="50" t="n">
        <v>576.45</v>
      </c>
      <c r="R835" s="50" t="n">
        <v>0.349</v>
      </c>
      <c r="S835" s="50" t="n"/>
    </row>
    <row r="836">
      <c r="A836" s="50" t="inlineStr">
        <is>
          <t>2020-03</t>
        </is>
      </c>
      <c r="B836" s="50" t="n">
        <v>141.667</v>
      </c>
      <c r="C836" s="50" t="n">
        <v>0.318</v>
      </c>
      <c r="D836" s="50" t="n"/>
      <c r="E836" s="50" t="n">
        <v>140.689</v>
      </c>
      <c r="F836" s="50" t="n">
        <v>0.125</v>
      </c>
      <c r="G836" s="50" t="n"/>
      <c r="H836" s="50" t="n">
        <v>304.131</v>
      </c>
      <c r="I836" s="50" t="n">
        <v>3.366</v>
      </c>
      <c r="J836" s="50" t="n"/>
      <c r="K836" s="50" t="n">
        <v>304.131</v>
      </c>
      <c r="L836" s="50" t="n">
        <v>3.366</v>
      </c>
      <c r="M836" s="50" t="n"/>
      <c r="N836" s="50" t="n">
        <v>575.7430000000001</v>
      </c>
      <c r="O836" s="50" t="n">
        <v>1.228</v>
      </c>
      <c r="P836" s="50" t="n"/>
      <c r="Q836" s="50" t="n">
        <v>579.462</v>
      </c>
      <c r="R836" s="50" t="n">
        <v>1.112</v>
      </c>
      <c r="S836" s="50" t="n"/>
    </row>
    <row r="837">
      <c r="A837" s="50" t="inlineStr">
        <is>
          <t>2020-04</t>
        </is>
      </c>
      <c r="B837" s="50" t="n">
        <v>138.89</v>
      </c>
      <c r="C837" s="50" t="n">
        <v>-0.718</v>
      </c>
      <c r="D837" s="50" t="n"/>
      <c r="E837" s="50" t="n">
        <v>139.411</v>
      </c>
      <c r="F837" s="50" t="n">
        <v>-0.745</v>
      </c>
      <c r="G837" s="50" t="n"/>
      <c r="H837" s="50" t="n">
        <v>304.376</v>
      </c>
      <c r="I837" s="50" t="n">
        <v>3.085</v>
      </c>
      <c r="J837" s="50" t="n"/>
      <c r="K837" s="50" t="n">
        <v>304.376</v>
      </c>
      <c r="L837" s="50" t="n">
        <v>3.085</v>
      </c>
      <c r="M837" s="50" t="n"/>
      <c r="N837" s="50" t="n">
        <v>533.873</v>
      </c>
      <c r="O837" s="50" t="n">
        <v>-6.248</v>
      </c>
      <c r="P837" s="50" t="n"/>
      <c r="Q837" s="50" t="n">
        <v>534.842</v>
      </c>
      <c r="R837" s="50" t="n">
        <v>-6.249</v>
      </c>
      <c r="S837" s="50" t="n"/>
    </row>
    <row r="838">
      <c r="A838" s="50" t="inlineStr">
        <is>
          <t>2020-05</t>
        </is>
      </c>
      <c r="B838" s="50" t="n">
        <v>137.922</v>
      </c>
      <c r="C838" s="50" t="n">
        <v>-0.47</v>
      </c>
      <c r="D838" s="50" t="n"/>
      <c r="E838" s="50" t="n">
        <v>138.383</v>
      </c>
      <c r="F838" s="50" t="n">
        <v>-0.364</v>
      </c>
      <c r="G838" s="50" t="n"/>
      <c r="H838" s="50" t="n">
        <v>305.574</v>
      </c>
      <c r="I838" s="50" t="n">
        <v>3.73</v>
      </c>
      <c r="J838" s="50" t="n"/>
      <c r="K838" s="50" t="n">
        <v>305.574</v>
      </c>
      <c r="L838" s="50" t="n">
        <v>3.73</v>
      </c>
      <c r="M838" s="50" t="n"/>
      <c r="N838" s="50" t="n">
        <v>486.861</v>
      </c>
      <c r="O838" s="50" t="n">
        <v>-14.295</v>
      </c>
      <c r="P838" s="50" t="n"/>
      <c r="Q838" s="50" t="n">
        <v>486.761</v>
      </c>
      <c r="R838" s="50" t="n">
        <v>-14.348</v>
      </c>
      <c r="S838" s="50" t="n"/>
    </row>
    <row r="839">
      <c r="A839" s="50" t="inlineStr">
        <is>
          <t>2020-06</t>
        </is>
      </c>
      <c r="B839" s="50" t="n">
        <v>134.156</v>
      </c>
      <c r="C839" s="50" t="n">
        <v>-2.955</v>
      </c>
      <c r="D839" s="50" t="n"/>
      <c r="E839" s="50" t="n">
        <v>136.915</v>
      </c>
      <c r="F839" s="50" t="n">
        <v>-2.775</v>
      </c>
      <c r="G839" s="50" t="n"/>
      <c r="H839" s="50" t="n">
        <v>305.736</v>
      </c>
      <c r="I839" s="50" t="n">
        <v>3.404</v>
      </c>
      <c r="J839" s="50" t="n"/>
      <c r="K839" s="50" t="n">
        <v>305.736</v>
      </c>
      <c r="L839" s="50" t="n">
        <v>3.404</v>
      </c>
      <c r="M839" s="50" t="n"/>
      <c r="N839" s="50" t="n">
        <v>512.028</v>
      </c>
      <c r="O839" s="50" t="n">
        <v>-10.084</v>
      </c>
      <c r="P839" s="50" t="n"/>
      <c r="Q839" s="50" t="n">
        <v>511.639</v>
      </c>
      <c r="R839" s="50" t="n">
        <v>-10.094</v>
      </c>
      <c r="S839" s="50" t="n"/>
    </row>
    <row r="840">
      <c r="A840" s="50" t="inlineStr">
        <is>
          <t>2020-07</t>
        </is>
      </c>
      <c r="B840" s="50" t="n">
        <v>136.77</v>
      </c>
      <c r="C840" s="50" t="n">
        <v>-0.986</v>
      </c>
      <c r="D840" s="50" t="n"/>
      <c r="E840" s="50" t="n">
        <v>141.493</v>
      </c>
      <c r="F840" s="50" t="n">
        <v>-0.885</v>
      </c>
      <c r="G840" s="50" t="n"/>
      <c r="H840" s="50" t="n">
        <v>305.573</v>
      </c>
      <c r="I840" s="50" t="n">
        <v>3.452</v>
      </c>
      <c r="J840" s="50" t="n"/>
      <c r="K840" s="50" t="n">
        <v>305.573</v>
      </c>
      <c r="L840" s="50" t="n">
        <v>3.452</v>
      </c>
      <c r="M840" s="50" t="n"/>
      <c r="N840" s="50" t="n">
        <v>560.1609999999999</v>
      </c>
      <c r="O840" s="50" t="n">
        <v>-1.892</v>
      </c>
      <c r="P840" s="50" t="n"/>
      <c r="Q840" s="50" t="n">
        <v>558.276</v>
      </c>
      <c r="R840" s="50" t="n">
        <v>-1.887</v>
      </c>
      <c r="S840" s="50" t="n"/>
    </row>
    <row r="841">
      <c r="A841" s="50" t="inlineStr">
        <is>
          <t>2020-08</t>
        </is>
      </c>
      <c r="B841" s="50" t="n">
        <v>144.102</v>
      </c>
      <c r="C841" s="50" t="n">
        <v>3.905</v>
      </c>
      <c r="D841" s="50" t="n"/>
      <c r="E841" s="50" t="n">
        <v>149.765</v>
      </c>
      <c r="F841" s="50" t="n">
        <v>3.985</v>
      </c>
      <c r="G841" s="50" t="n"/>
      <c r="H841" s="50" t="n">
        <v>307.554</v>
      </c>
      <c r="I841" s="50" t="n">
        <v>3.246</v>
      </c>
      <c r="J841" s="50" t="n"/>
      <c r="K841" s="50" t="n">
        <v>307.554</v>
      </c>
      <c r="L841" s="50" t="n">
        <v>3.246</v>
      </c>
      <c r="M841" s="50" t="n"/>
      <c r="N841" s="50" t="n">
        <v>563.101</v>
      </c>
      <c r="O841" s="50" t="n">
        <v>-1.565</v>
      </c>
      <c r="P841" s="50" t="n"/>
      <c r="Q841" s="50" t="n">
        <v>560.623</v>
      </c>
      <c r="R841" s="50" t="n">
        <v>-1.467</v>
      </c>
      <c r="S841" s="50" t="n"/>
    </row>
    <row r="842">
      <c r="A842" s="50" t="inlineStr">
        <is>
          <t>2020-09</t>
        </is>
      </c>
      <c r="B842" s="50" t="n">
        <v>152.968</v>
      </c>
      <c r="C842" s="50" t="n">
        <v>10.292</v>
      </c>
      <c r="D842" s="50" t="n"/>
      <c r="E842" s="50" t="n">
        <v>152.887</v>
      </c>
      <c r="F842" s="50" t="n">
        <v>10.266</v>
      </c>
      <c r="G842" s="50" t="n"/>
      <c r="H842" s="50" t="n">
        <v>308.198</v>
      </c>
      <c r="I842" s="50" t="n">
        <v>3.269</v>
      </c>
      <c r="J842" s="50" t="n"/>
      <c r="K842" s="50" t="n">
        <v>308.198</v>
      </c>
      <c r="L842" s="50" t="n">
        <v>3.269</v>
      </c>
      <c r="M842" s="50" t="n"/>
      <c r="N842" s="50" t="n">
        <v>542.968</v>
      </c>
      <c r="O842" s="50" t="n">
        <v>-5.159</v>
      </c>
      <c r="P842" s="50" t="n"/>
      <c r="Q842" s="50" t="n">
        <v>540.491</v>
      </c>
      <c r="R842" s="50" t="n">
        <v>-5.028</v>
      </c>
      <c r="S842" s="50" t="n"/>
    </row>
    <row r="843">
      <c r="A843" s="50" t="inlineStr">
        <is>
          <t>2020-10</t>
        </is>
      </c>
      <c r="B843" s="50" t="n">
        <v>155.964</v>
      </c>
      <c r="C843" s="50" t="n">
        <v>11.641</v>
      </c>
      <c r="D843" s="50" t="n"/>
      <c r="E843" s="50" t="n">
        <v>154.381</v>
      </c>
      <c r="F843" s="50" t="n">
        <v>11.541</v>
      </c>
      <c r="G843" s="50" t="n"/>
      <c r="H843" s="50" t="n">
        <v>308.569</v>
      </c>
      <c r="I843" s="50" t="n">
        <v>3.226</v>
      </c>
      <c r="J843" s="50" t="n"/>
      <c r="K843" s="50" t="n">
        <v>308.569</v>
      </c>
      <c r="L843" s="50" t="n">
        <v>3.226</v>
      </c>
      <c r="M843" s="50" t="n"/>
      <c r="N843" s="50" t="n">
        <v>531.206</v>
      </c>
      <c r="O843" s="50" t="n">
        <v>-7.359</v>
      </c>
      <c r="P843" s="50" t="n"/>
      <c r="Q843" s="50" t="n">
        <v>531.217</v>
      </c>
      <c r="R843" s="50" t="n">
        <v>-7.126</v>
      </c>
      <c r="S843" s="50" t="n"/>
    </row>
    <row r="844">
      <c r="A844" s="50" t="inlineStr">
        <is>
          <t>2020-11</t>
        </is>
      </c>
      <c r="B844" s="50" t="n">
        <v>154.817</v>
      </c>
      <c r="C844" s="50" t="n">
        <v>10.917</v>
      </c>
      <c r="D844" s="50" t="n"/>
      <c r="E844" s="50" t="n">
        <v>152.324</v>
      </c>
      <c r="F844" s="50" t="n">
        <v>10.856</v>
      </c>
      <c r="G844" s="50" t="n"/>
      <c r="H844" s="50" t="n">
        <v>309.949</v>
      </c>
      <c r="I844" s="50" t="n">
        <v>3.572</v>
      </c>
      <c r="J844" s="50" t="n"/>
      <c r="K844" s="50" t="n">
        <v>309.949</v>
      </c>
      <c r="L844" s="50" t="n">
        <v>3.572</v>
      </c>
      <c r="M844" s="50" t="n"/>
      <c r="N844" s="50" t="n">
        <v>538.133</v>
      </c>
      <c r="O844" s="50" t="n">
        <v>-5.996</v>
      </c>
      <c r="P844" s="50" t="n"/>
      <c r="Q844" s="50" t="n">
        <v>537.765</v>
      </c>
      <c r="R844" s="50" t="n">
        <v>-5.983</v>
      </c>
      <c r="S844" s="50" t="n"/>
    </row>
    <row r="845">
      <c r="A845" s="50" t="inlineStr">
        <is>
          <t>2020-12</t>
        </is>
      </c>
      <c r="B845" s="50" t="n">
        <v>154.216</v>
      </c>
      <c r="C845" s="50" t="n">
        <v>10.085</v>
      </c>
      <c r="D845" s="50" t="n"/>
      <c r="E845" s="50" t="n">
        <v>150.891</v>
      </c>
      <c r="F845" s="50" t="n">
        <v>10.039</v>
      </c>
      <c r="G845" s="50" t="n"/>
      <c r="H845" s="50" t="n">
        <v>309.888</v>
      </c>
      <c r="I845" s="50" t="n">
        <v>3.429</v>
      </c>
      <c r="J845" s="50" t="n"/>
      <c r="K845" s="50" t="n">
        <v>309.888</v>
      </c>
      <c r="L845" s="50" t="n">
        <v>3.429</v>
      </c>
      <c r="M845" s="50" t="n"/>
      <c r="N845" s="50" t="n">
        <v>546.239</v>
      </c>
      <c r="O845" s="50" t="n">
        <v>-4.717</v>
      </c>
      <c r="P845" s="50" t="n"/>
      <c r="Q845" s="50" t="n">
        <v>545.376</v>
      </c>
      <c r="R845" s="50" t="n">
        <v>-4.817</v>
      </c>
      <c r="S845" s="50" t="n"/>
    </row>
    <row r="846">
      <c r="A846" s="50" t="inlineStr">
        <is>
          <t>2021-01</t>
        </is>
      </c>
      <c r="B846" s="50" t="n">
        <v>153.361</v>
      </c>
      <c r="C846" s="50" t="n">
        <v>9.996</v>
      </c>
      <c r="D846" s="50" t="n"/>
      <c r="E846" s="50" t="n">
        <v>149.659</v>
      </c>
      <c r="F846" s="50" t="n">
        <v>9.992000000000001</v>
      </c>
      <c r="G846" s="50" t="n"/>
      <c r="H846" s="50" t="n">
        <v>310.662</v>
      </c>
      <c r="I846" s="50" t="n">
        <v>3.515</v>
      </c>
      <c r="J846" s="50" t="n"/>
      <c r="K846" s="50" t="n">
        <v>310.662</v>
      </c>
      <c r="L846" s="50" t="n">
        <v>3.515</v>
      </c>
      <c r="M846" s="50" t="n"/>
      <c r="N846" s="50" t="n">
        <v>551.667</v>
      </c>
      <c r="O846" s="50" t="n">
        <v>-3.573</v>
      </c>
      <c r="P846" s="50" t="n"/>
      <c r="Q846" s="50" t="n">
        <v>551.552</v>
      </c>
      <c r="R846" s="50" t="n">
        <v>-3.692</v>
      </c>
      <c r="S846" s="50" t="n"/>
    </row>
    <row r="847">
      <c r="A847" s="50" t="inlineStr">
        <is>
          <t>2021-02</t>
        </is>
      </c>
      <c r="B847" s="50" t="n">
        <v>153.647</v>
      </c>
      <c r="C847" s="50" t="n">
        <v>9.285</v>
      </c>
      <c r="D847" s="50" t="n"/>
      <c r="E847" s="50" t="n">
        <v>150.221</v>
      </c>
      <c r="F847" s="50" t="n">
        <v>9.289999999999999</v>
      </c>
      <c r="G847" s="50" t="n"/>
      <c r="H847" s="50" t="n">
        <v>311.627</v>
      </c>
      <c r="I847" s="50" t="n">
        <v>3.113</v>
      </c>
      <c r="J847" s="50" t="n"/>
      <c r="K847" s="50" t="n">
        <v>311.627</v>
      </c>
      <c r="L847" s="50" t="n">
        <v>3.113</v>
      </c>
      <c r="M847" s="50" t="n"/>
      <c r="N847" s="50" t="n">
        <v>556.576</v>
      </c>
      <c r="O847" s="50" t="n">
        <v>-2.868</v>
      </c>
      <c r="P847" s="50" t="n"/>
      <c r="Q847" s="50" t="n">
        <v>560.386</v>
      </c>
      <c r="R847" s="50" t="n">
        <v>-2.787</v>
      </c>
      <c r="S847" s="50" t="n"/>
    </row>
    <row r="848">
      <c r="A848" s="50" t="inlineStr">
        <is>
          <t>2021-03</t>
        </is>
      </c>
      <c r="B848" s="50" t="n">
        <v>154.93</v>
      </c>
      <c r="C848" s="50" t="n">
        <v>9.362</v>
      </c>
      <c r="D848" s="50" t="n"/>
      <c r="E848" s="50" t="n">
        <v>153.873</v>
      </c>
      <c r="F848" s="50" t="n">
        <v>9.371</v>
      </c>
      <c r="G848" s="50" t="n"/>
      <c r="H848" s="50" t="n">
        <v>314.66</v>
      </c>
      <c r="I848" s="50" t="n">
        <v>3.462</v>
      </c>
      <c r="J848" s="50" t="n"/>
      <c r="K848" s="50" t="n">
        <v>314.66</v>
      </c>
      <c r="L848" s="50" t="n">
        <v>3.462</v>
      </c>
      <c r="M848" s="50" t="n"/>
      <c r="N848" s="50" t="n">
        <v>561.021</v>
      </c>
      <c r="O848" s="50" t="n">
        <v>-2.557</v>
      </c>
      <c r="P848" s="50" t="n"/>
      <c r="Q848" s="50" t="n">
        <v>565.1660000000001</v>
      </c>
      <c r="R848" s="50" t="n">
        <v>-2.467</v>
      </c>
      <c r="S848" s="50" t="n"/>
    </row>
    <row r="849">
      <c r="A849" s="50" t="inlineStr">
        <is>
          <t>2021-04</t>
        </is>
      </c>
      <c r="B849" s="50" t="n">
        <v>168.006</v>
      </c>
      <c r="C849" s="50" t="n">
        <v>20.963</v>
      </c>
      <c r="D849" s="50" t="n"/>
      <c r="E849" s="50" t="n">
        <v>168.647</v>
      </c>
      <c r="F849" s="50" t="n">
        <v>20.971</v>
      </c>
      <c r="G849" s="50" t="n"/>
      <c r="H849" s="50" t="n">
        <v>315.177</v>
      </c>
      <c r="I849" s="50" t="n">
        <v>3.549</v>
      </c>
      <c r="J849" s="50" t="n"/>
      <c r="K849" s="50" t="n">
        <v>315.177</v>
      </c>
      <c r="L849" s="50" t="n">
        <v>3.549</v>
      </c>
      <c r="M849" s="50" t="n"/>
      <c r="N849" s="50" t="n">
        <v>565.79</v>
      </c>
      <c r="O849" s="50" t="n">
        <v>5.978</v>
      </c>
      <c r="P849" s="50" t="n"/>
      <c r="Q849" s="50" t="n">
        <v>567.509</v>
      </c>
      <c r="R849" s="50" t="n">
        <v>6.108</v>
      </c>
      <c r="S849" s="50" t="n"/>
    </row>
    <row r="850">
      <c r="A850" s="50" t="inlineStr">
        <is>
          <t>2021-05</t>
        </is>
      </c>
      <c r="B850" s="50" t="n">
        <v>178.929</v>
      </c>
      <c r="C850" s="50" t="n">
        <v>29.732</v>
      </c>
      <c r="D850" s="50" t="n"/>
      <c r="E850" s="50" t="n">
        <v>179.532</v>
      </c>
      <c r="F850" s="50" t="n">
        <v>29.736</v>
      </c>
      <c r="G850" s="50" t="n"/>
      <c r="H850" s="50" t="n">
        <v>314.164</v>
      </c>
      <c r="I850" s="50" t="n">
        <v>2.811</v>
      </c>
      <c r="J850" s="50" t="n"/>
      <c r="K850" s="50" t="n">
        <v>314.164</v>
      </c>
      <c r="L850" s="50" t="n">
        <v>2.811</v>
      </c>
      <c r="M850" s="50" t="n"/>
      <c r="N850" s="50" t="n">
        <v>568.842</v>
      </c>
      <c r="O850" s="50" t="n">
        <v>16.839</v>
      </c>
      <c r="P850" s="50" t="n"/>
      <c r="Q850" s="50" t="n">
        <v>569.01</v>
      </c>
      <c r="R850" s="50" t="n">
        <v>16.897</v>
      </c>
      <c r="S850" s="50" t="n"/>
    </row>
    <row r="851">
      <c r="A851" s="50" t="inlineStr">
        <is>
          <t>2021-06</t>
        </is>
      </c>
      <c r="B851" s="50" t="n">
        <v>194.846</v>
      </c>
      <c r="C851" s="50" t="n">
        <v>45.238</v>
      </c>
      <c r="D851" s="50" t="n"/>
      <c r="E851" s="50" t="n">
        <v>198.855</v>
      </c>
      <c r="F851" s="50" t="n">
        <v>45.24</v>
      </c>
      <c r="G851" s="50" t="n"/>
      <c r="H851" s="50" t="n">
        <v>315.209</v>
      </c>
      <c r="I851" s="50" t="n">
        <v>3.098</v>
      </c>
      <c r="J851" s="50" t="n"/>
      <c r="K851" s="50" t="n">
        <v>315.209</v>
      </c>
      <c r="L851" s="50" t="n">
        <v>3.098</v>
      </c>
      <c r="M851" s="50" t="n"/>
      <c r="N851" s="50" t="n">
        <v>569.789</v>
      </c>
      <c r="O851" s="50" t="n">
        <v>11.281</v>
      </c>
      <c r="P851" s="50" t="n"/>
      <c r="Q851" s="50" t="n">
        <v>569.6559999999999</v>
      </c>
      <c r="R851" s="50" t="n">
        <v>11.339</v>
      </c>
      <c r="S851" s="50" t="n"/>
    </row>
    <row r="852">
      <c r="A852" s="50" t="inlineStr">
        <is>
          <t>2021-07</t>
        </is>
      </c>
      <c r="B852" s="50" t="n">
        <v>193.734</v>
      </c>
      <c r="C852" s="50" t="n">
        <v>41.649</v>
      </c>
      <c r="D852" s="50" t="n"/>
      <c r="E852" s="50" t="n">
        <v>200.425</v>
      </c>
      <c r="F852" s="50" t="n">
        <v>41.65</v>
      </c>
      <c r="G852" s="50" t="n"/>
      <c r="H852" s="50" t="n">
        <v>318.031</v>
      </c>
      <c r="I852" s="50" t="n">
        <v>4.077</v>
      </c>
      <c r="J852" s="50" t="n"/>
      <c r="K852" s="50" t="n">
        <v>318.031</v>
      </c>
      <c r="L852" s="50" t="n">
        <v>4.077</v>
      </c>
      <c r="M852" s="50" t="n"/>
      <c r="N852" s="50" t="n">
        <v>568.918</v>
      </c>
      <c r="O852" s="50" t="n">
        <v>1.563</v>
      </c>
      <c r="P852" s="50" t="n"/>
      <c r="Q852" s="50" t="n">
        <v>567.463</v>
      </c>
      <c r="R852" s="50" t="n">
        <v>1.646</v>
      </c>
      <c r="S852" s="50" t="n"/>
    </row>
    <row r="853">
      <c r="A853" s="50" t="inlineStr">
        <is>
          <t>2021-08</t>
        </is>
      </c>
      <c r="B853" s="50" t="n">
        <v>190.066</v>
      </c>
      <c r="C853" s="50" t="n">
        <v>31.897</v>
      </c>
      <c r="D853" s="50" t="n"/>
      <c r="E853" s="50" t="n">
        <v>197.535</v>
      </c>
      <c r="F853" s="50" t="n">
        <v>31.897</v>
      </c>
      <c r="G853" s="50" t="n"/>
      <c r="H853" s="50" t="n">
        <v>320.504</v>
      </c>
      <c r="I853" s="50" t="n">
        <v>4.211</v>
      </c>
      <c r="J853" s="50" t="n"/>
      <c r="K853" s="50" t="n">
        <v>320.504</v>
      </c>
      <c r="L853" s="50" t="n">
        <v>4.211</v>
      </c>
      <c r="M853" s="50" t="n"/>
      <c r="N853" s="50" t="n">
        <v>568.5599999999999</v>
      </c>
      <c r="O853" s="50" t="n">
        <v>0.969</v>
      </c>
      <c r="P853" s="50" t="n"/>
      <c r="Q853" s="50" t="n">
        <v>566.183</v>
      </c>
      <c r="R853" s="50" t="n">
        <v>0.992</v>
      </c>
      <c r="S853" s="50" t="n"/>
    </row>
    <row r="854">
      <c r="A854" s="50" t="inlineStr">
        <is>
          <t>2021-09</t>
        </is>
      </c>
      <c r="B854" s="50" t="n">
        <v>190.308</v>
      </c>
      <c r="C854" s="50" t="n">
        <v>24.41</v>
      </c>
      <c r="D854" s="50" t="n"/>
      <c r="E854" s="50" t="n">
        <v>190.207</v>
      </c>
      <c r="F854" s="50" t="n">
        <v>24.41</v>
      </c>
      <c r="G854" s="50" t="n"/>
      <c r="H854" s="50" t="n">
        <v>320.446</v>
      </c>
      <c r="I854" s="50" t="n">
        <v>3.974</v>
      </c>
      <c r="J854" s="50" t="n"/>
      <c r="K854" s="50" t="n">
        <v>320.446</v>
      </c>
      <c r="L854" s="50" t="n">
        <v>3.974</v>
      </c>
      <c r="M854" s="50" t="n"/>
      <c r="N854" s="50" t="n">
        <v>569.076</v>
      </c>
      <c r="O854" s="50" t="n">
        <v>4.808</v>
      </c>
      <c r="P854" s="50" t="n"/>
      <c r="Q854" s="50" t="n">
        <v>566.211</v>
      </c>
      <c r="R854" s="50" t="n">
        <v>4.759</v>
      </c>
      <c r="S854" s="50" t="n"/>
    </row>
    <row r="855">
      <c r="A855" s="50" t="inlineStr">
        <is>
          <t>2021-10</t>
        </is>
      </c>
      <c r="B855" s="50" t="n">
        <v>197.214</v>
      </c>
      <c r="C855" s="50" t="n">
        <v>26.448</v>
      </c>
      <c r="D855" s="50" t="n"/>
      <c r="E855" s="50" t="n">
        <v>195.213</v>
      </c>
      <c r="F855" s="50" t="n">
        <v>26.449</v>
      </c>
      <c r="G855" s="50" t="n"/>
      <c r="H855" s="50" t="n">
        <v>325.095</v>
      </c>
      <c r="I855" s="50" t="n">
        <v>5.356</v>
      </c>
      <c r="J855" s="50" t="n"/>
      <c r="K855" s="50" t="n">
        <v>325.095</v>
      </c>
      <c r="L855" s="50" t="n">
        <v>5.356</v>
      </c>
      <c r="M855" s="50" t="n"/>
      <c r="N855" s="50" t="n">
        <v>565.043</v>
      </c>
      <c r="O855" s="50" t="n">
        <v>6.37</v>
      </c>
      <c r="P855" s="50" t="n"/>
      <c r="Q855" s="50" t="n">
        <v>564.5069999999999</v>
      </c>
      <c r="R855" s="50" t="n">
        <v>6.267</v>
      </c>
      <c r="S855" s="50" t="n"/>
    </row>
    <row r="856">
      <c r="A856" s="50" t="inlineStr">
        <is>
          <t>2021-11</t>
        </is>
      </c>
      <c r="B856" s="50" t="n">
        <v>203.485</v>
      </c>
      <c r="C856" s="50" t="n">
        <v>31.436</v>
      </c>
      <c r="D856" s="50" t="n"/>
      <c r="E856" s="50" t="n">
        <v>200.209</v>
      </c>
      <c r="F856" s="50" t="n">
        <v>31.436</v>
      </c>
      <c r="G856" s="50" t="n"/>
      <c r="H856" s="50" t="n">
        <v>325.076</v>
      </c>
      <c r="I856" s="50" t="n">
        <v>4.88</v>
      </c>
      <c r="J856" s="50" t="n"/>
      <c r="K856" s="50" t="n">
        <v>325.076</v>
      </c>
      <c r="L856" s="50" t="n">
        <v>4.88</v>
      </c>
      <c r="M856" s="50" t="n"/>
      <c r="N856" s="50" t="n">
        <v>569.447</v>
      </c>
      <c r="O856" s="50" t="n">
        <v>5.819</v>
      </c>
      <c r="P856" s="50" t="n"/>
      <c r="Q856" s="50" t="n">
        <v>568.239</v>
      </c>
      <c r="R856" s="50" t="n">
        <v>5.667</v>
      </c>
      <c r="S856" s="50" t="n"/>
    </row>
    <row r="857">
      <c r="A857" s="50" t="inlineStr">
        <is>
          <t>2021-12</t>
        </is>
      </c>
      <c r="B857" s="50" t="n">
        <v>211.728</v>
      </c>
      <c r="C857" s="50" t="n">
        <v>37.293</v>
      </c>
      <c r="D857" s="50" t="n"/>
      <c r="E857" s="50" t="n">
        <v>207.164</v>
      </c>
      <c r="F857" s="50" t="n">
        <v>37.294</v>
      </c>
      <c r="G857" s="50" t="n"/>
      <c r="H857" s="50" t="n">
        <v>324.688</v>
      </c>
      <c r="I857" s="50" t="n">
        <v>4.776</v>
      </c>
      <c r="J857" s="50" t="n"/>
      <c r="K857" s="50" t="n">
        <v>324.688</v>
      </c>
      <c r="L857" s="50" t="n">
        <v>4.776</v>
      </c>
      <c r="M857" s="50" t="n"/>
      <c r="N857" s="50" t="n">
        <v>569.534</v>
      </c>
      <c r="O857" s="50" t="n">
        <v>4.265</v>
      </c>
      <c r="P857" s="50" t="n"/>
      <c r="Q857" s="50" t="n">
        <v>567.875</v>
      </c>
      <c r="R857" s="50" t="n">
        <v>4.125</v>
      </c>
      <c r="S857" s="50" t="n"/>
    </row>
    <row r="858">
      <c r="A858" s="50" t="inlineStr">
        <is>
          <t>2022-01</t>
        </is>
      </c>
      <c r="B858" s="50" t="n">
        <v>215.494</v>
      </c>
      <c r="C858" s="50" t="n">
        <v>40.514</v>
      </c>
      <c r="D858" s="50" t="n"/>
      <c r="E858" s="50" t="n">
        <v>210.293</v>
      </c>
      <c r="F858" s="50" t="n">
        <v>40.515</v>
      </c>
      <c r="G858" s="50" t="n"/>
      <c r="H858" s="50" t="n">
        <v>325.448</v>
      </c>
      <c r="I858" s="50" t="n">
        <v>4.76</v>
      </c>
      <c r="J858" s="50" t="n"/>
      <c r="K858" s="50" t="n">
        <v>325.448</v>
      </c>
      <c r="L858" s="50" t="n">
        <v>4.76</v>
      </c>
      <c r="M858" s="50" t="n"/>
      <c r="N858" s="50" t="n">
        <v>574.29</v>
      </c>
      <c r="O858" s="50" t="n">
        <v>4.101</v>
      </c>
      <c r="P858" s="50" t="n"/>
      <c r="Q858" s="50" t="n">
        <v>574.042</v>
      </c>
      <c r="R858" s="50" t="n">
        <v>4.078</v>
      </c>
      <c r="S858" s="50" t="n"/>
    </row>
    <row r="859">
      <c r="A859" s="50" t="inlineStr">
        <is>
          <t>2022-02</t>
        </is>
      </c>
      <c r="B859" s="50" t="n">
        <v>216.876</v>
      </c>
      <c r="C859" s="50" t="n">
        <v>41.152</v>
      </c>
      <c r="D859" s="50" t="n"/>
      <c r="E859" s="50" t="n">
        <v>212.04</v>
      </c>
      <c r="F859" s="50" t="n">
        <v>41.152</v>
      </c>
      <c r="G859" s="50" t="n"/>
      <c r="H859" s="50" t="n">
        <v>331.13</v>
      </c>
      <c r="I859" s="50" t="n">
        <v>6.258</v>
      </c>
      <c r="J859" s="50" t="n"/>
      <c r="K859" s="50" t="n">
        <v>331.13</v>
      </c>
      <c r="L859" s="50" t="n">
        <v>6.258</v>
      </c>
      <c r="M859" s="50" t="n"/>
      <c r="N859" s="50" t="n">
        <v>580.3150000000001</v>
      </c>
      <c r="O859" s="50" t="n">
        <v>4.265</v>
      </c>
      <c r="P859" s="50" t="n"/>
      <c r="Q859" s="50" t="n">
        <v>584.317</v>
      </c>
      <c r="R859" s="50" t="n">
        <v>4.27</v>
      </c>
      <c r="S859" s="50" t="n"/>
    </row>
    <row r="860">
      <c r="A860" s="50" t="inlineStr">
        <is>
          <t>2022-03</t>
        </is>
      </c>
      <c r="B860" s="50" t="n">
        <v>209.646</v>
      </c>
      <c r="C860" s="50" t="n">
        <v>35.317</v>
      </c>
      <c r="D860" s="50" t="n"/>
      <c r="E860" s="50" t="n">
        <v>208.216</v>
      </c>
      <c r="F860" s="50" t="n">
        <v>35.317</v>
      </c>
      <c r="G860" s="50" t="n"/>
      <c r="H860" s="50" t="n">
        <v>329.992</v>
      </c>
      <c r="I860" s="50" t="n">
        <v>4.873</v>
      </c>
      <c r="J860" s="50" t="n"/>
      <c r="K860" s="50" t="n">
        <v>329.992</v>
      </c>
      <c r="L860" s="50" t="n">
        <v>4.873</v>
      </c>
      <c r="M860" s="50" t="n"/>
      <c r="N860" s="50" t="n">
        <v>584.751</v>
      </c>
      <c r="O860" s="50" t="n">
        <v>4.23</v>
      </c>
      <c r="P860" s="50" t="n"/>
      <c r="Q860" s="50" t="n">
        <v>589.143</v>
      </c>
      <c r="R860" s="50" t="n">
        <v>4.242</v>
      </c>
      <c r="S860" s="50" t="n"/>
    </row>
    <row r="861">
      <c r="A861" s="50" t="inlineStr">
        <is>
          <t>2022-04</t>
        </is>
      </c>
      <c r="B861" s="50" t="n">
        <v>206.194</v>
      </c>
      <c r="C861" s="50" t="n">
        <v>22.73</v>
      </c>
      <c r="D861" s="50" t="n"/>
      <c r="E861" s="50" t="n">
        <v>206.981</v>
      </c>
      <c r="F861" s="50" t="n">
        <v>22.73</v>
      </c>
      <c r="G861" s="50" t="n"/>
      <c r="H861" s="50" t="n">
        <v>331.735</v>
      </c>
      <c r="I861" s="50" t="n">
        <v>5.254</v>
      </c>
      <c r="J861" s="50" t="n"/>
      <c r="K861" s="50" t="n">
        <v>331.735</v>
      </c>
      <c r="L861" s="50" t="n">
        <v>5.254</v>
      </c>
      <c r="M861" s="50" t="n"/>
      <c r="N861" s="50" t="n">
        <v>590.513</v>
      </c>
      <c r="O861" s="50" t="n">
        <v>4.37</v>
      </c>
      <c r="P861" s="50" t="n"/>
      <c r="Q861" s="50" t="n">
        <v>592.317</v>
      </c>
      <c r="R861" s="50" t="n">
        <v>4.371</v>
      </c>
      <c r="S861" s="50" t="n"/>
    </row>
    <row r="862">
      <c r="A862" s="50" t="inlineStr">
        <is>
          <t>2022-05</t>
        </is>
      </c>
      <c r="B862" s="50" t="n">
        <v>207.673</v>
      </c>
      <c r="C862" s="50" t="n">
        <v>16.064</v>
      </c>
      <c r="D862" s="50" t="n"/>
      <c r="E862" s="50" t="n">
        <v>208.373</v>
      </c>
      <c r="F862" s="50" t="n">
        <v>16.065</v>
      </c>
      <c r="G862" s="50" t="n"/>
      <c r="H862" s="50" t="n">
        <v>333.258</v>
      </c>
      <c r="I862" s="50" t="n">
        <v>6.078</v>
      </c>
      <c r="J862" s="50" t="n"/>
      <c r="K862" s="50" t="n">
        <v>333.258</v>
      </c>
      <c r="L862" s="50" t="n">
        <v>6.078</v>
      </c>
      <c r="M862" s="50" t="n"/>
      <c r="N862" s="50" t="n">
        <v>594.105</v>
      </c>
      <c r="O862" s="50" t="n">
        <v>4.441</v>
      </c>
      <c r="P862" s="50" t="n"/>
      <c r="Q862" s="50" t="n">
        <v>594.437</v>
      </c>
      <c r="R862" s="50" t="n">
        <v>4.469</v>
      </c>
      <c r="S862" s="50" t="n"/>
    </row>
    <row r="863">
      <c r="A863" s="50" t="inlineStr">
        <is>
          <t>2022-06</t>
        </is>
      </c>
      <c r="B863" s="50" t="n">
        <v>208.687</v>
      </c>
      <c r="C863" s="50" t="n">
        <v>7.104</v>
      </c>
      <c r="D863" s="50" t="n"/>
      <c r="E863" s="50" t="n">
        <v>212.98</v>
      </c>
      <c r="F863" s="50" t="n">
        <v>7.103</v>
      </c>
      <c r="G863" s="50" t="n"/>
      <c r="H863" s="50" t="n">
        <v>340.058</v>
      </c>
      <c r="I863" s="50" t="n">
        <v>7.883</v>
      </c>
      <c r="J863" s="50" t="n"/>
      <c r="K863" s="50" t="n">
        <v>340.058</v>
      </c>
      <c r="L863" s="50" t="n">
        <v>7.883</v>
      </c>
      <c r="M863" s="50" t="n"/>
      <c r="N863" s="50" t="n">
        <v>603.9400000000001</v>
      </c>
      <c r="O863" s="50" t="n">
        <v>5.994</v>
      </c>
      <c r="P863" s="50" t="n"/>
      <c r="Q863" s="50" t="n">
        <v>603.932</v>
      </c>
      <c r="R863" s="50" t="n">
        <v>6.017</v>
      </c>
      <c r="S863" s="50" t="n"/>
    </row>
    <row r="864">
      <c r="A864" s="50" t="inlineStr">
        <is>
          <t>2022-07</t>
        </is>
      </c>
      <c r="B864" s="50" t="n">
        <v>206.552</v>
      </c>
      <c r="C864" s="50" t="n">
        <v>6.616</v>
      </c>
      <c r="D864" s="50" t="n"/>
      <c r="E864" s="50" t="n">
        <v>213.683</v>
      </c>
      <c r="F864" s="50" t="n">
        <v>6.615</v>
      </c>
      <c r="G864" s="50" t="n"/>
      <c r="H864" s="50" t="n">
        <v>343.678</v>
      </c>
      <c r="I864" s="50" t="n">
        <v>8.064</v>
      </c>
      <c r="J864" s="50" t="n"/>
      <c r="K864" s="50" t="n">
        <v>343.678</v>
      </c>
      <c r="L864" s="50" t="n">
        <v>8.064</v>
      </c>
      <c r="M864" s="50" t="n"/>
      <c r="N864" s="50" t="n">
        <v>610.763</v>
      </c>
      <c r="O864" s="50" t="n">
        <v>7.355</v>
      </c>
      <c r="P864" s="50" t="n"/>
      <c r="Q864" s="50" t="n">
        <v>609.585</v>
      </c>
      <c r="R864" s="50" t="n">
        <v>7.423</v>
      </c>
      <c r="S864" s="50" t="n"/>
    </row>
    <row r="865">
      <c r="A865" s="50" t="inlineStr">
        <is>
          <t>2022-08</t>
        </is>
      </c>
      <c r="B865" s="50" t="n">
        <v>204.837</v>
      </c>
      <c r="C865" s="50" t="n">
        <v>7.772</v>
      </c>
      <c r="D865" s="50" t="n"/>
      <c r="E865" s="50" t="n">
        <v>212.895</v>
      </c>
      <c r="F865" s="50" t="n">
        <v>7.776</v>
      </c>
      <c r="G865" s="50" t="n"/>
      <c r="H865" s="50" t="n">
        <v>349.539</v>
      </c>
      <c r="I865" s="50" t="n">
        <v>9.058999999999999</v>
      </c>
      <c r="J865" s="50" t="n"/>
      <c r="K865" s="50" t="n">
        <v>349.539</v>
      </c>
      <c r="L865" s="50" t="n">
        <v>9.058999999999999</v>
      </c>
      <c r="M865" s="50" t="n"/>
      <c r="N865" s="50" t="n">
        <v>617.619</v>
      </c>
      <c r="O865" s="50" t="n">
        <v>8.629</v>
      </c>
      <c r="P865" s="50" t="n"/>
      <c r="Q865" s="50" t="n">
        <v>615.559</v>
      </c>
      <c r="R865" s="50" t="n">
        <v>8.721</v>
      </c>
      <c r="S865" s="50" t="n"/>
    </row>
    <row r="866">
      <c r="A866" s="50" t="inlineStr">
        <is>
          <t>2022-09</t>
        </is>
      </c>
      <c r="B866" s="50" t="n">
        <v>203.94</v>
      </c>
      <c r="C866" s="50" t="n">
        <v>7.163</v>
      </c>
      <c r="D866" s="50" t="n"/>
      <c r="E866" s="50" t="n">
        <v>203.867</v>
      </c>
      <c r="F866" s="50" t="n">
        <v>7.182</v>
      </c>
      <c r="G866" s="50" t="n"/>
      <c r="H866" s="50" t="n">
        <v>356.076</v>
      </c>
      <c r="I866" s="50" t="n">
        <v>11.119</v>
      </c>
      <c r="J866" s="50" t="n"/>
      <c r="K866" s="50" t="n">
        <v>356.076</v>
      </c>
      <c r="L866" s="50" t="n">
        <v>11.119</v>
      </c>
      <c r="M866" s="50" t="n"/>
      <c r="N866" s="50" t="n">
        <v>627.689</v>
      </c>
      <c r="O866" s="50" t="n">
        <v>10.3</v>
      </c>
      <c r="P866" s="50" t="n"/>
      <c r="Q866" s="50" t="n">
        <v>624.558</v>
      </c>
      <c r="R866" s="50" t="n">
        <v>10.305</v>
      </c>
      <c r="S866" s="50" t="n"/>
    </row>
    <row r="867">
      <c r="A867" s="50" t="inlineStr">
        <is>
          <t>2022-10</t>
        </is>
      </c>
      <c r="B867" s="50" t="n">
        <v>201.171</v>
      </c>
      <c r="C867" s="50" t="n">
        <v>2.006</v>
      </c>
      <c r="D867" s="50" t="n"/>
      <c r="E867" s="50" t="n">
        <v>199.176</v>
      </c>
      <c r="F867" s="50" t="n">
        <v>2.03</v>
      </c>
      <c r="G867" s="50" t="n"/>
      <c r="H867" s="50" t="n">
        <v>358.597</v>
      </c>
      <c r="I867" s="50" t="n">
        <v>10.305</v>
      </c>
      <c r="J867" s="50" t="n"/>
      <c r="K867" s="50" t="n">
        <v>358.597</v>
      </c>
      <c r="L867" s="50" t="n">
        <v>10.305</v>
      </c>
      <c r="M867" s="50" t="n"/>
      <c r="N867" s="50" t="n">
        <v>637.814</v>
      </c>
      <c r="O867" s="50" t="n">
        <v>12.879</v>
      </c>
      <c r="P867" s="50" t="n"/>
      <c r="Q867" s="50" t="n">
        <v>637.103</v>
      </c>
      <c r="R867" s="50" t="n">
        <v>12.86</v>
      </c>
      <c r="S867" s="50" t="n"/>
    </row>
    <row r="868">
      <c r="A868" s="50" t="inlineStr">
        <is>
          <t>2022-11</t>
        </is>
      </c>
      <c r="B868" s="50" t="n">
        <v>196.659</v>
      </c>
      <c r="C868" s="50" t="n">
        <v>-3.355</v>
      </c>
      <c r="D868" s="50" t="n"/>
      <c r="E868" s="50" t="n">
        <v>193.53</v>
      </c>
      <c r="F868" s="50" t="n">
        <v>-3.336</v>
      </c>
      <c r="G868" s="50" t="n"/>
      <c r="H868" s="50" t="n">
        <v>363.195</v>
      </c>
      <c r="I868" s="50" t="n">
        <v>11.726</v>
      </c>
      <c r="J868" s="50" t="n"/>
      <c r="K868" s="50" t="n">
        <v>363.195</v>
      </c>
      <c r="L868" s="50" t="n">
        <v>11.726</v>
      </c>
      <c r="M868" s="50" t="n"/>
      <c r="N868" s="50" t="n">
        <v>646.294</v>
      </c>
      <c r="O868" s="50" t="n">
        <v>13.495</v>
      </c>
      <c r="P868" s="50" t="n"/>
      <c r="Q868" s="50" t="n">
        <v>644.317</v>
      </c>
      <c r="R868" s="50" t="n">
        <v>13.388</v>
      </c>
      <c r="S868" s="50" t="n"/>
    </row>
    <row r="869">
      <c r="A869" s="50" t="inlineStr">
        <is>
          <t>2022-12</t>
        </is>
      </c>
      <c r="B869" s="50" t="n">
        <v>193.008</v>
      </c>
      <c r="C869" s="50" t="n">
        <v>-8.842000000000001</v>
      </c>
      <c r="D869" s="50" t="n"/>
      <c r="E869" s="50" t="n">
        <v>188.864</v>
      </c>
      <c r="F869" s="50" t="n">
        <v>-8.834</v>
      </c>
      <c r="G869" s="50" t="n"/>
      <c r="H869" s="50" t="n">
        <v>366.96</v>
      </c>
      <c r="I869" s="50" t="n">
        <v>13.019</v>
      </c>
      <c r="J869" s="50" t="n"/>
      <c r="K869" s="50" t="n">
        <v>366.96</v>
      </c>
      <c r="L869" s="50" t="n">
        <v>13.019</v>
      </c>
      <c r="M869" s="50" t="n"/>
      <c r="N869" s="50" t="n">
        <v>651.318</v>
      </c>
      <c r="O869" s="50" t="n">
        <v>14.36</v>
      </c>
      <c r="P869" s="50" t="n"/>
      <c r="Q869" s="50" t="n">
        <v>648.771</v>
      </c>
      <c r="R869" s="50" t="n">
        <v>14.245</v>
      </c>
      <c r="S869" s="50" t="n"/>
    </row>
    <row r="870">
      <c r="A870" s="50" t="inlineStr">
        <is>
          <t>2023-01</t>
        </is>
      </c>
      <c r="B870" s="50" t="n">
        <v>190.423</v>
      </c>
      <c r="C870" s="50" t="n">
        <v>-11.634</v>
      </c>
      <c r="D870" s="50" t="n"/>
      <c r="E870" s="50" t="n">
        <v>185.857</v>
      </c>
      <c r="F870" s="50" t="n">
        <v>-11.62</v>
      </c>
      <c r="G870" s="50" t="n"/>
      <c r="H870" s="50" t="n">
        <v>371.78</v>
      </c>
      <c r="I870" s="50" t="n">
        <v>14.236</v>
      </c>
      <c r="J870" s="50" t="n"/>
      <c r="K870" s="50" t="n">
        <v>371.78</v>
      </c>
      <c r="L870" s="50" t="n">
        <v>14.236</v>
      </c>
      <c r="M870" s="50" t="n"/>
      <c r="N870" s="50" t="n">
        <v>659.076</v>
      </c>
      <c r="O870" s="50" t="n">
        <v>14.764</v>
      </c>
      <c r="P870" s="50" t="n"/>
      <c r="Q870" s="50" t="n">
        <v>658.513</v>
      </c>
      <c r="R870" s="50" t="n">
        <v>14.715</v>
      </c>
      <c r="S870" s="50" t="n"/>
    </row>
    <row r="871">
      <c r="A871" s="50" t="inlineStr">
        <is>
          <t>2023-02</t>
        </is>
      </c>
      <c r="B871" s="50" t="n">
        <v>187.711</v>
      </c>
      <c r="C871" s="50" t="n">
        <v>-13.448</v>
      </c>
      <c r="D871" s="50" t="n"/>
      <c r="E871" s="50" t="n">
        <v>183.241</v>
      </c>
      <c r="F871" s="50" t="n">
        <v>-13.582</v>
      </c>
      <c r="G871" s="50" t="n"/>
      <c r="H871" s="50" t="n">
        <v>372.572</v>
      </c>
      <c r="I871" s="50" t="n">
        <v>12.515</v>
      </c>
      <c r="J871" s="50" t="n"/>
      <c r="K871" s="50" t="n">
        <v>372.572</v>
      </c>
      <c r="L871" s="50" t="n">
        <v>12.515</v>
      </c>
      <c r="M871" s="50" t="n"/>
      <c r="N871" s="50" t="n">
        <v>663.946</v>
      </c>
      <c r="O871" s="50" t="n">
        <v>14.411</v>
      </c>
      <c r="P871" s="50" t="n"/>
      <c r="Q871" s="50" t="n">
        <v>668.806</v>
      </c>
      <c r="R871" s="50" t="n">
        <v>14.459</v>
      </c>
      <c r="S871" s="50" t="n"/>
    </row>
    <row r="872">
      <c r="A872" s="50" t="inlineStr">
        <is>
          <t>2023-03</t>
        </is>
      </c>
      <c r="B872" s="50" t="n">
        <v>186.619</v>
      </c>
      <c r="C872" s="50" t="n">
        <v>-10.984</v>
      </c>
      <c r="D872" s="50" t="n"/>
      <c r="E872" s="50" t="n">
        <v>184.997</v>
      </c>
      <c r="F872" s="50" t="n">
        <v>-11.151</v>
      </c>
      <c r="G872" s="50" t="n"/>
      <c r="H872" s="50" t="n">
        <v>373.865</v>
      </c>
      <c r="I872" s="50" t="n">
        <v>13.295</v>
      </c>
      <c r="J872" s="50" t="n"/>
      <c r="K872" s="50" t="n">
        <v>373.865</v>
      </c>
      <c r="L872" s="50" t="n">
        <v>13.295</v>
      </c>
      <c r="M872" s="50" t="n"/>
      <c r="N872" s="50" t="n">
        <v>672.231</v>
      </c>
      <c r="O872" s="50" t="n">
        <v>14.96</v>
      </c>
      <c r="P872" s="50" t="n"/>
      <c r="Q872" s="50" t="n">
        <v>677.4450000000001</v>
      </c>
      <c r="R872" s="50" t="n">
        <v>14.988</v>
      </c>
      <c r="S872" s="50" t="n"/>
    </row>
    <row r="873">
      <c r="A873" s="50" t="inlineStr">
        <is>
          <t>2023-04</t>
        </is>
      </c>
      <c r="B873" s="50" t="n">
        <v>192.647</v>
      </c>
      <c r="C873" s="50" t="n">
        <v>-6.57</v>
      </c>
      <c r="D873" s="50" t="n"/>
      <c r="E873" s="50" t="n">
        <v>193.394</v>
      </c>
      <c r="F873" s="50" t="n">
        <v>-6.564</v>
      </c>
      <c r="G873" s="50" t="n"/>
      <c r="H873" s="50" t="n">
        <v>375.89</v>
      </c>
      <c r="I873" s="50" t="n">
        <v>13.31</v>
      </c>
      <c r="J873" s="50" t="n"/>
      <c r="K873" s="50" t="n">
        <v>375.89</v>
      </c>
      <c r="L873" s="50" t="n">
        <v>13.31</v>
      </c>
      <c r="M873" s="50" t="n"/>
      <c r="N873" s="50" t="n">
        <v>682.009</v>
      </c>
      <c r="O873" s="50" t="n">
        <v>15.494</v>
      </c>
      <c r="P873" s="50" t="n"/>
      <c r="Q873" s="50" t="n">
        <v>684.1660000000001</v>
      </c>
      <c r="R873" s="50" t="n">
        <v>15.507</v>
      </c>
      <c r="S873" s="50" t="n"/>
    </row>
    <row r="874">
      <c r="A874" s="50" t="inlineStr">
        <is>
          <t>2023-05</t>
        </is>
      </c>
      <c r="B874" s="50" t="n">
        <v>198.793</v>
      </c>
      <c r="C874" s="50" t="n">
        <v>-4.276</v>
      </c>
      <c r="D874" s="50" t="n"/>
      <c r="E874" s="50" t="n">
        <v>199.576</v>
      </c>
      <c r="F874" s="50" t="n">
        <v>-4.222</v>
      </c>
      <c r="G874" s="50" t="n"/>
      <c r="H874" s="50" t="n">
        <v>378.182</v>
      </c>
      <c r="I874" s="50" t="n">
        <v>13.48</v>
      </c>
      <c r="J874" s="50" t="n"/>
      <c r="K874" s="50" t="n">
        <v>378.182</v>
      </c>
      <c r="L874" s="50" t="n">
        <v>13.48</v>
      </c>
      <c r="M874" s="50" t="n"/>
      <c r="N874" s="50" t="n">
        <v>695.481</v>
      </c>
      <c r="O874" s="50" t="n">
        <v>17.064</v>
      </c>
      <c r="P874" s="50" t="n"/>
      <c r="Q874" s="50" t="n">
        <v>695.929</v>
      </c>
      <c r="R874" s="50" t="n">
        <v>17.074</v>
      </c>
      <c r="S874" s="50" t="n"/>
    </row>
    <row r="875">
      <c r="A875" s="50" t="inlineStr">
        <is>
          <t>2023-06</t>
        </is>
      </c>
      <c r="B875" s="50" t="n">
        <v>197.601</v>
      </c>
      <c r="C875" s="50" t="n">
        <v>-5.312</v>
      </c>
      <c r="D875" s="50" t="n"/>
      <c r="E875" s="50" t="n">
        <v>202.007</v>
      </c>
      <c r="F875" s="50" t="n">
        <v>-5.152</v>
      </c>
      <c r="G875" s="50" t="n"/>
      <c r="H875" s="50" t="n">
        <v>383.196</v>
      </c>
      <c r="I875" s="50" t="n">
        <v>12.685</v>
      </c>
      <c r="J875" s="50" t="n"/>
      <c r="K875" s="50" t="n">
        <v>383.196</v>
      </c>
      <c r="L875" s="50" t="n">
        <v>12.685</v>
      </c>
      <c r="M875" s="50" t="n"/>
      <c r="N875" s="50" t="n">
        <v>705.668</v>
      </c>
      <c r="O875" s="50" t="n">
        <v>16.844</v>
      </c>
      <c r="P875" s="50" t="n"/>
      <c r="Q875" s="50" t="n">
        <v>705.717</v>
      </c>
      <c r="R875" s="50" t="n">
        <v>16.854</v>
      </c>
      <c r="S875" s="50" t="n"/>
    </row>
    <row r="876">
      <c r="A876" s="50" t="inlineStr">
        <is>
          <t>2023-07</t>
        </is>
      </c>
      <c r="B876" s="50" t="n">
        <v>194.701</v>
      </c>
      <c r="C876" s="50" t="n">
        <v>-5.738</v>
      </c>
      <c r="D876" s="50" t="n"/>
      <c r="E876" s="50" t="n">
        <v>201.624</v>
      </c>
      <c r="F876" s="50" t="n">
        <v>-5.643</v>
      </c>
      <c r="G876" s="50" t="n"/>
      <c r="H876" s="50" t="n">
        <v>387.159</v>
      </c>
      <c r="I876" s="50" t="n">
        <v>12.652</v>
      </c>
      <c r="J876" s="50" t="n"/>
      <c r="K876" s="50" t="n">
        <v>387.159</v>
      </c>
      <c r="L876" s="50" t="n">
        <v>12.652</v>
      </c>
      <c r="M876" s="50" t="n"/>
      <c r="N876" s="50" t="n">
        <v>718.667</v>
      </c>
      <c r="O876" s="50" t="n">
        <v>17.667</v>
      </c>
      <c r="P876" s="50" t="n"/>
      <c r="Q876" s="50" t="n">
        <v>717.799</v>
      </c>
      <c r="R876" s="50" t="n">
        <v>17.752</v>
      </c>
      <c r="S876" s="50" t="n"/>
    </row>
    <row r="877">
      <c r="A877" s="50" t="inlineStr">
        <is>
          <t>2023-08</t>
        </is>
      </c>
      <c r="B877" s="50" t="n">
        <v>191.078</v>
      </c>
      <c r="C877" s="50" t="n">
        <v>-6.717</v>
      </c>
      <c r="D877" s="50" t="n"/>
      <c r="E877" s="50" t="n">
        <v>198.768</v>
      </c>
      <c r="F877" s="50" t="n">
        <v>-6.636</v>
      </c>
      <c r="G877" s="50" t="n"/>
      <c r="H877" s="50" t="n">
        <v>391.395</v>
      </c>
      <c r="I877" s="50" t="n">
        <v>11.975</v>
      </c>
      <c r="J877" s="50" t="n"/>
      <c r="K877" s="50" t="n">
        <v>391.395</v>
      </c>
      <c r="L877" s="50" t="n">
        <v>11.975</v>
      </c>
      <c r="M877" s="50" t="n"/>
      <c r="N877" s="50" t="n">
        <v>735.2329999999999</v>
      </c>
      <c r="O877" s="50" t="n">
        <v>19.043</v>
      </c>
      <c r="P877" s="50" t="n"/>
      <c r="Q877" s="50" t="n">
        <v>733.141</v>
      </c>
      <c r="R877" s="50" t="n">
        <v>19.102</v>
      </c>
      <c r="S877" s="50" t="n"/>
    </row>
    <row r="878">
      <c r="A878" s="50" t="inlineStr">
        <is>
          <t>2023-09</t>
        </is>
      </c>
      <c r="B878" s="50" t="n">
        <v>187.65</v>
      </c>
      <c r="C878" s="50" t="n">
        <v>-7.988</v>
      </c>
      <c r="D878" s="50" t="n"/>
      <c r="E878" s="50" t="n">
        <v>187.587</v>
      </c>
      <c r="F878" s="50" t="n">
        <v>-7.986</v>
      </c>
      <c r="G878" s="50" t="n"/>
      <c r="H878" s="50" t="n">
        <v>392.222</v>
      </c>
      <c r="I878" s="50" t="n">
        <v>10.151</v>
      </c>
      <c r="J878" s="50" t="n"/>
      <c r="K878" s="50" t="n">
        <v>392.222</v>
      </c>
      <c r="L878" s="50" t="n">
        <v>10.151</v>
      </c>
      <c r="M878" s="50" t="n"/>
      <c r="N878" s="50" t="n">
        <v>746.002</v>
      </c>
      <c r="O878" s="50" t="n">
        <v>18.849</v>
      </c>
      <c r="P878" s="50" t="n"/>
      <c r="Q878" s="50" t="n">
        <v>742.292</v>
      </c>
      <c r="R878" s="50" t="n">
        <v>18.851</v>
      </c>
      <c r="S878" s="50" t="n"/>
    </row>
    <row r="879">
      <c r="A879" s="50" t="inlineStr">
        <is>
          <t>2023-10</t>
        </is>
      </c>
      <c r="B879" s="50" t="n">
        <v>186.879</v>
      </c>
      <c r="C879" s="50" t="n">
        <v>-7.104</v>
      </c>
      <c r="D879" s="50" t="n"/>
      <c r="E879" s="50" t="n">
        <v>184.961</v>
      </c>
      <c r="F879" s="50" t="n">
        <v>-7.137</v>
      </c>
      <c r="G879" s="50" t="n"/>
      <c r="H879" s="50" t="n">
        <v>392.861</v>
      </c>
      <c r="I879" s="50" t="n">
        <v>9.555</v>
      </c>
      <c r="J879" s="50" t="n"/>
      <c r="K879" s="50" t="n">
        <v>392.861</v>
      </c>
      <c r="L879" s="50" t="n">
        <v>9.555</v>
      </c>
      <c r="M879" s="50" t="n"/>
      <c r="N879" s="50" t="n">
        <v>760.6900000000001</v>
      </c>
      <c r="O879" s="50" t="n">
        <v>19.265</v>
      </c>
      <c r="P879" s="50" t="n"/>
      <c r="Q879" s="50" t="n">
        <v>759.704</v>
      </c>
      <c r="R879" s="50" t="n">
        <v>19.244</v>
      </c>
      <c r="S879" s="50" t="n"/>
    </row>
    <row r="880">
      <c r="A880" s="50" t="inlineStr">
        <is>
          <t>2023-11</t>
        </is>
      </c>
      <c r="B880" s="50" t="n">
        <v>189.444</v>
      </c>
      <c r="C880" s="50" t="n">
        <v>-3.669</v>
      </c>
      <c r="D880" s="50" t="n"/>
      <c r="E880" s="50" t="n">
        <v>186.27</v>
      </c>
      <c r="F880" s="50" t="n">
        <v>-3.751</v>
      </c>
      <c r="G880" s="50" t="n"/>
      <c r="H880" s="50" t="n">
        <v>393.924</v>
      </c>
      <c r="I880" s="50" t="n">
        <v>8.461</v>
      </c>
      <c r="J880" s="50" t="n"/>
      <c r="K880" s="50" t="n">
        <v>393.924</v>
      </c>
      <c r="L880" s="50" t="n">
        <v>8.461</v>
      </c>
      <c r="M880" s="50" t="n"/>
      <c r="N880" s="50" t="n">
        <v>771.1799999999999</v>
      </c>
      <c r="O880" s="50" t="n">
        <v>19.323</v>
      </c>
      <c r="P880" s="50" t="n"/>
      <c r="Q880" s="50" t="n">
        <v>768.249</v>
      </c>
      <c r="R880" s="50" t="n">
        <v>19.235</v>
      </c>
      <c r="S880" s="50" t="n"/>
    </row>
    <row r="881">
      <c r="A881" s="50" t="inlineStr">
        <is>
          <t>2023-12</t>
        </is>
      </c>
      <c r="B881" s="50" t="n">
        <v>190.57</v>
      </c>
      <c r="C881" s="50" t="n">
        <v>-1.263</v>
      </c>
      <c r="D881" s="50" t="n"/>
      <c r="E881" s="50" t="n">
        <v>186.383</v>
      </c>
      <c r="F881" s="50" t="n">
        <v>-1.314</v>
      </c>
      <c r="G881" s="50" t="n"/>
      <c r="H881" s="50" t="n">
        <v>392.897</v>
      </c>
      <c r="I881" s="50" t="n">
        <v>7.068</v>
      </c>
      <c r="J881" s="50" t="n"/>
      <c r="K881" s="50" t="n">
        <v>392.897</v>
      </c>
      <c r="L881" s="50" t="n">
        <v>7.068</v>
      </c>
      <c r="M881" s="50" t="n"/>
      <c r="N881" s="50" t="n">
        <v>783.8819999999999</v>
      </c>
      <c r="O881" s="50" t="n">
        <v>20.353</v>
      </c>
      <c r="P881" s="50" t="n"/>
      <c r="Q881" s="50" t="n">
        <v>780.284</v>
      </c>
      <c r="R881" s="50" t="n">
        <v>20.271</v>
      </c>
      <c r="S881" s="50" t="n"/>
    </row>
    <row r="882">
      <c r="A882" s="50" t="inlineStr">
        <is>
          <t>2024-01</t>
        </is>
      </c>
      <c r="B882" s="50" t="n">
        <v>183.189</v>
      </c>
      <c r="C882" s="50" t="n">
        <v>-3.799</v>
      </c>
      <c r="D882" s="50" t="n"/>
      <c r="E882" s="50" t="n">
        <v>179.41</v>
      </c>
      <c r="F882" s="50" t="n">
        <v>-3.469</v>
      </c>
      <c r="G882" s="50" t="n"/>
      <c r="H882" s="50" t="n">
        <v>396.004</v>
      </c>
      <c r="I882" s="50" t="n">
        <v>6.516</v>
      </c>
      <c r="J882" s="50" t="n"/>
      <c r="K882" s="50" t="n">
        <v>396.004</v>
      </c>
      <c r="L882" s="50" t="n">
        <v>6.516</v>
      </c>
      <c r="M882" s="50" t="n"/>
      <c r="N882" s="50" t="n">
        <v>794.855</v>
      </c>
      <c r="O882" s="50" t="n">
        <v>20.601</v>
      </c>
      <c r="P882" s="50" t="n"/>
      <c r="Q882" s="50" t="n">
        <v>794.1420000000001</v>
      </c>
      <c r="R882" s="50" t="n">
        <v>20.596</v>
      </c>
      <c r="S882" s="50" t="n"/>
    </row>
    <row r="883">
      <c r="A883" s="50" t="inlineStr">
        <is>
          <t>2024-02</t>
        </is>
      </c>
      <c r="B883" s="50" t="n">
        <v>185.254</v>
      </c>
      <c r="C883" s="50" t="n">
        <v>-1.309</v>
      </c>
      <c r="D883" s="50" t="n"/>
      <c r="E883" s="50" t="n">
        <v>180.006</v>
      </c>
      <c r="F883" s="50" t="n">
        <v>-1.765</v>
      </c>
      <c r="G883" s="50" t="n"/>
      <c r="H883" s="50" t="n">
        <v>397.541</v>
      </c>
      <c r="I883" s="50" t="n">
        <v>6.702</v>
      </c>
      <c r="J883" s="50" t="n"/>
      <c r="K883" s="50" t="n">
        <v>397.541</v>
      </c>
      <c r="L883" s="50" t="n">
        <v>6.702</v>
      </c>
      <c r="M883" s="50" t="n"/>
      <c r="N883" s="50" t="n">
        <v>800.317</v>
      </c>
      <c r="O883" s="50" t="n">
        <v>20.539</v>
      </c>
      <c r="P883" s="50" t="n"/>
      <c r="Q883" s="50" t="n">
        <v>806.444</v>
      </c>
      <c r="R883" s="50" t="n">
        <v>20.58</v>
      </c>
      <c r="S883" s="50" t="n"/>
    </row>
    <row r="884">
      <c r="A884" s="50" t="inlineStr">
        <is>
          <t>2024-03</t>
        </is>
      </c>
      <c r="B884" s="50" t="n">
        <v>184.6</v>
      </c>
      <c r="C884" s="50" t="n">
        <v>-1.082</v>
      </c>
      <c r="D884" s="50" t="n"/>
      <c r="E884" s="50" t="n">
        <v>180.891</v>
      </c>
      <c r="F884" s="50" t="n">
        <v>-2.219</v>
      </c>
      <c r="G884" s="50" t="n"/>
      <c r="H884" s="50" t="n">
        <v>404.475</v>
      </c>
      <c r="I884" s="50" t="n">
        <v>8.186999999999999</v>
      </c>
      <c r="J884" s="50" t="n"/>
      <c r="K884" s="50" t="n">
        <v>404.475</v>
      </c>
      <c r="L884" s="50" t="n">
        <v>8.186999999999999</v>
      </c>
      <c r="M884" s="50" t="n"/>
      <c r="N884" s="50" t="n">
        <v>821.514</v>
      </c>
      <c r="O884" s="50" t="n">
        <v>22.207</v>
      </c>
      <c r="P884" s="50" t="n"/>
      <c r="Q884" s="50" t="n">
        <v>827.852</v>
      </c>
      <c r="R884" s="50" t="n">
        <v>22.202</v>
      </c>
      <c r="S884" s="50" t="n"/>
    </row>
    <row r="885">
      <c r="A885" s="50" t="inlineStr">
        <is>
          <t>2024-04</t>
        </is>
      </c>
      <c r="B885" s="50" t="n">
        <v>181.983</v>
      </c>
      <c r="C885" s="50" t="n">
        <v>-5.536</v>
      </c>
      <c r="D885" s="50" t="n"/>
      <c r="E885" s="50" t="n">
        <v>180.132</v>
      </c>
      <c r="F885" s="50" t="n">
        <v>-6.858</v>
      </c>
      <c r="G885" s="50" t="n"/>
      <c r="H885" s="50" t="n">
        <v>404.38</v>
      </c>
      <c r="I885" s="50" t="n">
        <v>7.579</v>
      </c>
      <c r="J885" s="50" t="n"/>
      <c r="K885" s="50" t="n">
        <v>404.38</v>
      </c>
      <c r="L885" s="50" t="n">
        <v>7.579</v>
      </c>
      <c r="M885" s="50" t="n"/>
      <c r="N885" s="50" t="n">
        <v>836.477</v>
      </c>
      <c r="O885" s="50" t="n">
        <v>22.649</v>
      </c>
      <c r="P885" s="50" t="n"/>
      <c r="Q885" s="50" t="n">
        <v>839.077</v>
      </c>
      <c r="R885" s="50" t="n">
        <v>22.642</v>
      </c>
      <c r="S885" s="50" t="n"/>
    </row>
    <row r="886">
      <c r="A886" s="50" t="inlineStr">
        <is>
          <t>2024-05</t>
        </is>
      </c>
      <c r="B886" s="50" t="n">
        <v>180.577</v>
      </c>
      <c r="C886" s="50" t="n">
        <v>-9.163</v>
      </c>
      <c r="D886" s="50" t="n"/>
      <c r="E886" s="50" t="n">
        <v>180.971</v>
      </c>
      <c r="F886" s="50" t="n">
        <v>-9.321999999999999</v>
      </c>
      <c r="G886" s="50" t="n"/>
      <c r="H886" s="50" t="n">
        <v>405.487</v>
      </c>
      <c r="I886" s="50" t="n">
        <v>7.22</v>
      </c>
      <c r="J886" s="50" t="n"/>
      <c r="K886" s="50" t="n">
        <v>405.487</v>
      </c>
      <c r="L886" s="50" t="n">
        <v>7.22</v>
      </c>
      <c r="M886" s="50" t="n"/>
      <c r="N886" s="50" t="n">
        <v>836.177</v>
      </c>
      <c r="O886" s="50" t="n">
        <v>20.23</v>
      </c>
      <c r="P886" s="50" t="n"/>
      <c r="Q886" s="50" t="n">
        <v>836.941</v>
      </c>
      <c r="R886" s="50" t="n">
        <v>20.262</v>
      </c>
      <c r="S886" s="50" t="n"/>
    </row>
    <row r="887">
      <c r="A887" s="50" t="inlineStr">
        <is>
          <t>2024-06</t>
        </is>
      </c>
      <c r="B887" s="50" t="n">
        <v>177.965</v>
      </c>
      <c r="C887" s="50" t="n">
        <v>-9.936999999999999</v>
      </c>
      <c r="D887" s="50" t="n"/>
      <c r="E887" s="50" t="n">
        <v>181.603</v>
      </c>
      <c r="F887" s="50" t="n">
        <v>-10.101</v>
      </c>
      <c r="G887" s="50" t="n"/>
      <c r="H887" s="50" t="n">
        <v>406.321</v>
      </c>
      <c r="I887" s="50" t="n">
        <v>6.035</v>
      </c>
      <c r="J887" s="50" t="n"/>
      <c r="K887" s="50" t="n">
        <v>406.321</v>
      </c>
      <c r="L887" s="50" t="n">
        <v>6.035</v>
      </c>
      <c r="M887" s="50" t="n"/>
      <c r="N887" s="50" t="n">
        <v>843.6420000000001</v>
      </c>
      <c r="O887" s="50" t="n">
        <v>19.552</v>
      </c>
      <c r="P887" s="50" t="n"/>
      <c r="Q887" s="50" t="n">
        <v>843.579</v>
      </c>
      <c r="R887" s="50" t="n">
        <v>19.535</v>
      </c>
      <c r="S887" s="50" t="n"/>
    </row>
    <row r="888">
      <c r="A888" s="50" t="inlineStr">
        <is>
          <t>2024-07</t>
        </is>
      </c>
      <c r="B888" s="50" t="n">
        <v>175.308</v>
      </c>
      <c r="C888" s="50" t="n">
        <v>-9.960000000000001</v>
      </c>
      <c r="D888" s="50" t="n"/>
      <c r="E888" s="50" t="n">
        <v>179.579</v>
      </c>
      <c r="F888" s="50" t="n">
        <v>-10.934</v>
      </c>
      <c r="G888" s="50" t="n"/>
      <c r="H888" s="50" t="n">
        <v>405.109</v>
      </c>
      <c r="I888" s="50" t="n">
        <v>4.636</v>
      </c>
      <c r="J888" s="50" t="n"/>
      <c r="K888" s="50" t="n">
        <v>405.109</v>
      </c>
      <c r="L888" s="50" t="n">
        <v>4.636</v>
      </c>
      <c r="M888" s="50" t="n"/>
      <c r="N888" s="50" t="n">
        <v>851.568</v>
      </c>
      <c r="O888" s="50" t="n">
        <v>18.493</v>
      </c>
      <c r="P888" s="50" t="n"/>
      <c r="Q888" s="50" t="n">
        <v>851.0069999999999</v>
      </c>
      <c r="R888" s="50" t="n">
        <v>18.558</v>
      </c>
      <c r="S888" s="50" t="n"/>
    </row>
    <row r="889">
      <c r="A889" s="50" t="inlineStr">
        <is>
          <t>2024-08</t>
        </is>
      </c>
      <c r="B889" s="50" t="n">
        <v>174.703</v>
      </c>
      <c r="C889" s="50" t="n">
        <v>-8.57</v>
      </c>
      <c r="D889" s="50" t="n"/>
      <c r="E889" s="50" t="n">
        <v>178.192</v>
      </c>
      <c r="F889" s="50" t="n">
        <v>-10.352</v>
      </c>
      <c r="G889" s="50" t="n"/>
      <c r="H889" s="50" t="n">
        <v>407.374</v>
      </c>
      <c r="I889" s="50" t="n">
        <v>4.083</v>
      </c>
      <c r="J889" s="50" t="n"/>
      <c r="K889" s="50" t="n">
        <v>407.374</v>
      </c>
      <c r="L889" s="50" t="n">
        <v>4.083</v>
      </c>
      <c r="M889" s="50" t="n"/>
      <c r="N889" s="50" t="n">
        <v>856.197</v>
      </c>
      <c r="O889" s="50" t="n">
        <v>16.452</v>
      </c>
      <c r="P889" s="50" t="n"/>
      <c r="Q889" s="50" t="n">
        <v>854.307</v>
      </c>
      <c r="R889" s="50" t="n">
        <v>16.527</v>
      </c>
      <c r="S889" s="50" t="n"/>
    </row>
    <row r="890">
      <c r="A890" s="50" t="inlineStr">
        <is>
          <t>2024-09</t>
        </is>
      </c>
      <c r="B890" s="50" t="n">
        <v>175.834</v>
      </c>
      <c r="C890" s="50" t="n">
        <v>-6.297</v>
      </c>
      <c r="D890" s="50" t="n"/>
      <c r="E890" s="50" t="n">
        <v>178.072</v>
      </c>
      <c r="F890" s="50" t="n">
        <v>-5.072</v>
      </c>
      <c r="G890" s="50" t="n"/>
      <c r="H890" s="50" t="n">
        <v>411.276</v>
      </c>
      <c r="I890" s="50" t="n">
        <v>4.858</v>
      </c>
      <c r="J890" s="50" t="n"/>
      <c r="K890" s="50" t="n">
        <v>411.276</v>
      </c>
      <c r="L890" s="50" t="n">
        <v>4.858</v>
      </c>
      <c r="M890" s="50" t="n"/>
      <c r="N890" s="50" t="n">
        <v>867.6420000000001</v>
      </c>
      <c r="O890" s="50" t="n">
        <v>16.306</v>
      </c>
      <c r="P890" s="50" t="n"/>
      <c r="Q890" s="50" t="n">
        <v>863.292</v>
      </c>
      <c r="R890" s="50" t="n">
        <v>16.301</v>
      </c>
      <c r="S890" s="50" t="n"/>
    </row>
    <row r="891">
      <c r="A891" s="50" t="inlineStr">
        <is>
          <t>2024-10</t>
        </is>
      </c>
      <c r="B891" s="50" t="n">
        <v>177.734</v>
      </c>
      <c r="C891" s="50" t="n">
        <v>-4.894</v>
      </c>
      <c r="D891" s="50" t="n"/>
      <c r="E891" s="50" t="n">
        <v>178.744</v>
      </c>
      <c r="F891" s="50" t="n">
        <v>-3.361</v>
      </c>
      <c r="G891" s="50" t="n"/>
      <c r="H891" s="50" t="n">
        <v>415.598</v>
      </c>
      <c r="I891" s="50" t="n">
        <v>5.788</v>
      </c>
      <c r="J891" s="50" t="n"/>
      <c r="K891" s="50" t="n">
        <v>415.598</v>
      </c>
      <c r="L891" s="50" t="n">
        <v>5.788</v>
      </c>
      <c r="M891" s="50" t="n"/>
      <c r="N891" s="50" t="n">
        <v>867.438</v>
      </c>
      <c r="O891" s="50" t="n">
        <v>14.033</v>
      </c>
      <c r="P891" s="50" t="n"/>
      <c r="Q891" s="50" t="n">
        <v>865.985</v>
      </c>
      <c r="R891" s="50" t="n">
        <v>13.99</v>
      </c>
      <c r="S891" s="50" t="n"/>
    </row>
    <row r="892">
      <c r="A892" s="50" t="inlineStr">
        <is>
          <t>2024-11</t>
        </is>
      </c>
      <c r="B892" s="50" t="n">
        <v>179.904</v>
      </c>
      <c r="C892" s="50" t="n">
        <v>-5.036</v>
      </c>
      <c r="D892" s="50" t="n"/>
      <c r="E892" s="50" t="n">
        <v>179.958</v>
      </c>
      <c r="F892" s="50" t="n">
        <v>-3.389</v>
      </c>
      <c r="G892" s="50" t="n"/>
      <c r="H892" s="50" t="n">
        <v>416.418</v>
      </c>
      <c r="I892" s="50" t="n">
        <v>5.71</v>
      </c>
      <c r="J892" s="50" t="n"/>
      <c r="K892" s="50" t="n">
        <v>416.418</v>
      </c>
      <c r="L892" s="50" t="n">
        <v>5.71</v>
      </c>
      <c r="M892" s="50" t="n"/>
      <c r="N892" s="50" t="n">
        <v>870.003</v>
      </c>
      <c r="O892" s="50" t="n">
        <v>12.815</v>
      </c>
      <c r="P892" s="50" t="n"/>
      <c r="Q892" s="50" t="n">
        <v>866.133</v>
      </c>
      <c r="R892" s="50" t="n">
        <v>12.741</v>
      </c>
      <c r="S892" s="50" t="n"/>
    </row>
    <row r="893">
      <c r="A893" s="50" t="inlineStr">
        <is>
          <t>2024-12</t>
        </is>
      </c>
      <c r="B893" s="50" t="n">
        <v>181.705</v>
      </c>
      <c r="C893" s="50" t="n">
        <v>-4.652</v>
      </c>
      <c r="D893" s="50" t="n"/>
      <c r="E893" s="50" t="n">
        <v>180.317</v>
      </c>
      <c r="F893" s="50" t="n">
        <v>-3.255</v>
      </c>
      <c r="G893" s="50" t="n"/>
      <c r="H893" s="50" t="n">
        <v>417.312</v>
      </c>
      <c r="I893" s="50" t="n">
        <v>6.214</v>
      </c>
      <c r="J893" s="50" t="n"/>
      <c r="K893" s="50" t="n">
        <v>417.312</v>
      </c>
      <c r="L893" s="50" t="n">
        <v>6.214</v>
      </c>
      <c r="M893" s="50" t="n"/>
      <c r="N893" s="50" t="n">
        <v>872.6950000000001</v>
      </c>
      <c r="O893" s="50" t="n">
        <v>11.33</v>
      </c>
      <c r="P893" s="50" t="n"/>
      <c r="Q893" s="50" t="n">
        <v>868.417</v>
      </c>
      <c r="R893" s="50" t="n">
        <v>11.295</v>
      </c>
      <c r="S893" s="50" t="n"/>
    </row>
    <row r="894">
      <c r="A894" s="50" t="inlineStr">
        <is>
          <t>2025-01</t>
        </is>
      </c>
      <c r="B894" s="50" t="n">
        <v>184.891</v>
      </c>
      <c r="C894" s="50" t="n">
        <v>0.929</v>
      </c>
      <c r="D894" s="50" t="n"/>
      <c r="E894" s="50" t="n">
        <v>181.265</v>
      </c>
      <c r="F894" s="50" t="n">
        <v>1.034</v>
      </c>
      <c r="G894" s="50" t="n"/>
      <c r="H894" s="50" t="n">
        <v>419.417</v>
      </c>
      <c r="I894" s="50" t="n">
        <v>5.912</v>
      </c>
      <c r="J894" s="50" t="n"/>
      <c r="K894" s="50" t="n">
        <v>419.417</v>
      </c>
      <c r="L894" s="50" t="n">
        <v>5.912</v>
      </c>
      <c r="M894" s="50" t="n"/>
      <c r="N894" s="50" t="n">
        <v>888.526</v>
      </c>
      <c r="O894" s="50" t="n">
        <v>11.785</v>
      </c>
      <c r="P894" s="50" t="n"/>
      <c r="Q894" s="50" t="n">
        <v>887.651</v>
      </c>
      <c r="R894" s="50" t="n">
        <v>11.775</v>
      </c>
      <c r="S894" s="50" t="n"/>
    </row>
    <row r="895">
      <c r="A895" s="50" t="inlineStr">
        <is>
          <t>2025-02</t>
        </is>
      </c>
      <c r="B895" s="50" t="n">
        <v>186.557</v>
      </c>
      <c r="C895" s="50" t="n">
        <v>0.703</v>
      </c>
      <c r="D895" s="50" t="n"/>
      <c r="E895" s="50" t="n">
        <v>181.361</v>
      </c>
      <c r="F895" s="50" t="n">
        <v>0.753</v>
      </c>
      <c r="G895" s="50" t="n"/>
      <c r="H895" s="50" t="n">
        <v>420.48</v>
      </c>
      <c r="I895" s="50" t="n">
        <v>5.77</v>
      </c>
      <c r="J895" s="50" t="n"/>
      <c r="K895" s="50" t="n">
        <v>420.48</v>
      </c>
      <c r="L895" s="50" t="n">
        <v>5.77</v>
      </c>
      <c r="M895" s="50" t="n"/>
      <c r="N895" s="50" t="n">
        <v>889.027</v>
      </c>
      <c r="O895" s="50" t="n">
        <v>11.084</v>
      </c>
      <c r="P895" s="50" t="n"/>
      <c r="Q895" s="50" t="n">
        <v>895.97</v>
      </c>
      <c r="R895" s="50" t="n">
        <v>11.101</v>
      </c>
      <c r="S895" s="50" t="n"/>
    </row>
    <row r="896">
      <c r="A896" s="50" t="inlineStr">
        <is>
          <t>2025-03</t>
        </is>
      </c>
      <c r="B896" s="50" t="n">
        <v>185.728</v>
      </c>
      <c r="C896" s="50" t="n">
        <v>0.611</v>
      </c>
      <c r="D896" s="50" t="n"/>
      <c r="E896" s="50" t="n">
        <v>181.932</v>
      </c>
      <c r="F896" s="50" t="n">
        <v>0.575</v>
      </c>
      <c r="G896" s="50" t="n"/>
      <c r="H896" s="50" t="n">
        <v>424.012</v>
      </c>
      <c r="I896" s="50" t="n">
        <v>4.83</v>
      </c>
      <c r="J896" s="50" t="n"/>
      <c r="K896" s="50" t="n">
        <v>424.012</v>
      </c>
      <c r="L896" s="50" t="n">
        <v>4.83</v>
      </c>
      <c r="M896" s="50" t="n"/>
      <c r="N896" s="50" t="n">
        <v>883.375</v>
      </c>
      <c r="O896" s="50" t="n">
        <v>7.53</v>
      </c>
      <c r="P896" s="50" t="n"/>
      <c r="Q896" s="50" t="n">
        <v>890.353</v>
      </c>
      <c r="R896" s="50" t="n">
        <v>7.55</v>
      </c>
      <c r="S896" s="50" t="n"/>
    </row>
    <row r="897">
      <c r="A897" s="50" t="inlineStr">
        <is>
          <t>2025-04</t>
        </is>
      </c>
      <c r="B897" s="50" t="n">
        <v>184.8</v>
      </c>
      <c r="C897" s="50" t="n">
        <v>1.548</v>
      </c>
      <c r="D897" s="50" t="n"/>
      <c r="E897" s="50" t="n">
        <v>182.861</v>
      </c>
      <c r="F897" s="50" t="n">
        <v>1.515</v>
      </c>
      <c r="G897" s="50" t="n"/>
      <c r="H897" s="50" t="n">
        <v>426.849</v>
      </c>
      <c r="I897" s="50" t="n">
        <v>5.556</v>
      </c>
      <c r="J897" s="50" t="n"/>
      <c r="K897" s="50" t="n">
        <v>426.849</v>
      </c>
      <c r="L897" s="50" t="n">
        <v>5.556</v>
      </c>
      <c r="M897" s="50" t="n"/>
      <c r="N897" s="50" t="n">
        <v>889.621</v>
      </c>
      <c r="O897" s="50" t="n">
        <v>6.353</v>
      </c>
      <c r="P897" s="50" t="n"/>
      <c r="Q897" s="50" t="n">
        <v>892.553</v>
      </c>
      <c r="R897" s="50" t="n">
        <v>6.373</v>
      </c>
      <c r="S897" s="50" t="n"/>
    </row>
    <row r="898">
      <c r="A898" s="50" t="inlineStr">
        <is>
          <t>2025-05</t>
        </is>
      </c>
      <c r="B898" s="50" t="n">
        <v>183.664</v>
      </c>
      <c r="C898" s="50" t="n">
        <v>1.71</v>
      </c>
      <c r="D898" s="50" t="n"/>
      <c r="E898" s="50" t="n">
        <v>184.224</v>
      </c>
      <c r="F898" s="50" t="n">
        <v>1.798</v>
      </c>
      <c r="G898" s="50" t="n"/>
      <c r="H898" s="50" t="n">
        <v>426.264</v>
      </c>
      <c r="I898" s="50" t="n">
        <v>5.124</v>
      </c>
      <c r="J898" s="50" t="n"/>
      <c r="K898" s="50" t="n">
        <v>426.264</v>
      </c>
      <c r="L898" s="50" t="n">
        <v>5.124</v>
      </c>
      <c r="M898" s="50" t="n"/>
      <c r="N898" s="50" t="n">
        <v>894.287</v>
      </c>
      <c r="O898" s="50" t="n">
        <v>6.949</v>
      </c>
      <c r="P898" s="50" t="n"/>
      <c r="Q898" s="50" t="n">
        <v>895.2619999999999</v>
      </c>
      <c r="R898" s="50" t="n">
        <v>6.968</v>
      </c>
      <c r="S898" s="50" t="n"/>
    </row>
    <row r="899">
      <c r="A899" s="50" t="inlineStr">
        <is>
          <t>2025-06</t>
        </is>
      </c>
      <c r="B899" s="50" t="n">
        <v>182.833</v>
      </c>
      <c r="C899" s="50" t="n">
        <v>2.735</v>
      </c>
      <c r="D899" s="50" t="n"/>
      <c r="E899" s="50" t="n">
        <v>186.671</v>
      </c>
      <c r="F899" s="50" t="n">
        <v>2.791</v>
      </c>
      <c r="G899" s="50" t="n"/>
      <c r="H899" s="50" t="n">
        <v>427.256</v>
      </c>
      <c r="I899" s="50" t="n">
        <v>5.152</v>
      </c>
      <c r="J899" s="50" t="n"/>
      <c r="K899" s="50" t="n">
        <v>427.256</v>
      </c>
      <c r="L899" s="50" t="n">
        <v>5.152</v>
      </c>
      <c r="M899" s="50" t="n"/>
      <c r="N899" s="50" t="n">
        <v>895.5549999999999</v>
      </c>
      <c r="O899" s="50" t="n">
        <v>6.153</v>
      </c>
      <c r="P899" s="50" t="n"/>
      <c r="Q899" s="50" t="n">
        <v>895.2809999999999</v>
      </c>
      <c r="R899" s="50" t="n">
        <v>6.129</v>
      </c>
      <c r="S899" s="50" t="n"/>
    </row>
    <row r="900">
      <c r="A900" s="50" t="inlineStr">
        <is>
          <t>2025-07</t>
        </is>
      </c>
      <c r="B900" s="50" t="n">
        <v>183.746</v>
      </c>
      <c r="C900" s="50" t="n">
        <v>4.813</v>
      </c>
      <c r="D900" s="50" t="n"/>
      <c r="E900" s="50" t="n">
        <v>188.183</v>
      </c>
      <c r="F900" s="50" t="n">
        <v>4.791</v>
      </c>
      <c r="G900" s="50" t="n"/>
      <c r="H900" s="50" t="n">
        <v>431.604</v>
      </c>
      <c r="I900" s="50" t="n">
        <v>6.54</v>
      </c>
      <c r="J900" s="50" t="n"/>
      <c r="K900" s="50" t="n">
        <v>431.604</v>
      </c>
      <c r="L900" s="50" t="n">
        <v>6.54</v>
      </c>
      <c r="M900" s="50" t="n"/>
      <c r="N900" s="50" t="n">
        <v>896.2190000000001</v>
      </c>
      <c r="O900" s="50" t="n">
        <v>5.243</v>
      </c>
      <c r="P900" s="50" t="n"/>
      <c r="Q900" s="50" t="n">
        <v>896.018</v>
      </c>
      <c r="R900" s="50" t="n">
        <v>5.289</v>
      </c>
      <c r="S900" s="50" t="n"/>
    </row>
    <row r="901">
      <c r="A901" s="50" t="inlineStr">
        <is>
          <t>2025-08</t>
        </is>
      </c>
      <c r="B901" s="50" t="n">
        <v>185.259</v>
      </c>
      <c r="C901" s="50" t="n">
        <v>6.042</v>
      </c>
      <c r="D901" s="50" t="n"/>
      <c r="E901" s="50" t="n">
        <v>188.96</v>
      </c>
      <c r="F901" s="50" t="n">
        <v>6.043</v>
      </c>
      <c r="G901" s="50" t="n"/>
      <c r="H901" s="50" t="n">
        <v>441.987</v>
      </c>
      <c r="I901" s="50" t="n">
        <v>8.497</v>
      </c>
      <c r="J901" s="50" t="n"/>
      <c r="K901" s="50" t="n">
        <v>441.987</v>
      </c>
      <c r="L901" s="50" t="n">
        <v>8.497</v>
      </c>
      <c r="M901" s="50" t="n"/>
      <c r="N901" s="50" t="n">
        <v>895.769</v>
      </c>
      <c r="O901" s="50" t="n">
        <v>4.622</v>
      </c>
      <c r="P901" s="50" t="n"/>
      <c r="Q901" s="50" t="n">
        <v>894.075</v>
      </c>
      <c r="R901" s="50" t="n">
        <v>4.655</v>
      </c>
      <c r="S901" s="50" t="n"/>
    </row>
    <row r="902">
      <c r="A902" s="50" t="inlineStr">
        <is>
          <t>2025-09</t>
        </is>
      </c>
      <c r="B902" s="50" t="n">
        <v>184.869</v>
      </c>
      <c r="C902" s="50" t="n">
        <v>5.138</v>
      </c>
      <c r="D902" s="50" t="n"/>
      <c r="E902" s="50" t="n">
        <v>187.121</v>
      </c>
      <c r="F902" s="50" t="n">
        <v>5.082</v>
      </c>
      <c r="G902" s="50" t="n"/>
      <c r="H902" s="50" t="n">
        <v>442.843</v>
      </c>
      <c r="I902" s="50" t="n">
        <v>7.675</v>
      </c>
      <c r="J902" s="50" t="n"/>
      <c r="K902" s="50" t="n">
        <v>442.843</v>
      </c>
      <c r="L902" s="50" t="n">
        <v>7.675</v>
      </c>
      <c r="M902" s="50" t="n"/>
      <c r="N902" s="50" t="n">
        <v>894.987</v>
      </c>
      <c r="O902" s="50" t="n">
        <v>3.152</v>
      </c>
      <c r="P902" s="50" t="n"/>
      <c r="Q902" s="50" t="n">
        <v>890.473</v>
      </c>
      <c r="R902" s="50" t="n">
        <v>3.149</v>
      </c>
      <c r="S902" s="50" t="n"/>
    </row>
    <row r="903">
      <c r="A903" s="50" t="inlineStr">
        <is>
          <t>2025-10</t>
        </is>
      </c>
      <c r="B903" s="50" t="n">
        <v>186.111</v>
      </c>
      <c r="C903" s="50" t="n">
        <v>4.713</v>
      </c>
      <c r="D903" s="50" t="n"/>
      <c r="E903" s="50" t="n">
        <v>186.962</v>
      </c>
      <c r="F903" s="50" t="n">
        <v>4.598</v>
      </c>
      <c r="G903" s="50" t="n"/>
      <c r="H903" s="50" t="n"/>
      <c r="I903" s="50" t="n"/>
      <c r="J903" s="50" t="inlineStr">
        <is>
          <t>X</t>
        </is>
      </c>
      <c r="K903" s="50" t="n"/>
      <c r="L903" s="50" t="n"/>
      <c r="M903" s="50" t="inlineStr">
        <is>
          <t>X</t>
        </is>
      </c>
      <c r="N903" s="50" t="n"/>
      <c r="O903" s="50" t="n"/>
      <c r="P903" s="50" t="inlineStr">
        <is>
          <t>X</t>
        </is>
      </c>
      <c r="Q903" s="50" t="n"/>
      <c r="R903" s="50" t="n"/>
      <c r="S903" s="50" t="inlineStr">
        <is>
          <t>X</t>
        </is>
      </c>
    </row>
    <row r="904">
      <c r="A904" s="50" t="inlineStr">
        <is>
          <t>2025-11</t>
        </is>
      </c>
      <c r="B904" s="50" t="n">
        <v>186.298</v>
      </c>
      <c r="C904" s="50" t="n">
        <v>3.554</v>
      </c>
      <c r="D904" s="50" t="n"/>
      <c r="E904" s="50" t="n">
        <v>186.367</v>
      </c>
      <c r="F904" s="50" t="n">
        <v>3.561</v>
      </c>
      <c r="G904" s="50" t="n"/>
      <c r="H904" s="50" t="n">
        <v>445.325</v>
      </c>
      <c r="I904" s="50" t="n">
        <v>6.942</v>
      </c>
      <c r="J904" s="50" t="n"/>
      <c r="K904" s="50" t="n">
        <v>445.325</v>
      </c>
      <c r="L904" s="50" t="n">
        <v>6.942</v>
      </c>
      <c r="M904" s="50" t="n"/>
      <c r="N904" s="50" t="n"/>
      <c r="O904" s="50" t="n"/>
      <c r="P904" s="50" t="n"/>
      <c r="Q904" s="50" t="n"/>
      <c r="R904" s="50" t="n"/>
      <c r="S904" s="50" t="n"/>
    </row>
    <row r="905">
      <c r="A905" s="50" t="inlineStr">
        <is>
          <t>2025-12</t>
        </is>
      </c>
      <c r="B905" s="50" t="n">
        <v>184.668</v>
      </c>
      <c r="C905" s="50" t="n">
        <v>1.631</v>
      </c>
      <c r="D905" s="50" t="n"/>
      <c r="E905" s="50" t="n">
        <v>183.265</v>
      </c>
      <c r="F905" s="50" t="n">
        <v>1.635</v>
      </c>
      <c r="G905" s="50" t="n"/>
      <c r="H905" s="50" t="n">
        <v>439.752</v>
      </c>
      <c r="I905" s="50" t="n">
        <v>5.377</v>
      </c>
      <c r="J905" s="50" t="n"/>
      <c r="K905" s="50" t="n">
        <v>439.752</v>
      </c>
      <c r="L905" s="50" t="n">
        <v>5.377</v>
      </c>
      <c r="M905" s="50" t="n"/>
      <c r="N905" s="50" t="n">
        <v>897.307</v>
      </c>
      <c r="O905" s="50" t="n">
        <v>2.82</v>
      </c>
      <c r="P905" s="50" t="n"/>
      <c r="Q905" s="50" t="n">
        <v>892.879</v>
      </c>
      <c r="R905" s="50" t="n">
        <v>2.817</v>
      </c>
      <c r="S905" s="50" t="n"/>
    </row>
    <row r="906">
      <c r="A906" s="50" t="inlineStr">
        <is>
          <t>2026-01</t>
        </is>
      </c>
      <c r="B906" s="50" t="n">
        <v>181.269</v>
      </c>
      <c r="C906" s="50" t="n">
        <v>-1.959</v>
      </c>
      <c r="D906" s="50" t="n"/>
      <c r="E906" s="50" t="n">
        <v>177.714</v>
      </c>
      <c r="F906" s="50" t="n">
        <v>-1.959</v>
      </c>
      <c r="G906" s="50" t="n"/>
      <c r="H906" s="50" t="n">
        <v>440.175</v>
      </c>
      <c r="I906" s="50" t="n">
        <v>4.949</v>
      </c>
      <c r="J906" s="50" t="n"/>
      <c r="K906" s="50" t="n">
        <v>440.175</v>
      </c>
      <c r="L906" s="50" t="n">
        <v>4.949</v>
      </c>
      <c r="M906" s="50" t="n"/>
      <c r="N906" s="50" t="n">
        <v>893.366</v>
      </c>
      <c r="O906" s="50" t="n">
        <v>0.545</v>
      </c>
      <c r="P906" s="50" t="n"/>
      <c r="Q906" s="50" t="n">
        <v>892.491</v>
      </c>
      <c r="R906" s="50" t="n">
        <v>0.545</v>
      </c>
      <c r="S906" s="50" t="n"/>
    </row>
    <row r="907">
      <c r="A907" s="50" t="inlineStr">
        <is>
          <t>2026-02</t>
        </is>
      </c>
      <c r="B907" s="50" t="n">
        <v>180.589</v>
      </c>
      <c r="C907" s="50" t="n">
        <v>-3.199</v>
      </c>
      <c r="D907" s="50" t="n"/>
      <c r="E907" s="50" t="n">
        <v>175.559</v>
      </c>
      <c r="F907" s="50" t="n">
        <v>-3.199</v>
      </c>
      <c r="G907" s="50" t="n"/>
      <c r="H907" s="50" t="n">
        <v>444.107</v>
      </c>
      <c r="I907" s="50" t="n">
        <v>5.619</v>
      </c>
      <c r="J907" s="50" t="n"/>
      <c r="K907" s="50" t="n">
        <v>444.107</v>
      </c>
      <c r="L907" s="50" t="n">
        <v>5.619</v>
      </c>
      <c r="M907" s="50" t="n"/>
      <c r="N907" s="50" t="n">
        <v>890.451</v>
      </c>
      <c r="O907" s="50" t="n">
        <v>0.16</v>
      </c>
      <c r="P907" s="50" t="n"/>
      <c r="Q907" s="50" t="n">
        <v>897.4059999999999</v>
      </c>
      <c r="R907" s="50" t="n">
        <v>0.16</v>
      </c>
      <c r="S907" s="50" t="n"/>
    </row>
    <row r="908">
      <c r="A908" s="50" t="inlineStr">
        <is>
          <t>2026-03</t>
        </is>
      </c>
      <c r="B908" s="50" t="n">
        <v>179.83</v>
      </c>
      <c r="C908" s="50" t="n">
        <v>-3.176</v>
      </c>
      <c r="D908" s="50" t="n"/>
      <c r="E908" s="50" t="n">
        <v>176.154</v>
      </c>
      <c r="F908" s="50" t="n">
        <v>-3.176</v>
      </c>
      <c r="G908" s="50" t="n"/>
      <c r="H908" s="50" t="n">
        <v>449.675</v>
      </c>
      <c r="I908" s="50" t="n">
        <v>6.052</v>
      </c>
      <c r="J908" s="50" t="n"/>
      <c r="K908" s="50" t="n">
        <v>449.675</v>
      </c>
      <c r="L908" s="50" t="n">
        <v>6.052</v>
      </c>
      <c r="M908" s="50" t="n"/>
      <c r="N908" s="50" t="n">
        <v>890.1130000000001</v>
      </c>
      <c r="O908" s="50" t="n">
        <v>0.763</v>
      </c>
      <c r="P908" s="50" t="n"/>
      <c r="Q908" s="50" t="n">
        <v>897.145</v>
      </c>
      <c r="R908" s="50" t="n">
        <v>0.763</v>
      </c>
      <c r="S908" s="50" t="n"/>
    </row>
    <row r="909">
      <c r="A909" s="50" t="inlineStr">
        <is>
          <t>2026-04</t>
        </is>
      </c>
      <c r="B909" s="50" t="n">
        <v>179.822</v>
      </c>
      <c r="C909" s="50" t="n">
        <v>-2.694</v>
      </c>
      <c r="D909" s="50" t="n"/>
      <c r="E909" s="50" t="n">
        <v>177.936</v>
      </c>
      <c r="F909" s="50" t="n">
        <v>-2.693</v>
      </c>
      <c r="G909" s="50" t="n"/>
      <c r="H909" s="50" t="n">
        <v>448.821</v>
      </c>
      <c r="I909" s="50" t="n">
        <v>5.147</v>
      </c>
      <c r="J909" s="50" t="n"/>
      <c r="K909" s="50" t="n">
        <v>448.821</v>
      </c>
      <c r="L909" s="50" t="n">
        <v>5.147</v>
      </c>
      <c r="M909" s="50" t="n"/>
      <c r="N909" s="50" t="n">
        <v>891.373</v>
      </c>
      <c r="O909" s="50" t="n">
        <v>0.197</v>
      </c>
      <c r="P909" s="50" t="n"/>
      <c r="Q909" s="50" t="n">
        <v>894.3150000000001</v>
      </c>
      <c r="R909" s="50" t="n">
        <v>0.197</v>
      </c>
      <c r="S909" s="50" t="n"/>
    </row>
    <row r="910">
      <c r="A910" s="50" t="inlineStr">
        <is>
          <t>2026-05</t>
        </is>
      </c>
      <c r="B910" s="50" t="n">
        <v>180.005</v>
      </c>
      <c r="C910" s="50" t="n">
        <v>-1.992</v>
      </c>
      <c r="D910" s="50" t="n"/>
      <c r="E910" s="50" t="n">
        <v>180.554</v>
      </c>
      <c r="F910" s="50" t="n">
        <v>-1.992</v>
      </c>
      <c r="G910" s="50" t="n"/>
      <c r="H910" s="50" t="n">
        <v>452.383</v>
      </c>
      <c r="I910" s="50" t="n">
        <v>6.127</v>
      </c>
      <c r="J910" s="50" t="n"/>
      <c r="K910" s="50" t="n">
        <v>452.383</v>
      </c>
      <c r="L910" s="50" t="n">
        <v>6.127</v>
      </c>
      <c r="M910" s="50" t="n"/>
      <c r="N910" s="50" t="n">
        <v>876.323</v>
      </c>
      <c r="O910" s="50" t="n">
        <v>-2.009</v>
      </c>
      <c r="P910" s="50" t="n"/>
      <c r="Q910" s="50" t="n">
        <v>877.278</v>
      </c>
      <c r="R910" s="50" t="n">
        <v>-2.009</v>
      </c>
      <c r="S910" s="50" t="n"/>
    </row>
    <row r="911">
      <c r="A911" s="50" t="inlineStr">
        <is>
          <t>2026-06</t>
        </is>
      </c>
      <c r="B911" s="50" t="n">
        <v>179.591</v>
      </c>
      <c r="C911" s="50" t="n">
        <v>-1.773</v>
      </c>
      <c r="D911" s="50" t="n"/>
      <c r="E911" s="50" t="n">
        <v>183.36</v>
      </c>
      <c r="F911" s="50" t="n">
        <v>-1.774</v>
      </c>
      <c r="G911" s="50" t="n"/>
      <c r="H911" s="50" t="n">
        <v>457.313</v>
      </c>
      <c r="I911" s="50" t="n">
        <v>7.035</v>
      </c>
      <c r="J911" s="50" t="n"/>
      <c r="K911" s="50" t="n">
        <v>457.313</v>
      </c>
      <c r="L911" s="50" t="n">
        <v>7.035</v>
      </c>
      <c r="M911" s="50" t="n"/>
      <c r="N911" s="50" t="n">
        <v>858.747</v>
      </c>
      <c r="O911" s="50" t="n">
        <v>-4.11</v>
      </c>
      <c r="P911" s="50" t="n"/>
      <c r="Q911" s="50" t="n">
        <v>858.481</v>
      </c>
      <c r="R911" s="50" t="n">
        <v>-4.11</v>
      </c>
      <c r="S911" s="50" t="n"/>
    </row>
    <row r="912">
      <c r="A912" s="50" t="inlineStr">
        <is>
          <t>2026-07</t>
        </is>
      </c>
      <c r="B912" s="50" t="n">
        <v>180.306</v>
      </c>
      <c r="C912" s="50" t="n">
        <v>-1.872</v>
      </c>
      <c r="D912" s="50" t="n"/>
      <c r="E912" s="50" t="n">
        <v>184.661</v>
      </c>
      <c r="F912" s="50" t="n">
        <v>-1.872</v>
      </c>
      <c r="G912" s="50" t="n"/>
      <c r="H912" s="50" t="n">
        <v>460.185</v>
      </c>
      <c r="I912" s="50" t="n">
        <v>6.622</v>
      </c>
      <c r="J912" s="50" t="n"/>
      <c r="K912" s="50" t="n">
        <v>460.185</v>
      </c>
      <c r="L912" s="50" t="n">
        <v>6.622</v>
      </c>
      <c r="M912" s="50" t="n"/>
      <c r="N912" s="50" t="n">
        <v>856.268</v>
      </c>
      <c r="O912" s="50" t="n">
        <v>-4.458</v>
      </c>
      <c r="P912" s="50" t="n"/>
      <c r="Q912" s="50" t="n">
        <v>856.08</v>
      </c>
      <c r="R912" s="50" t="n">
        <v>-4.457</v>
      </c>
      <c r="S912" s="50" t="n"/>
    </row>
  </sheetData>
  <mergeCells count="1">
    <mergeCell ref="A2:S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90"/>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s>
  <sheetData>
    <row r="1">
      <c r="A1" s="1" t="inlineStr">
        <is>
          <t>totaling_spread_quarterly.csv</t>
        </is>
      </c>
    </row>
    <row r="2" ht="42" customHeight="1">
      <c r="A2" s="6" t="inlineStr">
        <is>
          <t>Totaling spread = repair CPI YoY - used-car CPI YoY (BLS CUUR0000SETD minus CUUR0000SETA02, NSA), quarterly average of monthly values. months&lt;3 = partial quarter. scripts/analysis_20260911.py</t>
        </is>
      </c>
    </row>
    <row r="3">
      <c r="A3" s="2" t="inlineStr">
        <is>
          <t>data/csv/totaling_spread_quarterly.csv · 286 rows · BLUE = raw data as committed; do not type over it — edit the CSV and rebuild.</t>
        </is>
      </c>
    </row>
    <row r="4">
      <c r="A4" s="7" t="inlineStr">
        <is>
          <t>quarter</t>
        </is>
      </c>
      <c r="B4" s="7" t="inlineStr">
        <is>
          <t>spread_pp</t>
        </is>
      </c>
      <c r="C4" s="7" t="inlineStr">
        <is>
          <t>months</t>
        </is>
      </c>
      <c r="D4" s="7" t="inlineStr">
        <is>
          <t>note</t>
        </is>
      </c>
    </row>
    <row r="5">
      <c r="A5" s="50" t="inlineStr">
        <is>
          <t>1953Q4</t>
        </is>
      </c>
      <c r="B5" s="50" t="n">
        <v>19.189</v>
      </c>
      <c r="C5" s="50" t="n">
        <v>1</v>
      </c>
      <c r="D5" s="50" t="inlineStr">
        <is>
          <t>partial quarter (BLS gap or not yet published)</t>
        </is>
      </c>
    </row>
    <row r="6">
      <c r="A6" s="50" t="inlineStr">
        <is>
          <t>1954Q1</t>
        </is>
      </c>
      <c r="B6" s="50" t="n">
        <v>22.953</v>
      </c>
      <c r="C6" s="50" t="n">
        <v>1</v>
      </c>
      <c r="D6" s="50" t="inlineStr">
        <is>
          <t>partial quarter (BLS gap or not yet published)</t>
        </is>
      </c>
    </row>
    <row r="7">
      <c r="A7" s="50" t="inlineStr">
        <is>
          <t>1954Q2</t>
        </is>
      </c>
      <c r="B7" s="50" t="n">
        <v>17.198</v>
      </c>
      <c r="C7" s="50" t="n">
        <v>1</v>
      </c>
      <c r="D7" s="50" t="inlineStr">
        <is>
          <t>partial quarter (BLS gap or not yet published)</t>
        </is>
      </c>
    </row>
    <row r="8">
      <c r="A8" s="50" t="inlineStr">
        <is>
          <t>1954Q3</t>
        </is>
      </c>
      <c r="B8" s="50" t="n">
        <v>15.461</v>
      </c>
      <c r="C8" s="50" t="n">
        <v>1</v>
      </c>
      <c r="D8" s="50" t="inlineStr">
        <is>
          <t>partial quarter (BLS gap or not yet published)</t>
        </is>
      </c>
    </row>
    <row r="9">
      <c r="A9" s="50" t="inlineStr">
        <is>
          <t>1954Q4</t>
        </is>
      </c>
      <c r="B9" s="50" t="n">
        <v>14.461</v>
      </c>
      <c r="C9" s="50" t="n">
        <v>1</v>
      </c>
      <c r="D9" s="50" t="inlineStr">
        <is>
          <t>partial quarter (BLS gap or not yet published)</t>
        </is>
      </c>
    </row>
    <row r="10">
      <c r="A10" s="50" t="inlineStr">
        <is>
          <t>1955Q1</t>
        </is>
      </c>
      <c r="B10" s="50" t="n">
        <v>4.846</v>
      </c>
      <c r="C10" s="50" t="n">
        <v>1</v>
      </c>
      <c r="D10" s="50" t="inlineStr">
        <is>
          <t>partial quarter (BLS gap or not yet published)</t>
        </is>
      </c>
    </row>
    <row r="11">
      <c r="A11" s="50" t="inlineStr">
        <is>
          <t>1955Q2</t>
        </is>
      </c>
      <c r="B11" s="50" t="n">
        <v>7.492</v>
      </c>
      <c r="C11" s="50" t="n">
        <v>1</v>
      </c>
      <c r="D11" s="50" t="inlineStr">
        <is>
          <t>partial quarter (BLS gap or not yet published)</t>
        </is>
      </c>
    </row>
    <row r="12">
      <c r="A12" s="50" t="inlineStr">
        <is>
          <t>1955Q3</t>
        </is>
      </c>
      <c r="B12" s="50" t="n">
        <v>7.446</v>
      </c>
      <c r="C12" s="50" t="n">
        <v>1</v>
      </c>
      <c r="D12" s="50" t="inlineStr">
        <is>
          <t>partial quarter (BLS gap or not yet published)</t>
        </is>
      </c>
    </row>
    <row r="13">
      <c r="A13" s="50" t="inlineStr">
        <is>
          <t>1955Q4</t>
        </is>
      </c>
      <c r="B13" s="50" t="n">
        <v>8.558</v>
      </c>
      <c r="C13" s="50" t="n">
        <v>1</v>
      </c>
      <c r="D13" s="50" t="inlineStr">
        <is>
          <t>partial quarter (BLS gap or not yet published)</t>
        </is>
      </c>
    </row>
    <row r="14">
      <c r="A14" s="50" t="inlineStr">
        <is>
          <t>1956Q1</t>
        </is>
      </c>
      <c r="B14" s="50" t="n">
        <v>14.415</v>
      </c>
      <c r="C14" s="50" t="n">
        <v>1</v>
      </c>
      <c r="D14" s="50" t="inlineStr">
        <is>
          <t>partial quarter (BLS gap or not yet published)</t>
        </is>
      </c>
    </row>
    <row r="15">
      <c r="A15" s="50" t="inlineStr">
        <is>
          <t>1956Q2</t>
        </is>
      </c>
      <c r="B15" s="50" t="n">
        <v>11.702</v>
      </c>
      <c r="C15" s="50" t="n">
        <v>1</v>
      </c>
      <c r="D15" s="50" t="inlineStr">
        <is>
          <t>partial quarter (BLS gap or not yet published)</t>
        </is>
      </c>
    </row>
    <row r="16">
      <c r="A16" s="50" t="inlineStr">
        <is>
          <t>1956Q3</t>
        </is>
      </c>
      <c r="B16" s="50" t="n">
        <v>5.663</v>
      </c>
      <c r="C16" s="50" t="n">
        <v>1</v>
      </c>
      <c r="D16" s="50" t="inlineStr">
        <is>
          <t>partial quarter (BLS gap or not yet published)</t>
        </is>
      </c>
    </row>
    <row r="17">
      <c r="A17" s="50" t="inlineStr">
        <is>
          <t>1956Q4</t>
        </is>
      </c>
      <c r="B17" s="50" t="n">
        <v>-2.104</v>
      </c>
      <c r="C17" s="50" t="n">
        <v>1</v>
      </c>
      <c r="D17" s="50" t="inlineStr">
        <is>
          <t>partial quarter (BLS gap or not yet published)</t>
        </is>
      </c>
    </row>
    <row r="18">
      <c r="A18" s="50" t="inlineStr">
        <is>
          <t>1957Q1</t>
        </is>
      </c>
      <c r="B18" s="50" t="n">
        <v>-11.54</v>
      </c>
      <c r="C18" s="50" t="n">
        <v>1</v>
      </c>
      <c r="D18" s="50" t="inlineStr">
        <is>
          <t>partial quarter (BLS gap or not yet published)</t>
        </is>
      </c>
    </row>
    <row r="19">
      <c r="A19" s="50" t="inlineStr">
        <is>
          <t>1957Q2</t>
        </is>
      </c>
      <c r="B19" s="50" t="n">
        <v>-11.689</v>
      </c>
      <c r="C19" s="50" t="n">
        <v>1</v>
      </c>
      <c r="D19" s="50" t="inlineStr">
        <is>
          <t>partial quarter (BLS gap or not yet published)</t>
        </is>
      </c>
    </row>
    <row r="20">
      <c r="A20" s="50" t="inlineStr">
        <is>
          <t>1957Q3</t>
        </is>
      </c>
      <c r="B20" s="50" t="n">
        <v>-8.928000000000001</v>
      </c>
      <c r="C20" s="50" t="n">
        <v>1</v>
      </c>
      <c r="D20" s="50" t="inlineStr">
        <is>
          <t>partial quarter (BLS gap or not yet published)</t>
        </is>
      </c>
    </row>
    <row r="21">
      <c r="A21" s="50" t="inlineStr">
        <is>
          <t>1957Q4</t>
        </is>
      </c>
      <c r="B21" s="50" t="n">
        <v>-4.139</v>
      </c>
      <c r="C21" s="50" t="n">
        <v>1</v>
      </c>
      <c r="D21" s="50" t="inlineStr">
        <is>
          <t>partial quarter (BLS gap or not yet published)</t>
        </is>
      </c>
    </row>
    <row r="22">
      <c r="A22" s="50" t="inlineStr">
        <is>
          <t>1958Q1</t>
        </is>
      </c>
      <c r="B22" s="50" t="n">
        <v>1.574</v>
      </c>
      <c r="C22" s="50" t="n">
        <v>1</v>
      </c>
      <c r="D22" s="50" t="inlineStr">
        <is>
          <t>partial quarter (BLS gap or not yet published)</t>
        </is>
      </c>
    </row>
    <row r="23">
      <c r="A23" s="50" t="inlineStr">
        <is>
          <t>1958Q2</t>
        </is>
      </c>
      <c r="B23" s="50" t="n">
        <v>0.738</v>
      </c>
      <c r="C23" s="50" t="n">
        <v>1</v>
      </c>
      <c r="D23" s="50" t="inlineStr">
        <is>
          <t>partial quarter (BLS gap or not yet published)</t>
        </is>
      </c>
    </row>
    <row r="24">
      <c r="A24" s="50" t="inlineStr">
        <is>
          <t>1958Q3</t>
        </is>
      </c>
      <c r="B24" s="50" t="n">
        <v>-4.668</v>
      </c>
      <c r="C24" s="50" t="n">
        <v>1</v>
      </c>
      <c r="D24" s="50" t="inlineStr">
        <is>
          <t>partial quarter (BLS gap or not yet published)</t>
        </is>
      </c>
    </row>
    <row r="25">
      <c r="A25" s="50" t="inlineStr">
        <is>
          <t>1958Q4</t>
        </is>
      </c>
      <c r="B25" s="50" t="n">
        <v>-8.544</v>
      </c>
      <c r="C25" s="50" t="n">
        <v>1</v>
      </c>
      <c r="D25" s="50" t="inlineStr">
        <is>
          <t>partial quarter (BLS gap or not yet published)</t>
        </is>
      </c>
    </row>
    <row r="26">
      <c r="A26" s="50" t="inlineStr">
        <is>
          <t>1959Q1</t>
        </is>
      </c>
      <c r="B26" s="50" t="n">
        <v>-12.516</v>
      </c>
      <c r="C26" s="50" t="n">
        <v>1</v>
      </c>
      <c r="D26" s="50" t="inlineStr">
        <is>
          <t>partial quarter (BLS gap or not yet published)</t>
        </is>
      </c>
    </row>
    <row r="27">
      <c r="A27" s="50" t="inlineStr">
        <is>
          <t>1959Q2</t>
        </is>
      </c>
      <c r="B27" s="50" t="n">
        <v>-12.561</v>
      </c>
      <c r="C27" s="50" t="n">
        <v>1</v>
      </c>
      <c r="D27" s="50" t="inlineStr">
        <is>
          <t>partial quarter (BLS gap or not yet published)</t>
        </is>
      </c>
    </row>
    <row r="28">
      <c r="A28" s="50" t="inlineStr">
        <is>
          <t>1959Q3</t>
        </is>
      </c>
      <c r="B28" s="50" t="n">
        <v>-8.321999999999999</v>
      </c>
      <c r="C28" s="50" t="n">
        <v>1</v>
      </c>
      <c r="D28" s="50" t="inlineStr">
        <is>
          <t>partial quarter (BLS gap or not yet published)</t>
        </is>
      </c>
    </row>
    <row r="29">
      <c r="A29" s="50" t="inlineStr">
        <is>
          <t>1959Q4</t>
        </is>
      </c>
      <c r="B29" s="50" t="n">
        <v>-3.516</v>
      </c>
      <c r="C29" s="50" t="n">
        <v>1</v>
      </c>
      <c r="D29" s="50" t="inlineStr">
        <is>
          <t>partial quarter (BLS gap or not yet published)</t>
        </is>
      </c>
    </row>
    <row r="30">
      <c r="A30" s="50" t="inlineStr">
        <is>
          <t>1960Q1</t>
        </is>
      </c>
      <c r="B30" s="50" t="n">
        <v>1.949</v>
      </c>
      <c r="C30" s="50" t="n">
        <v>1</v>
      </c>
      <c r="D30" s="50" t="inlineStr">
        <is>
          <t>partial quarter (BLS gap or not yet published)</t>
        </is>
      </c>
    </row>
    <row r="31">
      <c r="A31" s="50" t="inlineStr">
        <is>
          <t>1960Q2</t>
        </is>
      </c>
      <c r="B31" s="50" t="n">
        <v>7.141</v>
      </c>
      <c r="C31" s="50" t="n">
        <v>1</v>
      </c>
      <c r="D31" s="50" t="inlineStr">
        <is>
          <t>partial quarter (BLS gap or not yet published)</t>
        </is>
      </c>
    </row>
    <row r="32">
      <c r="A32" s="50" t="inlineStr">
        <is>
          <t>1960Q3</t>
        </is>
      </c>
      <c r="B32" s="50" t="n">
        <v>15.406</v>
      </c>
      <c r="C32" s="50" t="n">
        <v>1</v>
      </c>
      <c r="D32" s="50" t="inlineStr">
        <is>
          <t>partial quarter (BLS gap or not yet published)</t>
        </is>
      </c>
    </row>
    <row r="33">
      <c r="A33" s="50" t="inlineStr">
        <is>
          <t>1960Q4</t>
        </is>
      </c>
      <c r="B33" s="50" t="n">
        <v>14.769</v>
      </c>
      <c r="C33" s="50" t="n">
        <v>1</v>
      </c>
      <c r="D33" s="50" t="inlineStr">
        <is>
          <t>partial quarter (BLS gap or not yet published)</t>
        </is>
      </c>
    </row>
    <row r="34">
      <c r="A34" s="50" t="inlineStr">
        <is>
          <t>1961Q1</t>
        </is>
      </c>
      <c r="B34" s="50" t="n">
        <v>11.896</v>
      </c>
      <c r="C34" s="50" t="n">
        <v>1</v>
      </c>
      <c r="D34" s="50" t="inlineStr">
        <is>
          <t>partial quarter (BLS gap or not yet published)</t>
        </is>
      </c>
    </row>
    <row r="35">
      <c r="A35" s="50" t="inlineStr">
        <is>
          <t>1961Q2</t>
        </is>
      </c>
      <c r="B35" s="50" t="n">
        <v>-0.546</v>
      </c>
      <c r="C35" s="50" t="n">
        <v>1</v>
      </c>
      <c r="D35" s="50" t="inlineStr">
        <is>
          <t>partial quarter (BLS gap or not yet published)</t>
        </is>
      </c>
    </row>
    <row r="36">
      <c r="A36" s="50" t="inlineStr">
        <is>
          <t>1961Q3</t>
        </is>
      </c>
      <c r="B36" s="50" t="n">
        <v>-11.831</v>
      </c>
      <c r="C36" s="50" t="n">
        <v>1</v>
      </c>
      <c r="D36" s="50" t="inlineStr">
        <is>
          <t>partial quarter (BLS gap or not yet published)</t>
        </is>
      </c>
    </row>
    <row r="37">
      <c r="A37" s="50" t="inlineStr">
        <is>
          <t>1961Q4</t>
        </is>
      </c>
      <c r="B37" s="50" t="n">
        <v>-12.058</v>
      </c>
      <c r="C37" s="50" t="n">
        <v>1</v>
      </c>
      <c r="D37" s="50" t="inlineStr">
        <is>
          <t>partial quarter (BLS gap or not yet published)</t>
        </is>
      </c>
    </row>
    <row r="38">
      <c r="A38" s="50" t="inlineStr">
        <is>
          <t>1962Q1</t>
        </is>
      </c>
      <c r="B38" s="50" t="n">
        <v>-12.556</v>
      </c>
      <c r="C38" s="50" t="n">
        <v>1</v>
      </c>
      <c r="D38" s="50" t="inlineStr">
        <is>
          <t>partial quarter (BLS gap or not yet published)</t>
        </is>
      </c>
    </row>
    <row r="39">
      <c r="A39" s="50" t="inlineStr">
        <is>
          <t>1962Q2</t>
        </is>
      </c>
      <c r="B39" s="50" t="n">
        <v>-9.103999999999999</v>
      </c>
      <c r="C39" s="50" t="n">
        <v>1</v>
      </c>
      <c r="D39" s="50" t="inlineStr">
        <is>
          <t>partial quarter (BLS gap or not yet published)</t>
        </is>
      </c>
    </row>
    <row r="40">
      <c r="A40" s="50" t="inlineStr">
        <is>
          <t>1962Q3</t>
        </is>
      </c>
      <c r="B40" s="50" t="n">
        <v>-6.487</v>
      </c>
      <c r="C40" s="50" t="n">
        <v>1</v>
      </c>
      <c r="D40" s="50" t="inlineStr">
        <is>
          <t>partial quarter (BLS gap or not yet published)</t>
        </is>
      </c>
    </row>
    <row r="41">
      <c r="A41" s="50" t="inlineStr">
        <is>
          <t>1962Q4</t>
        </is>
      </c>
      <c r="B41" s="50" t="n">
        <v>-5.197</v>
      </c>
      <c r="C41" s="50" t="n">
        <v>1</v>
      </c>
      <c r="D41" s="50" t="inlineStr">
        <is>
          <t>partial quarter (BLS gap or not yet published)</t>
        </is>
      </c>
    </row>
    <row r="42">
      <c r="A42" s="50" t="inlineStr">
        <is>
          <t>1963Q1</t>
        </is>
      </c>
      <c r="B42" s="50" t="n">
        <v>-2.639</v>
      </c>
      <c r="C42" s="50" t="n">
        <v>1</v>
      </c>
      <c r="D42" s="50" t="inlineStr">
        <is>
          <t>partial quarter (BLS gap or not yet published)</t>
        </is>
      </c>
    </row>
    <row r="43">
      <c r="A43" s="50" t="inlineStr">
        <is>
          <t>1963Q2</t>
        </is>
      </c>
      <c r="B43" s="50" t="n">
        <v>0.749</v>
      </c>
      <c r="C43" s="50" t="n">
        <v>1</v>
      </c>
      <c r="D43" s="50" t="inlineStr">
        <is>
          <t>partial quarter (BLS gap or not yet published)</t>
        </is>
      </c>
    </row>
    <row r="44">
      <c r="A44" s="50" t="inlineStr">
        <is>
          <t>1963Q3</t>
        </is>
      </c>
      <c r="B44" s="50" t="n">
        <v>2.155</v>
      </c>
      <c r="C44" s="50" t="n">
        <v>1</v>
      </c>
      <c r="D44" s="50" t="inlineStr">
        <is>
          <t>partial quarter (BLS gap or not yet published)</t>
        </is>
      </c>
    </row>
    <row r="45">
      <c r="A45" s="50" t="inlineStr">
        <is>
          <t>1963Q4</t>
        </is>
      </c>
      <c r="B45" s="50" t="n">
        <v>-1.324</v>
      </c>
      <c r="C45" s="50" t="n">
        <v>1</v>
      </c>
      <c r="D45" s="50" t="inlineStr">
        <is>
          <t>partial quarter (BLS gap or not yet published)</t>
        </is>
      </c>
    </row>
    <row r="46">
      <c r="A46" s="50" t="inlineStr">
        <is>
          <t>1964Q2</t>
        </is>
      </c>
      <c r="B46" s="50" t="n">
        <v>-2.333</v>
      </c>
      <c r="C46" s="50" t="n">
        <v>1</v>
      </c>
      <c r="D46" s="50" t="inlineStr">
        <is>
          <t>partial quarter (BLS gap or not yet published)</t>
        </is>
      </c>
    </row>
    <row r="47">
      <c r="A47" s="50" t="inlineStr">
        <is>
          <t>1964Q4</t>
        </is>
      </c>
      <c r="B47" s="50" t="n">
        <v>-2.329</v>
      </c>
      <c r="C47" s="50" t="n">
        <v>1</v>
      </c>
      <c r="D47" s="50" t="inlineStr">
        <is>
          <t>partial quarter (BLS gap or not yet published)</t>
        </is>
      </c>
    </row>
    <row r="48">
      <c r="A48" s="50" t="inlineStr">
        <is>
          <t>1965Q2</t>
        </is>
      </c>
      <c r="B48" s="50" t="n">
        <v>1.773</v>
      </c>
      <c r="C48" s="50" t="n">
        <v>1</v>
      </c>
      <c r="D48" s="50" t="inlineStr">
        <is>
          <t>partial quarter (BLS gap or not yet published)</t>
        </is>
      </c>
    </row>
    <row r="49">
      <c r="A49" s="50" t="inlineStr">
        <is>
          <t>1965Q4</t>
        </is>
      </c>
      <c r="B49" s="50" t="n">
        <v>7.063</v>
      </c>
      <c r="C49" s="50" t="n">
        <v>1</v>
      </c>
      <c r="D49" s="50" t="inlineStr">
        <is>
          <t>partial quarter (BLS gap or not yet published)</t>
        </is>
      </c>
    </row>
    <row r="50">
      <c r="A50" s="50" t="inlineStr">
        <is>
          <t>1966Q2</t>
        </is>
      </c>
      <c r="B50" s="50" t="n">
        <v>5.036</v>
      </c>
      <c r="C50" s="50" t="n">
        <v>1</v>
      </c>
      <c r="D50" s="50" t="inlineStr">
        <is>
          <t>partial quarter (BLS gap or not yet published)</t>
        </is>
      </c>
    </row>
    <row r="51">
      <c r="A51" s="50" t="inlineStr">
        <is>
          <t>1966Q4</t>
        </is>
      </c>
      <c r="B51" s="50" t="n">
        <v>5.85</v>
      </c>
      <c r="C51" s="50" t="n">
        <v>1</v>
      </c>
      <c r="D51" s="50" t="inlineStr">
        <is>
          <t>partial quarter (BLS gap or not yet published)</t>
        </is>
      </c>
    </row>
    <row r="52">
      <c r="A52" s="50" t="inlineStr">
        <is>
          <t>1967Q1</t>
        </is>
      </c>
      <c r="B52" s="50" t="n">
        <v>3.089</v>
      </c>
      <c r="C52" s="50" t="n">
        <v>1</v>
      </c>
      <c r="D52" s="50" t="inlineStr">
        <is>
          <t>partial quarter (BLS gap or not yet published)</t>
        </is>
      </c>
    </row>
    <row r="53">
      <c r="A53" s="50" t="inlineStr">
        <is>
          <t>1967Q2</t>
        </is>
      </c>
      <c r="B53" s="50" t="n">
        <v>0.344</v>
      </c>
      <c r="C53" s="50" t="n">
        <v>1</v>
      </c>
      <c r="D53" s="50" t="inlineStr">
        <is>
          <t>partial quarter (BLS gap or not yet published)</t>
        </is>
      </c>
    </row>
    <row r="54">
      <c r="A54" s="50" t="inlineStr">
        <is>
          <t>1967Q3</t>
        </is>
      </c>
      <c r="B54" s="50" t="n">
        <v>-0.986</v>
      </c>
      <c r="C54" s="50" t="n">
        <v>1</v>
      </c>
      <c r="D54" s="50" t="inlineStr">
        <is>
          <t>partial quarter (BLS gap or not yet published)</t>
        </is>
      </c>
    </row>
    <row r="55">
      <c r="A55" s="50" t="inlineStr">
        <is>
          <t>1967Q4</t>
        </is>
      </c>
      <c r="B55" s="50" t="n">
        <v>-5.569</v>
      </c>
      <c r="C55" s="50" t="n">
        <v>1</v>
      </c>
      <c r="D55" s="50" t="inlineStr">
        <is>
          <t>partial quarter (BLS gap or not yet published)</t>
        </is>
      </c>
    </row>
    <row r="56">
      <c r="A56" s="50" t="inlineStr">
        <is>
          <t>1968Q1</t>
        </is>
      </c>
      <c r="B56" s="50" t="n">
        <v>-5.345</v>
      </c>
      <c r="C56" s="50" t="n">
        <v>2</v>
      </c>
      <c r="D56" s="50" t="inlineStr">
        <is>
          <t>partial quarter (BLS gap or not yet published)</t>
        </is>
      </c>
    </row>
    <row r="57">
      <c r="A57" s="50" t="inlineStr">
        <is>
          <t>1968Q2</t>
        </is>
      </c>
      <c r="B57" s="50" t="n">
        <v>-0.121</v>
      </c>
      <c r="C57" s="50" t="n">
        <v>2</v>
      </c>
      <c r="D57" s="50" t="inlineStr">
        <is>
          <t>partial quarter (BLS gap or not yet published)</t>
        </is>
      </c>
    </row>
    <row r="58">
      <c r="A58" s="50" t="inlineStr">
        <is>
          <t>1968Q3</t>
        </is>
      </c>
      <c r="B58" s="50" t="n">
        <v>5.56</v>
      </c>
      <c r="C58" s="50" t="n">
        <v>1</v>
      </c>
      <c r="D58" s="50" t="inlineStr">
        <is>
          <t>partial quarter (BLS gap or not yet published)</t>
        </is>
      </c>
    </row>
    <row r="59">
      <c r="A59" s="50" t="inlineStr">
        <is>
          <t>1968Q4</t>
        </is>
      </c>
      <c r="B59" s="50" t="n">
        <v>11.019</v>
      </c>
      <c r="C59" s="50" t="n">
        <v>1</v>
      </c>
      <c r="D59" s="50" t="inlineStr">
        <is>
          <t>partial quarter (BLS gap or not yet published)</t>
        </is>
      </c>
    </row>
    <row r="60">
      <c r="A60" s="50" t="inlineStr">
        <is>
          <t>1969Q1</t>
        </is>
      </c>
      <c r="B60" s="50" t="n">
        <v>10.916</v>
      </c>
      <c r="C60" s="50" t="n">
        <v>2</v>
      </c>
      <c r="D60" s="50" t="inlineStr">
        <is>
          <t>partial quarter (BLS gap or not yet published)</t>
        </is>
      </c>
    </row>
    <row r="61">
      <c r="A61" s="50" t="inlineStr">
        <is>
          <t>1969Q2</t>
        </is>
      </c>
      <c r="B61" s="50" t="n">
        <v>4.2</v>
      </c>
      <c r="C61" s="50" t="n">
        <v>2</v>
      </c>
      <c r="D61" s="50" t="inlineStr">
        <is>
          <t>partial quarter (BLS gap or not yet published)</t>
        </is>
      </c>
    </row>
    <row r="62">
      <c r="A62" s="50" t="inlineStr">
        <is>
          <t>1969Q3</t>
        </is>
      </c>
      <c r="B62" s="50" t="n">
        <v>10.648</v>
      </c>
      <c r="C62" s="50" t="n">
        <v>1</v>
      </c>
      <c r="D62" s="50" t="inlineStr">
        <is>
          <t>partial quarter (BLS gap or not yet published)</t>
        </is>
      </c>
    </row>
    <row r="63">
      <c r="A63" s="50" t="inlineStr">
        <is>
          <t>1969Q4</t>
        </is>
      </c>
      <c r="B63" s="50" t="n">
        <v>2.611</v>
      </c>
      <c r="C63" s="50" t="n">
        <v>1</v>
      </c>
      <c r="D63" s="50" t="inlineStr">
        <is>
          <t>partial quarter (BLS gap or not yet published)</t>
        </is>
      </c>
    </row>
    <row r="64">
      <c r="A64" s="50" t="inlineStr">
        <is>
          <t>1970Q1</t>
        </is>
      </c>
      <c r="B64" s="50" t="n">
        <v>10.318</v>
      </c>
      <c r="C64" s="50" t="n">
        <v>3</v>
      </c>
      <c r="D64" s="50" t="n"/>
    </row>
    <row r="65">
      <c r="A65" s="50" t="inlineStr">
        <is>
          <t>1970Q2</t>
        </is>
      </c>
      <c r="B65" s="50" t="n">
        <v>8.901</v>
      </c>
      <c r="C65" s="50" t="n">
        <v>3</v>
      </c>
      <c r="D65" s="50" t="n"/>
    </row>
    <row r="66">
      <c r="A66" s="50" t="inlineStr">
        <is>
          <t>1970Q3</t>
        </is>
      </c>
      <c r="B66" s="50" t="n">
        <v>3.757</v>
      </c>
      <c r="C66" s="50" t="n">
        <v>3</v>
      </c>
      <c r="D66" s="50" t="n"/>
    </row>
    <row r="67">
      <c r="A67" s="50" t="inlineStr">
        <is>
          <t>1970Q4</t>
        </is>
      </c>
      <c r="B67" s="50" t="n">
        <v>1.82</v>
      </c>
      <c r="C67" s="50" t="n">
        <v>3</v>
      </c>
      <c r="D67" s="50" t="n"/>
    </row>
    <row r="68">
      <c r="A68" s="50" t="inlineStr">
        <is>
          <t>1971Q1</t>
        </is>
      </c>
      <c r="B68" s="50" t="n">
        <v>-2.216</v>
      </c>
      <c r="C68" s="50" t="n">
        <v>3</v>
      </c>
      <c r="D68" s="50" t="n"/>
    </row>
    <row r="69">
      <c r="A69" s="50" t="inlineStr">
        <is>
          <t>1971Q2</t>
        </is>
      </c>
      <c r="B69" s="50" t="n">
        <v>-0.309</v>
      </c>
      <c r="C69" s="50" t="n">
        <v>3</v>
      </c>
      <c r="D69" s="50" t="n"/>
    </row>
    <row r="70">
      <c r="A70" s="50" t="inlineStr">
        <is>
          <t>1971Q3</t>
        </is>
      </c>
      <c r="B70" s="50" t="n">
        <v>2.019</v>
      </c>
      <c r="C70" s="50" t="n">
        <v>3</v>
      </c>
      <c r="D70" s="50" t="n"/>
    </row>
    <row r="71">
      <c r="A71" s="50" t="inlineStr">
        <is>
          <t>1971Q4</t>
        </is>
      </c>
      <c r="B71" s="50" t="n">
        <v>5.81</v>
      </c>
      <c r="C71" s="50" t="n">
        <v>3</v>
      </c>
      <c r="D71" s="50" t="n"/>
    </row>
    <row r="72">
      <c r="A72" s="50" t="inlineStr">
        <is>
          <t>1972Q1</t>
        </is>
      </c>
      <c r="B72" s="50" t="n">
        <v>8.502000000000001</v>
      </c>
      <c r="C72" s="50" t="n">
        <v>3</v>
      </c>
      <c r="D72" s="50" t="n"/>
    </row>
    <row r="73">
      <c r="A73" s="50" t="inlineStr">
        <is>
          <t>1972Q2</t>
        </is>
      </c>
      <c r="B73" s="50" t="n">
        <v>7.277</v>
      </c>
      <c r="C73" s="50" t="n">
        <v>3</v>
      </c>
      <c r="D73" s="50" t="n"/>
    </row>
    <row r="74">
      <c r="A74" s="50" t="inlineStr">
        <is>
          <t>1972Q3</t>
        </is>
      </c>
      <c r="B74" s="50" t="n">
        <v>3.384</v>
      </c>
      <c r="C74" s="50" t="n">
        <v>3</v>
      </c>
      <c r="D74" s="50" t="n"/>
    </row>
    <row r="75">
      <c r="A75" s="50" t="inlineStr">
        <is>
          <t>1972Q4</t>
        </is>
      </c>
      <c r="B75" s="50" t="n">
        <v>-1.453</v>
      </c>
      <c r="C75" s="50" t="n">
        <v>3</v>
      </c>
      <c r="D75" s="50" t="n"/>
    </row>
    <row r="76">
      <c r="A76" s="50" t="inlineStr">
        <is>
          <t>1973Q1</t>
        </is>
      </c>
      <c r="B76" s="50" t="n">
        <v>-4.327</v>
      </c>
      <c r="C76" s="50" t="n">
        <v>3</v>
      </c>
      <c r="D76" s="50" t="n"/>
    </row>
    <row r="77">
      <c r="A77" s="50" t="inlineStr">
        <is>
          <t>1973Q2</t>
        </is>
      </c>
      <c r="B77" s="50" t="n">
        <v>-4.536</v>
      </c>
      <c r="C77" s="50" t="n">
        <v>3</v>
      </c>
      <c r="D77" s="50" t="n"/>
    </row>
    <row r="78">
      <c r="A78" s="50" t="inlineStr">
        <is>
          <t>1973Q3</t>
        </is>
      </c>
      <c r="B78" s="50" t="n">
        <v>-2.083</v>
      </c>
      <c r="C78" s="50" t="n">
        <v>3</v>
      </c>
      <c r="D78" s="50" t="n"/>
    </row>
    <row r="79">
      <c r="A79" s="50" t="inlineStr">
        <is>
          <t>1973Q4</t>
        </is>
      </c>
      <c r="B79" s="50" t="n">
        <v>5.8</v>
      </c>
      <c r="C79" s="50" t="n">
        <v>3</v>
      </c>
      <c r="D79" s="50" t="n"/>
    </row>
    <row r="80">
      <c r="A80" s="50" t="inlineStr">
        <is>
          <t>1974Q1</t>
        </is>
      </c>
      <c r="B80" s="50" t="n">
        <v>14.825</v>
      </c>
      <c r="C80" s="50" t="n">
        <v>3</v>
      </c>
      <c r="D80" s="50" t="n"/>
    </row>
    <row r="81">
      <c r="A81" s="50" t="inlineStr">
        <is>
          <t>1974Q2</t>
        </is>
      </c>
      <c r="B81" s="50" t="n">
        <v>12.744</v>
      </c>
      <c r="C81" s="50" t="n">
        <v>3</v>
      </c>
      <c r="D81" s="50" t="n"/>
    </row>
    <row r="82">
      <c r="A82" s="50" t="inlineStr">
        <is>
          <t>1974Q3</t>
        </is>
      </c>
      <c r="B82" s="50" t="n">
        <v>2.755</v>
      </c>
      <c r="C82" s="50" t="n">
        <v>3</v>
      </c>
      <c r="D82" s="50" t="n"/>
    </row>
    <row r="83">
      <c r="A83" s="50" t="inlineStr">
        <is>
          <t>1974Q4</t>
        </is>
      </c>
      <c r="B83" s="50" t="n">
        <v>-6.422</v>
      </c>
      <c r="C83" s="50" t="n">
        <v>3</v>
      </c>
      <c r="D83" s="50" t="n"/>
    </row>
    <row r="84">
      <c r="A84" s="50" t="inlineStr">
        <is>
          <t>1975Q1</t>
        </is>
      </c>
      <c r="B84" s="50" t="n">
        <v>-14.016</v>
      </c>
      <c r="C84" s="50" t="n">
        <v>3</v>
      </c>
      <c r="D84" s="50" t="n"/>
    </row>
    <row r="85">
      <c r="A85" s="50" t="inlineStr">
        <is>
          <t>1975Q2</t>
        </is>
      </c>
      <c r="B85" s="50" t="n">
        <v>-10.153</v>
      </c>
      <c r="C85" s="50" t="n">
        <v>3</v>
      </c>
      <c r="D85" s="50" t="n"/>
    </row>
    <row r="86">
      <c r="A86" s="50" t="inlineStr">
        <is>
          <t>1975Q3</t>
        </is>
      </c>
      <c r="B86" s="50" t="n">
        <v>-6.196</v>
      </c>
      <c r="C86" s="50" t="n">
        <v>3</v>
      </c>
      <c r="D86" s="50" t="n"/>
    </row>
    <row r="87">
      <c r="A87" s="50" t="inlineStr">
        <is>
          <t>1975Q4</t>
        </is>
      </c>
      <c r="B87" s="50" t="n">
        <v>-0.461</v>
      </c>
      <c r="C87" s="50" t="n">
        <v>3</v>
      </c>
      <c r="D87" s="50" t="n"/>
    </row>
    <row r="88">
      <c r="A88" s="50" t="inlineStr">
        <is>
          <t>1976Q1</t>
        </is>
      </c>
      <c r="B88" s="50" t="n">
        <v>-1.049</v>
      </c>
      <c r="C88" s="50" t="n">
        <v>3</v>
      </c>
      <c r="D88" s="50" t="n"/>
    </row>
    <row r="89">
      <c r="A89" s="50" t="inlineStr">
        <is>
          <t>1976Q2</t>
        </is>
      </c>
      <c r="B89" s="50" t="n">
        <v>-9.571999999999999</v>
      </c>
      <c r="C89" s="50" t="n">
        <v>3</v>
      </c>
      <c r="D89" s="50" t="n"/>
    </row>
    <row r="90">
      <c r="A90" s="50" t="inlineStr">
        <is>
          <t>1976Q3</t>
        </is>
      </c>
      <c r="B90" s="50" t="n">
        <v>-8.007999999999999</v>
      </c>
      <c r="C90" s="50" t="n">
        <v>3</v>
      </c>
      <c r="D90" s="50" t="n"/>
    </row>
    <row r="91">
      <c r="A91" s="50" t="inlineStr">
        <is>
          <t>1976Q4</t>
        </is>
      </c>
      <c r="B91" s="50" t="n">
        <v>-9.837999999999999</v>
      </c>
      <c r="C91" s="50" t="n">
        <v>3</v>
      </c>
      <c r="D91" s="50" t="n"/>
    </row>
    <row r="92">
      <c r="A92" s="50" t="inlineStr">
        <is>
          <t>1977Q1</t>
        </is>
      </c>
      <c r="B92" s="50" t="n">
        <v>-15.611</v>
      </c>
      <c r="C92" s="50" t="n">
        <v>3</v>
      </c>
      <c r="D92" s="50" t="n"/>
    </row>
    <row r="93">
      <c r="A93" s="50" t="inlineStr">
        <is>
          <t>1977Q2</t>
        </is>
      </c>
      <c r="B93" s="50" t="n">
        <v>-6.794</v>
      </c>
      <c r="C93" s="50" t="n">
        <v>3</v>
      </c>
      <c r="D93" s="50" t="n"/>
    </row>
    <row r="94">
      <c r="A94" s="50" t="inlineStr">
        <is>
          <t>1977Q3</t>
        </is>
      </c>
      <c r="B94" s="50" t="n">
        <v>3.408</v>
      </c>
      <c r="C94" s="50" t="n">
        <v>3</v>
      </c>
      <c r="D94" s="50" t="n"/>
    </row>
    <row r="95">
      <c r="A95" s="50" t="inlineStr">
        <is>
          <t>1977Q4</t>
        </is>
      </c>
      <c r="B95" s="50" t="n">
        <v>10.307</v>
      </c>
      <c r="C95" s="50" t="n">
        <v>3</v>
      </c>
      <c r="D95" s="50" t="n"/>
    </row>
    <row r="96">
      <c r="A96" s="50" t="inlineStr">
        <is>
          <t>1978Q1</t>
        </is>
      </c>
      <c r="B96" s="50" t="n">
        <v>12.812</v>
      </c>
      <c r="C96" s="50" t="n">
        <v>3</v>
      </c>
      <c r="D96" s="50" t="n"/>
    </row>
    <row r="97">
      <c r="A97" s="50" t="inlineStr">
        <is>
          <t>1978Q2</t>
        </is>
      </c>
      <c r="B97" s="50" t="n">
        <v>10.875</v>
      </c>
      <c r="C97" s="50" t="n">
        <v>3</v>
      </c>
      <c r="D97" s="50" t="n"/>
    </row>
    <row r="98">
      <c r="A98" s="50" t="inlineStr">
        <is>
          <t>1978Q3</t>
        </is>
      </c>
      <c r="B98" s="50" t="n">
        <v>3.097</v>
      </c>
      <c r="C98" s="50" t="n">
        <v>3</v>
      </c>
      <c r="D98" s="50" t="n"/>
    </row>
    <row r="99">
      <c r="A99" s="50" t="inlineStr">
        <is>
          <t>1978Q4</t>
        </is>
      </c>
      <c r="B99" s="50" t="n">
        <v>-2.433</v>
      </c>
      <c r="C99" s="50" t="n">
        <v>3</v>
      </c>
      <c r="D99" s="50" t="n"/>
    </row>
    <row r="100">
      <c r="A100" s="50" t="inlineStr">
        <is>
          <t>1979Q1</t>
        </is>
      </c>
      <c r="B100" s="50" t="n">
        <v>-4.378</v>
      </c>
      <c r="C100" s="50" t="n">
        <v>3</v>
      </c>
      <c r="D100" s="50" t="n"/>
    </row>
    <row r="101">
      <c r="A101" s="50" t="inlineStr">
        <is>
          <t>1979Q2</t>
        </is>
      </c>
      <c r="B101" s="50" t="n">
        <v>-0.868</v>
      </c>
      <c r="C101" s="50" t="n">
        <v>3</v>
      </c>
      <c r="D101" s="50" t="n"/>
    </row>
    <row r="102">
      <c r="A102" s="50" t="inlineStr">
        <is>
          <t>1979Q3</t>
        </is>
      </c>
      <c r="B102" s="50" t="n">
        <v>5.189</v>
      </c>
      <c r="C102" s="50" t="n">
        <v>3</v>
      </c>
      <c r="D102" s="50" t="n"/>
    </row>
    <row r="103">
      <c r="A103" s="50" t="inlineStr">
        <is>
          <t>1979Q4</t>
        </is>
      </c>
      <c r="B103" s="50" t="n">
        <v>7.885</v>
      </c>
      <c r="C103" s="50" t="n">
        <v>3</v>
      </c>
      <c r="D103" s="50" t="n"/>
    </row>
    <row r="104">
      <c r="A104" s="50" t="inlineStr">
        <is>
          <t>1980Q1</t>
        </is>
      </c>
      <c r="B104" s="50" t="n">
        <v>9.388</v>
      </c>
      <c r="C104" s="50" t="n">
        <v>3</v>
      </c>
      <c r="D104" s="50" t="n"/>
    </row>
    <row r="105">
      <c r="A105" s="50" t="inlineStr">
        <is>
          <t>1980Q2</t>
        </is>
      </c>
      <c r="B105" s="50" t="n">
        <v>13.6</v>
      </c>
      <c r="C105" s="50" t="n">
        <v>3</v>
      </c>
      <c r="D105" s="50" t="n"/>
    </row>
    <row r="106">
      <c r="A106" s="50" t="inlineStr">
        <is>
          <t>1980Q3</t>
        </is>
      </c>
      <c r="B106" s="50" t="n">
        <v>9.544</v>
      </c>
      <c r="C106" s="50" t="n">
        <v>3</v>
      </c>
      <c r="D106" s="50" t="n"/>
    </row>
    <row r="107">
      <c r="A107" s="50" t="inlineStr">
        <is>
          <t>1980Q4</t>
        </is>
      </c>
      <c r="B107" s="50" t="n">
        <v>-4.4</v>
      </c>
      <c r="C107" s="50" t="n">
        <v>3</v>
      </c>
      <c r="D107" s="50" t="n"/>
    </row>
    <row r="108">
      <c r="A108" s="50" t="inlineStr">
        <is>
          <t>1981Q1</t>
        </is>
      </c>
      <c r="B108" s="50" t="n">
        <v>-9.209</v>
      </c>
      <c r="C108" s="50" t="n">
        <v>3</v>
      </c>
      <c r="D108" s="50" t="n"/>
    </row>
    <row r="109">
      <c r="A109" s="50" t="inlineStr">
        <is>
          <t>1981Q2</t>
        </is>
      </c>
      <c r="B109" s="50" t="n">
        <v>-14.207</v>
      </c>
      <c r="C109" s="50" t="n">
        <v>3</v>
      </c>
      <c r="D109" s="50" t="n"/>
    </row>
    <row r="110">
      <c r="A110" s="50" t="inlineStr">
        <is>
          <t>1981Q3</t>
        </is>
      </c>
      <c r="B110" s="50" t="n">
        <v>-18.989</v>
      </c>
      <c r="C110" s="50" t="n">
        <v>3</v>
      </c>
      <c r="D110" s="50" t="n"/>
    </row>
    <row r="111">
      <c r="A111" s="50" t="inlineStr">
        <is>
          <t>1981Q4</t>
        </is>
      </c>
      <c r="B111" s="50" t="n">
        <v>-13.537</v>
      </c>
      <c r="C111" s="50" t="n">
        <v>3</v>
      </c>
      <c r="D111" s="50" t="n"/>
    </row>
    <row r="112">
      <c r="A112" s="50" t="inlineStr">
        <is>
          <t>1982Q1</t>
        </is>
      </c>
      <c r="B112" s="50" t="n">
        <v>-11.574</v>
      </c>
      <c r="C112" s="50" t="n">
        <v>3</v>
      </c>
      <c r="D112" s="50" t="n"/>
    </row>
    <row r="113">
      <c r="A113" s="50" t="inlineStr">
        <is>
          <t>1982Q2</t>
        </is>
      </c>
      <c r="B113" s="50" t="n">
        <v>-10.723</v>
      </c>
      <c r="C113" s="50" t="n">
        <v>3</v>
      </c>
      <c r="D113" s="50" t="n"/>
    </row>
    <row r="114">
      <c r="A114" s="50" t="inlineStr">
        <is>
          <t>1982Q3</t>
        </is>
      </c>
      <c r="B114" s="50" t="n">
        <v>-6.164</v>
      </c>
      <c r="C114" s="50" t="n">
        <v>3</v>
      </c>
      <c r="D114" s="50" t="n"/>
    </row>
    <row r="115">
      <c r="A115" s="50" t="inlineStr">
        <is>
          <t>1982Q4</t>
        </is>
      </c>
      <c r="B115" s="50" t="n">
        <v>-3.988</v>
      </c>
      <c r="C115" s="50" t="n">
        <v>3</v>
      </c>
      <c r="D115" s="50" t="n"/>
    </row>
    <row r="116">
      <c r="A116" s="50" t="inlineStr">
        <is>
          <t>1983Q1</t>
        </is>
      </c>
      <c r="B116" s="50" t="n">
        <v>-4.704</v>
      </c>
      <c r="C116" s="50" t="n">
        <v>3</v>
      </c>
      <c r="D116" s="50" t="n"/>
    </row>
    <row r="117">
      <c r="A117" s="50" t="inlineStr">
        <is>
          <t>1983Q2</t>
        </is>
      </c>
      <c r="B117" s="50" t="n">
        <v>-4.18</v>
      </c>
      <c r="C117" s="50" t="n">
        <v>3</v>
      </c>
      <c r="D117" s="50" t="n"/>
    </row>
    <row r="118">
      <c r="A118" s="50" t="inlineStr">
        <is>
          <t>1983Q3</t>
        </is>
      </c>
      <c r="B118" s="50" t="n">
        <v>-7.127</v>
      </c>
      <c r="C118" s="50" t="n">
        <v>3</v>
      </c>
      <c r="D118" s="50" t="n"/>
    </row>
    <row r="119">
      <c r="A119" s="50" t="inlineStr">
        <is>
          <t>1983Q4</t>
        </is>
      </c>
      <c r="B119" s="50" t="n">
        <v>-10.628</v>
      </c>
      <c r="C119" s="50" t="n">
        <v>3</v>
      </c>
      <c r="D119" s="50" t="n"/>
    </row>
    <row r="120">
      <c r="A120" s="50" t="inlineStr">
        <is>
          <t>1984Q1</t>
        </is>
      </c>
      <c r="B120" s="50" t="n">
        <v>-12.313</v>
      </c>
      <c r="C120" s="50" t="n">
        <v>3</v>
      </c>
      <c r="D120" s="50" t="n"/>
    </row>
    <row r="121">
      <c r="A121" s="50" t="inlineStr">
        <is>
          <t>1984Q2</t>
        </is>
      </c>
      <c r="B121" s="50" t="n">
        <v>-15.181</v>
      </c>
      <c r="C121" s="50" t="n">
        <v>3</v>
      </c>
      <c r="D121" s="50" t="n"/>
    </row>
    <row r="122">
      <c r="A122" s="50" t="inlineStr">
        <is>
          <t>1984Q3</t>
        </is>
      </c>
      <c r="B122" s="50" t="n">
        <v>-10.367</v>
      </c>
      <c r="C122" s="50" t="n">
        <v>3</v>
      </c>
      <c r="D122" s="50" t="n"/>
    </row>
    <row r="123">
      <c r="A123" s="50" t="inlineStr">
        <is>
          <t>1984Q4</t>
        </is>
      </c>
      <c r="B123" s="50" t="n">
        <v>-4.892</v>
      </c>
      <c r="C123" s="50" t="n">
        <v>3</v>
      </c>
      <c r="D123" s="50" t="n"/>
    </row>
    <row r="124">
      <c r="A124" s="50" t="inlineStr">
        <is>
          <t>1985Q1</t>
        </is>
      </c>
      <c r="B124" s="50" t="n">
        <v>-3.948</v>
      </c>
      <c r="C124" s="50" t="n">
        <v>3</v>
      </c>
      <c r="D124" s="50" t="n"/>
    </row>
    <row r="125">
      <c r="A125" s="50" t="inlineStr">
        <is>
          <t>1985Q2</t>
        </is>
      </c>
      <c r="B125" s="50" t="n">
        <v>0.917</v>
      </c>
      <c r="C125" s="50" t="n">
        <v>3</v>
      </c>
      <c r="D125" s="50" t="n"/>
    </row>
    <row r="126">
      <c r="A126" s="50" t="inlineStr">
        <is>
          <t>1985Q3</t>
        </is>
      </c>
      <c r="B126" s="50" t="n">
        <v>4.954</v>
      </c>
      <c r="C126" s="50" t="n">
        <v>3</v>
      </c>
      <c r="D126" s="50" t="n"/>
    </row>
    <row r="127">
      <c r="A127" s="50" t="inlineStr">
        <is>
          <t>1985Q4</t>
        </is>
      </c>
      <c r="B127" s="50" t="n">
        <v>5.105</v>
      </c>
      <c r="C127" s="50" t="n">
        <v>3</v>
      </c>
      <c r="D127" s="50" t="n"/>
    </row>
    <row r="128">
      <c r="A128" s="50" t="inlineStr">
        <is>
          <t>1986Q1</t>
        </is>
      </c>
      <c r="B128" s="50" t="n">
        <v>6.74</v>
      </c>
      <c r="C128" s="50" t="n">
        <v>3</v>
      </c>
      <c r="D128" s="50" t="n"/>
    </row>
    <row r="129">
      <c r="A129" s="50" t="inlineStr">
        <is>
          <t>1986Q2</t>
        </is>
      </c>
      <c r="B129" s="50" t="n">
        <v>8.614000000000001</v>
      </c>
      <c r="C129" s="50" t="n">
        <v>3</v>
      </c>
      <c r="D129" s="50" t="n"/>
    </row>
    <row r="130">
      <c r="A130" s="50" t="inlineStr">
        <is>
          <t>1986Q3</t>
        </is>
      </c>
      <c r="B130" s="50" t="n">
        <v>7.612</v>
      </c>
      <c r="C130" s="50" t="n">
        <v>3</v>
      </c>
      <c r="D130" s="50" t="n"/>
    </row>
    <row r="131">
      <c r="A131" s="50" t="inlineStr">
        <is>
          <t>1986Q4</t>
        </is>
      </c>
      <c r="B131" s="50" t="n">
        <v>7.679</v>
      </c>
      <c r="C131" s="50" t="n">
        <v>3</v>
      </c>
      <c r="D131" s="50" t="n"/>
    </row>
    <row r="132">
      <c r="A132" s="50" t="inlineStr">
        <is>
          <t>1987Q1</t>
        </is>
      </c>
      <c r="B132" s="50" t="n">
        <v>7.112</v>
      </c>
      <c r="C132" s="50" t="n">
        <v>3</v>
      </c>
      <c r="D132" s="50" t="n"/>
    </row>
    <row r="133">
      <c r="A133" s="50" t="inlineStr">
        <is>
          <t>1987Q2</t>
        </is>
      </c>
      <c r="B133" s="50" t="n">
        <v>0.238</v>
      </c>
      <c r="C133" s="50" t="n">
        <v>3</v>
      </c>
      <c r="D133" s="50" t="n"/>
    </row>
    <row r="134">
      <c r="A134" s="50" t="inlineStr">
        <is>
          <t>1987Q3</t>
        </is>
      </c>
      <c r="B134" s="50" t="n">
        <v>-3.461</v>
      </c>
      <c r="C134" s="50" t="n">
        <v>3</v>
      </c>
      <c r="D134" s="50" t="n"/>
    </row>
    <row r="135">
      <c r="A135" s="50" t="inlineStr">
        <is>
          <t>1987Q4</t>
        </is>
      </c>
      <c r="B135" s="50" t="n">
        <v>-3.943</v>
      </c>
      <c r="C135" s="50" t="n">
        <v>3</v>
      </c>
      <c r="D135" s="50" t="n"/>
    </row>
    <row r="136">
      <c r="A136" s="50" t="inlineStr">
        <is>
          <t>1988Q1</t>
        </is>
      </c>
      <c r="B136" s="50" t="n">
        <v>-4.058</v>
      </c>
      <c r="C136" s="50" t="n">
        <v>3</v>
      </c>
      <c r="D136" s="50" t="n"/>
    </row>
    <row r="137">
      <c r="A137" s="50" t="inlineStr">
        <is>
          <t>1988Q2</t>
        </is>
      </c>
      <c r="B137" s="50" t="n">
        <v>0.826</v>
      </c>
      <c r="C137" s="50" t="n">
        <v>3</v>
      </c>
      <c r="D137" s="50" t="n"/>
    </row>
    <row r="138">
      <c r="A138" s="50" t="inlineStr">
        <is>
          <t>1988Q3</t>
        </is>
      </c>
      <c r="B138" s="50" t="n">
        <v>1.838</v>
      </c>
      <c r="C138" s="50" t="n">
        <v>3</v>
      </c>
      <c r="D138" s="50" t="n"/>
    </row>
    <row r="139">
      <c r="A139" s="50" t="inlineStr">
        <is>
          <t>1988Q4</t>
        </is>
      </c>
      <c r="B139" s="50" t="n">
        <v>1.083</v>
      </c>
      <c r="C139" s="50" t="n">
        <v>3</v>
      </c>
      <c r="D139" s="50" t="n"/>
    </row>
    <row r="140">
      <c r="A140" s="50" t="inlineStr">
        <is>
          <t>1989Q1</t>
        </is>
      </c>
      <c r="B140" s="50" t="n">
        <v>0.622</v>
      </c>
      <c r="C140" s="50" t="n">
        <v>3</v>
      </c>
      <c r="D140" s="50" t="n"/>
    </row>
    <row r="141">
      <c r="A141" s="50" t="inlineStr">
        <is>
          <t>1989Q2</t>
        </is>
      </c>
      <c r="B141" s="50" t="n">
        <v>0.776</v>
      </c>
      <c r="C141" s="50" t="n">
        <v>3</v>
      </c>
      <c r="D141" s="50" t="n"/>
    </row>
    <row r="142">
      <c r="A142" s="50" t="inlineStr">
        <is>
          <t>1989Q3</t>
        </is>
      </c>
      <c r="B142" s="50" t="n">
        <v>2.884</v>
      </c>
      <c r="C142" s="50" t="n">
        <v>3</v>
      </c>
      <c r="D142" s="50" t="n"/>
    </row>
    <row r="143">
      <c r="A143" s="50" t="inlineStr">
        <is>
          <t>1989Q4</t>
        </is>
      </c>
      <c r="B143" s="50" t="n">
        <v>4.532</v>
      </c>
      <c r="C143" s="50" t="n">
        <v>3</v>
      </c>
      <c r="D143" s="50" t="n"/>
    </row>
    <row r="144">
      <c r="A144" s="50" t="inlineStr">
        <is>
          <t>1990Q1</t>
        </is>
      </c>
      <c r="B144" s="50" t="n">
        <v>6.306</v>
      </c>
      <c r="C144" s="50" t="n">
        <v>3</v>
      </c>
      <c r="D144" s="50" t="n"/>
    </row>
    <row r="145">
      <c r="A145" s="50" t="inlineStr">
        <is>
          <t>1990Q2</t>
        </is>
      </c>
      <c r="B145" s="50" t="n">
        <v>7.629</v>
      </c>
      <c r="C145" s="50" t="n">
        <v>3</v>
      </c>
      <c r="D145" s="50" t="n"/>
    </row>
    <row r="146">
      <c r="A146" s="50" t="inlineStr">
        <is>
          <t>1990Q3</t>
        </is>
      </c>
      <c r="B146" s="50" t="n">
        <v>5.941</v>
      </c>
      <c r="C146" s="50" t="n">
        <v>3</v>
      </c>
      <c r="D146" s="50" t="n"/>
    </row>
    <row r="147">
      <c r="A147" s="50" t="inlineStr">
        <is>
          <t>1990Q4</t>
        </is>
      </c>
      <c r="B147" s="50" t="n">
        <v>6.392</v>
      </c>
      <c r="C147" s="50" t="n">
        <v>3</v>
      </c>
      <c r="D147" s="50" t="n"/>
    </row>
    <row r="148">
      <c r="A148" s="50" t="inlineStr">
        <is>
          <t>1991Q1</t>
        </is>
      </c>
      <c r="B148" s="50" t="n">
        <v>6.499</v>
      </c>
      <c r="C148" s="50" t="n">
        <v>3</v>
      </c>
      <c r="D148" s="50" t="n"/>
    </row>
    <row r="149">
      <c r="A149" s="50" t="inlineStr">
        <is>
          <t>1991Q2</t>
        </is>
      </c>
      <c r="B149" s="50" t="n">
        <v>4.172</v>
      </c>
      <c r="C149" s="50" t="n">
        <v>3</v>
      </c>
      <c r="D149" s="50" t="n"/>
    </row>
    <row r="150">
      <c r="A150" s="50" t="inlineStr">
        <is>
          <t>1991Q3</t>
        </is>
      </c>
      <c r="B150" s="50" t="n">
        <v>3.324</v>
      </c>
      <c r="C150" s="50" t="n">
        <v>3</v>
      </c>
      <c r="D150" s="50" t="n"/>
    </row>
    <row r="151">
      <c r="A151" s="50" t="inlineStr">
        <is>
          <t>1991Q4</t>
        </is>
      </c>
      <c r="B151" s="50" t="n">
        <v>2.17</v>
      </c>
      <c r="C151" s="50" t="n">
        <v>3</v>
      </c>
      <c r="D151" s="50" t="n"/>
    </row>
    <row r="152">
      <c r="A152" s="50" t="inlineStr">
        <is>
          <t>1992Q1</t>
        </is>
      </c>
      <c r="B152" s="50" t="n">
        <v>3.41</v>
      </c>
      <c r="C152" s="50" t="n">
        <v>3</v>
      </c>
      <c r="D152" s="50" t="n"/>
    </row>
    <row r="153">
      <c r="A153" s="50" t="inlineStr">
        <is>
          <t>1992Q2</t>
        </is>
      </c>
      <c r="B153" s="50" t="n">
        <v>1.355</v>
      </c>
      <c r="C153" s="50" t="n">
        <v>3</v>
      </c>
      <c r="D153" s="50" t="n"/>
    </row>
    <row r="154">
      <c r="A154" s="50" t="inlineStr">
        <is>
          <t>1992Q3</t>
        </is>
      </c>
      <c r="B154" s="50" t="n">
        <v>-1.763</v>
      </c>
      <c r="C154" s="50" t="n">
        <v>3</v>
      </c>
      <c r="D154" s="50" t="n"/>
    </row>
    <row r="155">
      <c r="A155" s="50" t="inlineStr">
        <is>
          <t>1992Q4</t>
        </is>
      </c>
      <c r="B155" s="50" t="n">
        <v>-4.33</v>
      </c>
      <c r="C155" s="50" t="n">
        <v>3</v>
      </c>
      <c r="D155" s="50" t="n"/>
    </row>
    <row r="156">
      <c r="A156" s="50" t="inlineStr">
        <is>
          <t>1993Q1</t>
        </is>
      </c>
      <c r="B156" s="50" t="n">
        <v>-5.501</v>
      </c>
      <c r="C156" s="50" t="n">
        <v>3</v>
      </c>
      <c r="D156" s="50" t="n"/>
    </row>
    <row r="157">
      <c r="A157" s="50" t="inlineStr">
        <is>
          <t>1993Q2</t>
        </is>
      </c>
      <c r="B157" s="50" t="n">
        <v>-5.839</v>
      </c>
      <c r="C157" s="50" t="n">
        <v>3</v>
      </c>
      <c r="D157" s="50" t="n"/>
    </row>
    <row r="158">
      <c r="A158" s="50" t="inlineStr">
        <is>
          <t>1993Q3</t>
        </is>
      </c>
      <c r="B158" s="50" t="n">
        <v>-5.524</v>
      </c>
      <c r="C158" s="50" t="n">
        <v>3</v>
      </c>
      <c r="D158" s="50" t="n"/>
    </row>
    <row r="159">
      <c r="A159" s="50" t="inlineStr">
        <is>
          <t>1993Q4</t>
        </is>
      </c>
      <c r="B159" s="50" t="n">
        <v>-4.998</v>
      </c>
      <c r="C159" s="50" t="n">
        <v>3</v>
      </c>
      <c r="D159" s="50" t="n"/>
    </row>
    <row r="160">
      <c r="A160" s="50" t="inlineStr">
        <is>
          <t>1994Q1</t>
        </is>
      </c>
      <c r="B160" s="50" t="n">
        <v>-3.369</v>
      </c>
      <c r="C160" s="50" t="n">
        <v>3</v>
      </c>
      <c r="D160" s="50" t="n"/>
    </row>
    <row r="161">
      <c r="A161" s="50" t="inlineStr">
        <is>
          <t>1994Q2</t>
        </is>
      </c>
      <c r="B161" s="50" t="n">
        <v>-2.105</v>
      </c>
      <c r="C161" s="50" t="n">
        <v>3</v>
      </c>
      <c r="D161" s="50" t="n"/>
    </row>
    <row r="162">
      <c r="A162" s="50" t="inlineStr">
        <is>
          <t>1994Q3</t>
        </is>
      </c>
      <c r="B162" s="50" t="n">
        <v>-1.887</v>
      </c>
      <c r="C162" s="50" t="n">
        <v>3</v>
      </c>
      <c r="D162" s="50" t="n"/>
    </row>
    <row r="163">
      <c r="A163" s="50" t="inlineStr">
        <is>
          <t>1994Q4</t>
        </is>
      </c>
      <c r="B163" s="50" t="n">
        <v>-4.045</v>
      </c>
      <c r="C163" s="50" t="n">
        <v>3</v>
      </c>
      <c r="D163" s="50" t="n"/>
    </row>
    <row r="164">
      <c r="A164" s="50" t="inlineStr">
        <is>
          <t>1995Q1</t>
        </is>
      </c>
      <c r="B164" s="50" t="n">
        <v>-11.283</v>
      </c>
      <c r="C164" s="50" t="n">
        <v>3</v>
      </c>
      <c r="D164" s="50" t="n"/>
    </row>
    <row r="165">
      <c r="A165" s="50" t="inlineStr">
        <is>
          <t>1995Q2</t>
        </is>
      </c>
      <c r="B165" s="50" t="n">
        <v>-11.568</v>
      </c>
      <c r="C165" s="50" t="n">
        <v>3</v>
      </c>
      <c r="D165" s="50" t="n"/>
    </row>
    <row r="166">
      <c r="A166" s="50" t="inlineStr">
        <is>
          <t>1995Q3</t>
        </is>
      </c>
      <c r="B166" s="50" t="n">
        <v>-6.448</v>
      </c>
      <c r="C166" s="50" t="n">
        <v>3</v>
      </c>
      <c r="D166" s="50" t="n"/>
    </row>
    <row r="167">
      <c r="A167" s="50" t="inlineStr">
        <is>
          <t>1995Q4</t>
        </is>
      </c>
      <c r="B167" s="50" t="n">
        <v>-2.825</v>
      </c>
      <c r="C167" s="50" t="n">
        <v>3</v>
      </c>
      <c r="D167" s="50" t="n"/>
    </row>
    <row r="168">
      <c r="A168" s="50" t="inlineStr">
        <is>
          <t>1996Q1</t>
        </is>
      </c>
      <c r="B168" s="50" t="n">
        <v>0.079</v>
      </c>
      <c r="C168" s="50" t="n">
        <v>3</v>
      </c>
      <c r="D168" s="50" t="n"/>
    </row>
    <row r="169">
      <c r="A169" s="50" t="inlineStr">
        <is>
          <t>1996Q2</t>
        </is>
      </c>
      <c r="B169" s="50" t="n">
        <v>2.666</v>
      </c>
      <c r="C169" s="50" t="n">
        <v>3</v>
      </c>
      <c r="D169" s="50" t="n"/>
    </row>
    <row r="170">
      <c r="A170" s="50" t="inlineStr">
        <is>
          <t>1996Q3</t>
        </is>
      </c>
      <c r="B170" s="50" t="n">
        <v>2.931</v>
      </c>
      <c r="C170" s="50" t="n">
        <v>3</v>
      </c>
      <c r="D170" s="50" t="n"/>
    </row>
    <row r="171">
      <c r="A171" s="50" t="inlineStr">
        <is>
          <t>1996Q4</t>
        </is>
      </c>
      <c r="B171" s="50" t="n">
        <v>4.035</v>
      </c>
      <c r="C171" s="50" t="n">
        <v>3</v>
      </c>
      <c r="D171" s="50" t="n"/>
    </row>
    <row r="172">
      <c r="A172" s="50" t="inlineStr">
        <is>
          <t>1997Q1</t>
        </is>
      </c>
      <c r="B172" s="50" t="n">
        <v>4.948</v>
      </c>
      <c r="C172" s="50" t="n">
        <v>3</v>
      </c>
      <c r="D172" s="50" t="n"/>
    </row>
    <row r="173">
      <c r="A173" s="50" t="inlineStr">
        <is>
          <t>1997Q2</t>
        </is>
      </c>
      <c r="B173" s="50" t="n">
        <v>5.611</v>
      </c>
      <c r="C173" s="50" t="n">
        <v>3</v>
      </c>
      <c r="D173" s="50" t="n"/>
    </row>
    <row r="174">
      <c r="A174" s="50" t="inlineStr">
        <is>
          <t>1997Q3</t>
        </is>
      </c>
      <c r="B174" s="50" t="n">
        <v>7.808</v>
      </c>
      <c r="C174" s="50" t="n">
        <v>3</v>
      </c>
      <c r="D174" s="50" t="n"/>
    </row>
    <row r="175">
      <c r="A175" s="50" t="inlineStr">
        <is>
          <t>1997Q4</t>
        </is>
      </c>
      <c r="B175" s="50" t="n">
        <v>7.761</v>
      </c>
      <c r="C175" s="50" t="n">
        <v>3</v>
      </c>
      <c r="D175" s="50" t="n"/>
    </row>
    <row r="176">
      <c r="A176" s="50" t="inlineStr">
        <is>
          <t>1998Q1</t>
        </is>
      </c>
      <c r="B176" s="50" t="n">
        <v>6.813</v>
      </c>
      <c r="C176" s="50" t="n">
        <v>3</v>
      </c>
      <c r="D176" s="50" t="n"/>
    </row>
    <row r="177">
      <c r="A177" s="50" t="inlineStr">
        <is>
          <t>1998Q2</t>
        </is>
      </c>
      <c r="B177" s="50" t="n">
        <v>4.702</v>
      </c>
      <c r="C177" s="50" t="n">
        <v>3</v>
      </c>
      <c r="D177" s="50" t="n"/>
    </row>
    <row r="178">
      <c r="A178" s="50" t="inlineStr">
        <is>
          <t>1998Q3</t>
        </is>
      </c>
      <c r="B178" s="50" t="n">
        <v>0.866</v>
      </c>
      <c r="C178" s="50" t="n">
        <v>3</v>
      </c>
      <c r="D178" s="50" t="n"/>
    </row>
    <row r="179">
      <c r="A179" s="50" t="inlineStr">
        <is>
          <t>1998Q4</t>
        </is>
      </c>
      <c r="B179" s="50" t="n">
        <v>-0.62</v>
      </c>
      <c r="C179" s="50" t="n">
        <v>3</v>
      </c>
      <c r="D179" s="50" t="n"/>
    </row>
    <row r="180">
      <c r="A180" s="50" t="inlineStr">
        <is>
          <t>1999Q1</t>
        </is>
      </c>
      <c r="B180" s="50" t="n">
        <v>2.379</v>
      </c>
      <c r="C180" s="50" t="n">
        <v>3</v>
      </c>
      <c r="D180" s="50" t="n"/>
    </row>
    <row r="181">
      <c r="A181" s="50" t="inlineStr">
        <is>
          <t>1999Q2</t>
        </is>
      </c>
      <c r="B181" s="50" t="n">
        <v>3.239</v>
      </c>
      <c r="C181" s="50" t="n">
        <v>3</v>
      </c>
      <c r="D181" s="50" t="n"/>
    </row>
    <row r="182">
      <c r="A182" s="50" t="inlineStr">
        <is>
          <t>1999Q3</t>
        </is>
      </c>
      <c r="B182" s="50" t="n">
        <v>1.257</v>
      </c>
      <c r="C182" s="50" t="n">
        <v>3</v>
      </c>
      <c r="D182" s="50" t="n"/>
    </row>
    <row r="183">
      <c r="A183" s="50" t="inlineStr">
        <is>
          <t>1999Q4</t>
        </is>
      </c>
      <c r="B183" s="50" t="n">
        <v>0.851</v>
      </c>
      <c r="C183" s="50" t="n">
        <v>3</v>
      </c>
      <c r="D183" s="50" t="n"/>
    </row>
    <row r="184">
      <c r="A184" s="50" t="inlineStr">
        <is>
          <t>2000Q1</t>
        </is>
      </c>
      <c r="B184" s="50" t="n">
        <v>-0.175</v>
      </c>
      <c r="C184" s="50" t="n">
        <v>3</v>
      </c>
      <c r="D184" s="50" t="n"/>
    </row>
    <row r="185">
      <c r="A185" s="50" t="inlineStr">
        <is>
          <t>2000Q2</t>
        </is>
      </c>
      <c r="B185" s="50" t="n">
        <v>-0.696</v>
      </c>
      <c r="C185" s="50" t="n">
        <v>3</v>
      </c>
      <c r="D185" s="50" t="n"/>
    </row>
    <row r="186">
      <c r="A186" s="50" t="inlineStr">
        <is>
          <t>2000Q3</t>
        </is>
      </c>
      <c r="B186" s="50" t="n">
        <v>2.24</v>
      </c>
      <c r="C186" s="50" t="n">
        <v>3</v>
      </c>
      <c r="D186" s="50" t="n"/>
    </row>
    <row r="187">
      <c r="A187" s="50" t="inlineStr">
        <is>
          <t>2000Q4</t>
        </is>
      </c>
      <c r="B187" s="50" t="n">
        <v>1.452</v>
      </c>
      <c r="C187" s="50" t="n">
        <v>3</v>
      </c>
      <c r="D187" s="50" t="n"/>
    </row>
    <row r="188">
      <c r="A188" s="50" t="inlineStr">
        <is>
          <t>2001Q1</t>
        </is>
      </c>
      <c r="B188" s="50" t="n">
        <v>-1.041</v>
      </c>
      <c r="C188" s="50" t="n">
        <v>3</v>
      </c>
      <c r="D188" s="50" t="n"/>
    </row>
    <row r="189">
      <c r="A189" s="50" t="inlineStr">
        <is>
          <t>2001Q2</t>
        </is>
      </c>
      <c r="B189" s="50" t="n">
        <v>0.709</v>
      </c>
      <c r="C189" s="50" t="n">
        <v>3</v>
      </c>
      <c r="D189" s="50" t="n"/>
    </row>
    <row r="190">
      <c r="A190" s="50" t="inlineStr">
        <is>
          <t>2001Q3</t>
        </is>
      </c>
      <c r="B190" s="50" t="n">
        <v>1.965</v>
      </c>
      <c r="C190" s="50" t="n">
        <v>3</v>
      </c>
      <c r="D190" s="50" t="n"/>
    </row>
    <row r="191">
      <c r="A191" s="50" t="inlineStr">
        <is>
          <t>2001Q4</t>
        </is>
      </c>
      <c r="B191" s="50" t="n">
        <v>4.678</v>
      </c>
      <c r="C191" s="50" t="n">
        <v>3</v>
      </c>
      <c r="D191" s="50" t="n"/>
    </row>
    <row r="192">
      <c r="A192" s="50" t="inlineStr">
        <is>
          <t>2002Q1</t>
        </is>
      </c>
      <c r="B192" s="50" t="n">
        <v>7.615</v>
      </c>
      <c r="C192" s="50" t="n">
        <v>3</v>
      </c>
      <c r="D192" s="50" t="n"/>
    </row>
    <row r="193">
      <c r="A193" s="50" t="inlineStr">
        <is>
          <t>2002Q2</t>
        </is>
      </c>
      <c r="B193" s="50" t="n">
        <v>8.568</v>
      </c>
      <c r="C193" s="50" t="n">
        <v>3</v>
      </c>
      <c r="D193" s="50" t="n"/>
    </row>
    <row r="194">
      <c r="A194" s="50" t="inlineStr">
        <is>
          <t>2002Q3</t>
        </is>
      </c>
      <c r="B194" s="50" t="n">
        <v>6.796</v>
      </c>
      <c r="C194" s="50" t="n">
        <v>3</v>
      </c>
      <c r="D194" s="50" t="n"/>
    </row>
    <row r="195">
      <c r="A195" s="50" t="inlineStr">
        <is>
          <t>2002Q4</t>
        </is>
      </c>
      <c r="B195" s="50" t="n">
        <v>8.583</v>
      </c>
      <c r="C195" s="50" t="n">
        <v>3</v>
      </c>
      <c r="D195" s="50" t="n"/>
    </row>
    <row r="196">
      <c r="A196" s="50" t="inlineStr">
        <is>
          <t>2003Q1</t>
        </is>
      </c>
      <c r="B196" s="50" t="n">
        <v>6.898</v>
      </c>
      <c r="C196" s="50" t="n">
        <v>3</v>
      </c>
      <c r="D196" s="50" t="n"/>
    </row>
    <row r="197">
      <c r="A197" s="50" t="inlineStr">
        <is>
          <t>2003Q2</t>
        </is>
      </c>
      <c r="B197" s="50" t="n">
        <v>5.414</v>
      </c>
      <c r="C197" s="50" t="n">
        <v>3</v>
      </c>
      <c r="D197" s="50" t="n"/>
    </row>
    <row r="198">
      <c r="A198" s="50" t="inlineStr">
        <is>
          <t>2003Q3</t>
        </is>
      </c>
      <c r="B198" s="50" t="n">
        <v>9.359</v>
      </c>
      <c r="C198" s="50" t="n">
        <v>3</v>
      </c>
      <c r="D198" s="50" t="n"/>
    </row>
    <row r="199">
      <c r="A199" s="50" t="inlineStr">
        <is>
          <t>2003Q4</t>
        </is>
      </c>
      <c r="B199" s="50" t="n">
        <v>13.6</v>
      </c>
      <c r="C199" s="50" t="n">
        <v>3</v>
      </c>
      <c r="D199" s="50" t="n"/>
    </row>
    <row r="200">
      <c r="A200" s="50" t="inlineStr">
        <is>
          <t>2004Q1</t>
        </is>
      </c>
      <c r="B200" s="50" t="n">
        <v>13.854</v>
      </c>
      <c r="C200" s="50" t="n">
        <v>3</v>
      </c>
      <c r="D200" s="50" t="n"/>
    </row>
    <row r="201">
      <c r="A201" s="50" t="inlineStr">
        <is>
          <t>2004Q2</t>
        </is>
      </c>
      <c r="B201" s="50" t="n">
        <v>13.441</v>
      </c>
      <c r="C201" s="50" t="n">
        <v>3</v>
      </c>
      <c r="D201" s="50" t="n"/>
    </row>
    <row r="202">
      <c r="A202" s="50" t="inlineStr">
        <is>
          <t>2004Q3</t>
        </is>
      </c>
      <c r="B202" s="50" t="n">
        <v>8.285</v>
      </c>
      <c r="C202" s="50" t="n">
        <v>3</v>
      </c>
      <c r="D202" s="50" t="n"/>
    </row>
    <row r="203">
      <c r="A203" s="50" t="inlineStr">
        <is>
          <t>2004Q4</t>
        </is>
      </c>
      <c r="B203" s="50" t="n">
        <v>-0.541</v>
      </c>
      <c r="C203" s="50" t="n">
        <v>3</v>
      </c>
      <c r="D203" s="50" t="n"/>
    </row>
    <row r="204">
      <c r="A204" s="50" t="inlineStr">
        <is>
          <t>2005Q1</t>
        </is>
      </c>
      <c r="B204" s="50" t="n">
        <v>-2.063</v>
      </c>
      <c r="C204" s="50" t="n">
        <v>3</v>
      </c>
      <c r="D204" s="50" t="n"/>
    </row>
    <row r="205">
      <c r="A205" s="50" t="inlineStr">
        <is>
          <t>2005Q2</t>
        </is>
      </c>
      <c r="B205" s="50" t="n">
        <v>-2.622</v>
      </c>
      <c r="C205" s="50" t="n">
        <v>3</v>
      </c>
      <c r="D205" s="50" t="n"/>
    </row>
    <row r="206">
      <c r="A206" s="50" t="inlineStr">
        <is>
          <t>2005Q3</t>
        </is>
      </c>
      <c r="B206" s="50" t="n">
        <v>-2.037</v>
      </c>
      <c r="C206" s="50" t="n">
        <v>3</v>
      </c>
      <c r="D206" s="50" t="n"/>
    </row>
    <row r="207">
      <c r="A207" s="50" t="inlineStr">
        <is>
          <t>2005Q4</t>
        </is>
      </c>
      <c r="B207" s="50" t="n">
        <v>1.755</v>
      </c>
      <c r="C207" s="50" t="n">
        <v>3</v>
      </c>
      <c r="D207" s="50" t="n"/>
    </row>
    <row r="208">
      <c r="A208" s="50" t="inlineStr">
        <is>
          <t>2006Q1</t>
        </is>
      </c>
      <c r="B208" s="50" t="n">
        <v>2.611</v>
      </c>
      <c r="C208" s="50" t="n">
        <v>3</v>
      </c>
      <c r="D208" s="50" t="n"/>
    </row>
    <row r="209">
      <c r="A209" s="50" t="inlineStr">
        <is>
          <t>2006Q2</t>
        </is>
      </c>
      <c r="B209" s="50" t="n">
        <v>3.034</v>
      </c>
      <c r="C209" s="50" t="n">
        <v>3</v>
      </c>
      <c r="D209" s="50" t="n"/>
    </row>
    <row r="210">
      <c r="A210" s="50" t="inlineStr">
        <is>
          <t>2006Q3</t>
        </is>
      </c>
      <c r="B210" s="50" t="n">
        <v>4.133</v>
      </c>
      <c r="C210" s="50" t="n">
        <v>3</v>
      </c>
      <c r="D210" s="50" t="n"/>
    </row>
    <row r="211">
      <c r="A211" s="50" t="inlineStr">
        <is>
          <t>2006Q4</t>
        </is>
      </c>
      <c r="B211" s="50" t="n">
        <v>5.459</v>
      </c>
      <c r="C211" s="50" t="n">
        <v>3</v>
      </c>
      <c r="D211" s="50" t="n"/>
    </row>
    <row r="212">
      <c r="A212" s="50" t="inlineStr">
        <is>
          <t>2007Q1</t>
        </is>
      </c>
      <c r="B212" s="50" t="n">
        <v>7.156</v>
      </c>
      <c r="C212" s="50" t="n">
        <v>3</v>
      </c>
      <c r="D212" s="50" t="n"/>
    </row>
    <row r="213">
      <c r="A213" s="50" t="inlineStr">
        <is>
          <t>2007Q2</t>
        </is>
      </c>
      <c r="B213" s="50" t="n">
        <v>7.845</v>
      </c>
      <c r="C213" s="50" t="n">
        <v>3</v>
      </c>
      <c r="D213" s="50" t="n"/>
    </row>
    <row r="214">
      <c r="A214" s="50" t="inlineStr">
        <is>
          <t>2007Q3</t>
        </is>
      </c>
      <c r="B214" s="50" t="n">
        <v>6.94</v>
      </c>
      <c r="C214" s="50" t="n">
        <v>3</v>
      </c>
      <c r="D214" s="50" t="n"/>
    </row>
    <row r="215">
      <c r="A215" s="50" t="inlineStr">
        <is>
          <t>2007Q4</t>
        </is>
      </c>
      <c r="B215" s="50" t="n">
        <v>3.738</v>
      </c>
      <c r="C215" s="50" t="n">
        <v>3</v>
      </c>
      <c r="D215" s="50" t="n"/>
    </row>
    <row r="216">
      <c r="A216" s="50" t="inlineStr">
        <is>
          <t>2008Q1</t>
        </is>
      </c>
      <c r="B216" s="50" t="n">
        <v>1.983</v>
      </c>
      <c r="C216" s="50" t="n">
        <v>3</v>
      </c>
      <c r="D216" s="50" t="n"/>
    </row>
    <row r="217">
      <c r="A217" s="50" t="inlineStr">
        <is>
          <t>2008Q2</t>
        </is>
      </c>
      <c r="B217" s="50" t="n">
        <v>3.124</v>
      </c>
      <c r="C217" s="50" t="n">
        <v>3</v>
      </c>
      <c r="D217" s="50" t="n"/>
    </row>
    <row r="218">
      <c r="A218" s="50" t="inlineStr">
        <is>
          <t>2008Q3</t>
        </is>
      </c>
      <c r="B218" s="50" t="n">
        <v>6.885</v>
      </c>
      <c r="C218" s="50" t="n">
        <v>3</v>
      </c>
      <c r="D218" s="50" t="n"/>
    </row>
    <row r="219">
      <c r="A219" s="50" t="inlineStr">
        <is>
          <t>2008Q4</t>
        </is>
      </c>
      <c r="B219" s="50" t="n">
        <v>12.723</v>
      </c>
      <c r="C219" s="50" t="n">
        <v>3</v>
      </c>
      <c r="D219" s="50" t="n"/>
    </row>
    <row r="220">
      <c r="A220" s="50" t="inlineStr">
        <is>
          <t>2009Q1</t>
        </is>
      </c>
      <c r="B220" s="50" t="n">
        <v>16.058</v>
      </c>
      <c r="C220" s="50" t="n">
        <v>3</v>
      </c>
      <c r="D220" s="50" t="n"/>
    </row>
    <row r="221">
      <c r="A221" s="50" t="inlineStr">
        <is>
          <t>2009Q2</t>
        </is>
      </c>
      <c r="B221" s="50" t="n">
        <v>14.658</v>
      </c>
      <c r="C221" s="50" t="n">
        <v>3</v>
      </c>
      <c r="D221" s="50" t="n"/>
    </row>
    <row r="222">
      <c r="A222" s="50" t="inlineStr">
        <is>
          <t>2009Q3</t>
        </is>
      </c>
      <c r="B222" s="50" t="n">
        <v>8.598000000000001</v>
      </c>
      <c r="C222" s="50" t="n">
        <v>3</v>
      </c>
      <c r="D222" s="50" t="n"/>
    </row>
    <row r="223">
      <c r="A223" s="50" t="inlineStr">
        <is>
          <t>2009Q4</t>
        </is>
      </c>
      <c r="B223" s="50" t="n">
        <v>-2.982</v>
      </c>
      <c r="C223" s="50" t="n">
        <v>3</v>
      </c>
      <c r="D223" s="50" t="n"/>
    </row>
    <row r="224">
      <c r="A224" s="50" t="inlineStr">
        <is>
          <t>2010Q1</t>
        </is>
      </c>
      <c r="B224" s="50" t="n">
        <v>-12.14</v>
      </c>
      <c r="C224" s="50" t="n">
        <v>3</v>
      </c>
      <c r="D224" s="50" t="n"/>
    </row>
    <row r="225">
      <c r="A225" s="50" t="inlineStr">
        <is>
          <t>2010Q2</t>
        </is>
      </c>
      <c r="B225" s="50" t="n">
        <v>-14.326</v>
      </c>
      <c r="C225" s="50" t="n">
        <v>3</v>
      </c>
      <c r="D225" s="50" t="n"/>
    </row>
    <row r="226">
      <c r="A226" s="50" t="inlineStr">
        <is>
          <t>2010Q3</t>
        </is>
      </c>
      <c r="B226" s="50" t="n">
        <v>-13.226</v>
      </c>
      <c r="C226" s="50" t="n">
        <v>3</v>
      </c>
      <c r="D226" s="50" t="n"/>
    </row>
    <row r="227">
      <c r="A227" s="50" t="inlineStr">
        <is>
          <t>2010Q4</t>
        </is>
      </c>
      <c r="B227" s="50" t="n">
        <v>-4.248</v>
      </c>
      <c r="C227" s="50" t="n">
        <v>3</v>
      </c>
      <c r="D227" s="50" t="n"/>
    </row>
    <row r="228">
      <c r="A228" s="50" t="inlineStr">
        <is>
          <t>2011Q1</t>
        </is>
      </c>
      <c r="B228" s="50" t="n">
        <v>-0.302</v>
      </c>
      <c r="C228" s="50" t="n">
        <v>3</v>
      </c>
      <c r="D228" s="50" t="n"/>
    </row>
    <row r="229">
      <c r="A229" s="50" t="inlineStr">
        <is>
          <t>2011Q2</t>
        </is>
      </c>
      <c r="B229" s="50" t="n">
        <v>-2.268</v>
      </c>
      <c r="C229" s="50" t="n">
        <v>3</v>
      </c>
      <c r="D229" s="50" t="n"/>
    </row>
    <row r="230">
      <c r="A230" s="50" t="inlineStr">
        <is>
          <t>2011Q3</t>
        </is>
      </c>
      <c r="B230" s="50" t="n">
        <v>-3.104</v>
      </c>
      <c r="C230" s="50" t="n">
        <v>3</v>
      </c>
      <c r="D230" s="50" t="n"/>
    </row>
    <row r="231">
      <c r="A231" s="50" t="inlineStr">
        <is>
          <t>2011Q4</t>
        </is>
      </c>
      <c r="B231" s="50" t="n">
        <v>-2.39</v>
      </c>
      <c r="C231" s="50" t="n">
        <v>3</v>
      </c>
      <c r="D231" s="50" t="n"/>
    </row>
    <row r="232">
      <c r="A232" s="50" t="inlineStr">
        <is>
          <t>2012Q1</t>
        </is>
      </c>
      <c r="B232" s="50" t="n">
        <v>-0.75</v>
      </c>
      <c r="C232" s="50" t="n">
        <v>3</v>
      </c>
      <c r="D232" s="50" t="n"/>
    </row>
    <row r="233">
      <c r="A233" s="50" t="inlineStr">
        <is>
          <t>2012Q2</t>
        </is>
      </c>
      <c r="B233" s="50" t="n">
        <v>-1.106</v>
      </c>
      <c r="C233" s="50" t="n">
        <v>3</v>
      </c>
      <c r="D233" s="50" t="n"/>
    </row>
    <row r="234">
      <c r="A234" s="50" t="inlineStr">
        <is>
          <t>2012Q3</t>
        </is>
      </c>
      <c r="B234" s="50" t="n">
        <v>1.934</v>
      </c>
      <c r="C234" s="50" t="n">
        <v>3</v>
      </c>
      <c r="D234" s="50" t="n"/>
    </row>
    <row r="235">
      <c r="A235" s="50" t="inlineStr">
        <is>
          <t>2012Q4</t>
        </is>
      </c>
      <c r="B235" s="50" t="n">
        <v>3.321</v>
      </c>
      <c r="C235" s="50" t="n">
        <v>3</v>
      </c>
      <c r="D235" s="50" t="n"/>
    </row>
    <row r="236">
      <c r="A236" s="50" t="inlineStr">
        <is>
          <t>2013Q1</t>
        </is>
      </c>
      <c r="B236" s="50" t="n">
        <v>1.794</v>
      </c>
      <c r="C236" s="50" t="n">
        <v>3</v>
      </c>
      <c r="D236" s="50" t="n"/>
    </row>
    <row r="237">
      <c r="A237" s="50" t="inlineStr">
        <is>
          <t>2013Q2</t>
        </is>
      </c>
      <c r="B237" s="50" t="n">
        <v>2.955</v>
      </c>
      <c r="C237" s="50" t="n">
        <v>3</v>
      </c>
      <c r="D237" s="50" t="n"/>
    </row>
    <row r="238">
      <c r="A238" s="50" t="inlineStr">
        <is>
          <t>2013Q3</t>
        </is>
      </c>
      <c r="B238" s="50" t="n">
        <v>2.791</v>
      </c>
      <c r="C238" s="50" t="n">
        <v>3</v>
      </c>
      <c r="D238" s="50" t="n"/>
    </row>
    <row r="239">
      <c r="A239" s="50" t="inlineStr">
        <is>
          <t>2013Q4</t>
        </is>
      </c>
      <c r="B239" s="50" t="n">
        <v>-0.171</v>
      </c>
      <c r="C239" s="50" t="n">
        <v>3</v>
      </c>
      <c r="D239" s="50" t="n"/>
    </row>
    <row r="240">
      <c r="A240" s="50" t="inlineStr">
        <is>
          <t>2014Q1</t>
        </is>
      </c>
      <c r="B240" s="50" t="n">
        <v>0.84</v>
      </c>
      <c r="C240" s="50" t="n">
        <v>3</v>
      </c>
      <c r="D240" s="50" t="n"/>
    </row>
    <row r="241">
      <c r="A241" s="50" t="inlineStr">
        <is>
          <t>2014Q2</t>
        </is>
      </c>
      <c r="B241" s="50" t="n">
        <v>1.388</v>
      </c>
      <c r="C241" s="50" t="n">
        <v>3</v>
      </c>
      <c r="D241" s="50" t="n"/>
    </row>
    <row r="242">
      <c r="A242" s="50" t="inlineStr">
        <is>
          <t>2014Q3</t>
        </is>
      </c>
      <c r="B242" s="50" t="n">
        <v>1.581</v>
      </c>
      <c r="C242" s="50" t="n">
        <v>3</v>
      </c>
      <c r="D242" s="50" t="n"/>
    </row>
    <row r="243">
      <c r="A243" s="50" t="inlineStr">
        <is>
          <t>2014Q4</t>
        </is>
      </c>
      <c r="B243" s="50" t="n">
        <v>5.011</v>
      </c>
      <c r="C243" s="50" t="n">
        <v>3</v>
      </c>
      <c r="D243" s="50" t="n"/>
    </row>
    <row r="244">
      <c r="A244" s="50" t="inlineStr">
        <is>
          <t>2015Q1</t>
        </is>
      </c>
      <c r="B244" s="50" t="n">
        <v>4.552</v>
      </c>
      <c r="C244" s="50" t="n">
        <v>3</v>
      </c>
      <c r="D244" s="50" t="n"/>
    </row>
    <row r="245">
      <c r="A245" s="50" t="inlineStr">
        <is>
          <t>2015Q2</t>
        </is>
      </c>
      <c r="B245" s="50" t="n">
        <v>2.615</v>
      </c>
      <c r="C245" s="50" t="n">
        <v>3</v>
      </c>
      <c r="D245" s="50" t="n"/>
    </row>
    <row r="246">
      <c r="A246" s="50" t="inlineStr">
        <is>
          <t>2015Q3</t>
        </is>
      </c>
      <c r="B246" s="50" t="n">
        <v>3.159</v>
      </c>
      <c r="C246" s="50" t="n">
        <v>3</v>
      </c>
      <c r="D246" s="50" t="n"/>
    </row>
    <row r="247">
      <c r="A247" s="50" t="inlineStr">
        <is>
          <t>2015Q4</t>
        </is>
      </c>
      <c r="B247" s="50" t="n">
        <v>2.019</v>
      </c>
      <c r="C247" s="50" t="n">
        <v>3</v>
      </c>
      <c r="D247" s="50" t="n"/>
    </row>
    <row r="248">
      <c r="A248" s="50" t="inlineStr">
        <is>
          <t>2016Q1</t>
        </is>
      </c>
      <c r="B248" s="50" t="n">
        <v>1.401</v>
      </c>
      <c r="C248" s="50" t="n">
        <v>3</v>
      </c>
      <c r="D248" s="50" t="n"/>
    </row>
    <row r="249">
      <c r="A249" s="50" t="inlineStr">
        <is>
          <t>2016Q2</t>
        </is>
      </c>
      <c r="B249" s="50" t="n">
        <v>4.047</v>
      </c>
      <c r="C249" s="50" t="n">
        <v>3</v>
      </c>
      <c r="D249" s="50" t="n"/>
    </row>
    <row r="250">
      <c r="A250" s="50" t="inlineStr">
        <is>
          <t>2016Q3</t>
        </is>
      </c>
      <c r="B250" s="50" t="n">
        <v>5.685</v>
      </c>
      <c r="C250" s="50" t="n">
        <v>3</v>
      </c>
      <c r="D250" s="50" t="n"/>
    </row>
    <row r="251">
      <c r="A251" s="50" t="inlineStr">
        <is>
          <t>2016Q4</t>
        </is>
      </c>
      <c r="B251" s="50" t="n">
        <v>5.52</v>
      </c>
      <c r="C251" s="50" t="n">
        <v>3</v>
      </c>
      <c r="D251" s="50" t="n"/>
    </row>
    <row r="252">
      <c r="A252" s="50" t="inlineStr">
        <is>
          <t>2017Q1</t>
        </is>
      </c>
      <c r="B252" s="50" t="n">
        <v>6.488</v>
      </c>
      <c r="C252" s="50" t="n">
        <v>3</v>
      </c>
      <c r="D252" s="50" t="n"/>
    </row>
    <row r="253">
      <c r="A253" s="50" t="inlineStr">
        <is>
          <t>2017Q2</t>
        </is>
      </c>
      <c r="B253" s="50" t="n">
        <v>6.122</v>
      </c>
      <c r="C253" s="50" t="n">
        <v>3</v>
      </c>
      <c r="D253" s="50" t="n"/>
    </row>
    <row r="254">
      <c r="A254" s="50" t="inlineStr">
        <is>
          <t>2017Q3</t>
        </is>
      </c>
      <c r="B254" s="50" t="n">
        <v>5.689</v>
      </c>
      <c r="C254" s="50" t="n">
        <v>3</v>
      </c>
      <c r="D254" s="50" t="n"/>
    </row>
    <row r="255">
      <c r="A255" s="50" t="inlineStr">
        <is>
          <t>2017Q4</t>
        </is>
      </c>
      <c r="B255" s="50" t="n">
        <v>4.144</v>
      </c>
      <c r="C255" s="50" t="n">
        <v>3</v>
      </c>
      <c r="D255" s="50" t="n"/>
    </row>
    <row r="256">
      <c r="A256" s="50" t="inlineStr">
        <is>
          <t>2018Q1</t>
        </is>
      </c>
      <c r="B256" s="50" t="n">
        <v>1.553</v>
      </c>
      <c r="C256" s="50" t="n">
        <v>3</v>
      </c>
      <c r="D256" s="50" t="n"/>
    </row>
    <row r="257">
      <c r="A257" s="50" t="inlineStr">
        <is>
          <t>2018Q2</t>
        </is>
      </c>
      <c r="B257" s="50" t="n">
        <v>2.887</v>
      </c>
      <c r="C257" s="50" t="n">
        <v>3</v>
      </c>
      <c r="D257" s="50" t="n"/>
    </row>
    <row r="258">
      <c r="A258" s="50" t="inlineStr">
        <is>
          <t>2018Q3</t>
        </is>
      </c>
      <c r="B258" s="50" t="n">
        <v>2.067</v>
      </c>
      <c r="C258" s="50" t="n">
        <v>3</v>
      </c>
      <c r="D258" s="50" t="n"/>
    </row>
    <row r="259">
      <c r="A259" s="50" t="inlineStr">
        <is>
          <t>2018Q4</t>
        </is>
      </c>
      <c r="B259" s="50" t="n">
        <v>0.969</v>
      </c>
      <c r="C259" s="50" t="n">
        <v>3</v>
      </c>
      <c r="D259" s="50" t="n"/>
    </row>
    <row r="260">
      <c r="A260" s="50" t="inlineStr">
        <is>
          <t>2019Q1</t>
        </is>
      </c>
      <c r="B260" s="50" t="n">
        <v>1.986</v>
      </c>
      <c r="C260" s="50" t="n">
        <v>3</v>
      </c>
      <c r="D260" s="50" t="n"/>
    </row>
    <row r="261">
      <c r="A261" s="50" t="inlineStr">
        <is>
          <t>2019Q2</t>
        </is>
      </c>
      <c r="B261" s="50" t="n">
        <v>2.806</v>
      </c>
      <c r="C261" s="50" t="n">
        <v>3</v>
      </c>
      <c r="D261" s="50" t="n"/>
    </row>
    <row r="262">
      <c r="A262" s="50" t="inlineStr">
        <is>
          <t>2019Q3</t>
        </is>
      </c>
      <c r="B262" s="50" t="n">
        <v>1.459</v>
      </c>
      <c r="C262" s="50" t="n">
        <v>3</v>
      </c>
      <c r="D262" s="50" t="n"/>
    </row>
    <row r="263">
      <c r="A263" s="50" t="inlineStr">
        <is>
          <t>2019Q4</t>
        </is>
      </c>
      <c r="B263" s="50" t="n">
        <v>3.225</v>
      </c>
      <c r="C263" s="50" t="n">
        <v>3</v>
      </c>
      <c r="D263" s="50" t="n"/>
    </row>
    <row r="264">
      <c r="A264" s="50" t="inlineStr">
        <is>
          <t>2020Q1</t>
        </is>
      </c>
      <c r="B264" s="50" t="n">
        <v>4.419</v>
      </c>
      <c r="C264" s="50" t="n">
        <v>3</v>
      </c>
      <c r="D264" s="50" t="n"/>
    </row>
    <row r="265">
      <c r="A265" s="50" t="inlineStr">
        <is>
          <t>2020Q2</t>
        </is>
      </c>
      <c r="B265" s="50" t="n">
        <v>4.701</v>
      </c>
      <c r="C265" s="50" t="n">
        <v>3</v>
      </c>
      <c r="D265" s="50" t="n"/>
    </row>
    <row r="266">
      <c r="A266" s="50" t="inlineStr">
        <is>
          <t>2020Q3</t>
        </is>
      </c>
      <c r="B266" s="50" t="n">
        <v>-1.133</v>
      </c>
      <c r="C266" s="50" t="n">
        <v>3</v>
      </c>
      <c r="D266" s="50" t="n"/>
    </row>
    <row r="267">
      <c r="A267" s="50" t="inlineStr">
        <is>
          <t>2020Q4</t>
        </is>
      </c>
      <c r="B267" s="50" t="n">
        <v>-7.403</v>
      </c>
      <c r="C267" s="50" t="n">
        <v>3</v>
      </c>
      <c r="D267" s="50" t="n"/>
    </row>
    <row r="268">
      <c r="A268" s="50" t="inlineStr">
        <is>
          <t>2021Q1</t>
        </is>
      </c>
      <c r="B268" s="50" t="n">
        <v>-6.188</v>
      </c>
      <c r="C268" s="50" t="n">
        <v>3</v>
      </c>
      <c r="D268" s="50" t="n"/>
    </row>
    <row r="269">
      <c r="A269" s="50" t="inlineStr">
        <is>
          <t>2021Q2</t>
        </is>
      </c>
      <c r="B269" s="50" t="n">
        <v>-28.83</v>
      </c>
      <c r="C269" s="50" t="n">
        <v>3</v>
      </c>
      <c r="D269" s="50" t="n"/>
    </row>
    <row r="270">
      <c r="A270" s="50" t="inlineStr">
        <is>
          <t>2021Q3</t>
        </is>
      </c>
      <c r="B270" s="50" t="n">
        <v>-28.565</v>
      </c>
      <c r="C270" s="50" t="n">
        <v>3</v>
      </c>
      <c r="D270" s="50" t="n"/>
    </row>
    <row r="271">
      <c r="A271" s="50" t="inlineStr">
        <is>
          <t>2021Q4</t>
        </is>
      </c>
      <c r="B271" s="50" t="n">
        <v>-26.722</v>
      </c>
      <c r="C271" s="50" t="n">
        <v>3</v>
      </c>
      <c r="D271" s="50" t="n"/>
    </row>
    <row r="272">
      <c r="A272" s="50" t="inlineStr">
        <is>
          <t>2022Q1</t>
        </is>
      </c>
      <c r="B272" s="50" t="n">
        <v>-33.698</v>
      </c>
      <c r="C272" s="50" t="n">
        <v>3</v>
      </c>
      <c r="D272" s="50" t="n"/>
    </row>
    <row r="273">
      <c r="A273" s="50" t="inlineStr">
        <is>
          <t>2022Q2</t>
        </is>
      </c>
      <c r="B273" s="50" t="n">
        <v>-8.894</v>
      </c>
      <c r="C273" s="50" t="n">
        <v>3</v>
      </c>
      <c r="D273" s="50" t="n"/>
    </row>
    <row r="274">
      <c r="A274" s="50" t="inlineStr">
        <is>
          <t>2022Q3</t>
        </is>
      </c>
      <c r="B274" s="50" t="n">
        <v>2.223</v>
      </c>
      <c r="C274" s="50" t="n">
        <v>3</v>
      </c>
      <c r="D274" s="50" t="n"/>
    </row>
    <row r="275">
      <c r="A275" s="50" t="inlineStr">
        <is>
          <t>2022Q4</t>
        </is>
      </c>
      <c r="B275" s="50" t="n">
        <v>15.063</v>
      </c>
      <c r="C275" s="50" t="n">
        <v>3</v>
      </c>
      <c r="D275" s="50" t="n"/>
    </row>
    <row r="276">
      <c r="A276" s="50" t="inlineStr">
        <is>
          <t>2023Q1</t>
        </is>
      </c>
      <c r="B276" s="50" t="n">
        <v>25.466</v>
      </c>
      <c r="C276" s="50" t="n">
        <v>3</v>
      </c>
      <c r="D276" s="50" t="n"/>
    </row>
    <row r="277">
      <c r="A277" s="50" t="inlineStr">
        <is>
          <t>2023Q2</t>
        </is>
      </c>
      <c r="B277" s="50" t="n">
        <v>18.471</v>
      </c>
      <c r="C277" s="50" t="n">
        <v>3</v>
      </c>
      <c r="D277" s="50" t="n"/>
    </row>
    <row r="278">
      <c r="A278" s="50" t="inlineStr">
        <is>
          <t>2023Q3</t>
        </is>
      </c>
      <c r="B278" s="50" t="n">
        <v>18.348</v>
      </c>
      <c r="C278" s="50" t="n">
        <v>3</v>
      </c>
      <c r="D278" s="50" t="n"/>
    </row>
    <row r="279">
      <c r="A279" s="50" t="inlineStr">
        <is>
          <t>2023Q4</t>
        </is>
      </c>
      <c r="B279" s="50" t="n">
        <v>12.429</v>
      </c>
      <c r="C279" s="50" t="n">
        <v>3</v>
      </c>
      <c r="D279" s="50" t="n"/>
    </row>
    <row r="280">
      <c r="A280" s="50" t="inlineStr">
        <is>
          <t>2024Q1</t>
        </is>
      </c>
      <c r="B280" s="50" t="n">
        <v>9.619</v>
      </c>
      <c r="C280" s="50" t="n">
        <v>3</v>
      </c>
      <c r="D280" s="50" t="n"/>
    </row>
    <row r="281">
      <c r="A281" s="50" t="inlineStr">
        <is>
          <t>2024Q2</t>
        </is>
      </c>
      <c r="B281" s="50" t="n">
        <v>15.705</v>
      </c>
      <c r="C281" s="50" t="n">
        <v>3</v>
      </c>
      <c r="D281" s="50" t="n"/>
    </row>
    <row r="282">
      <c r="A282" s="50" t="inlineStr">
        <is>
          <t>2024Q3</t>
        </is>
      </c>
      <c r="B282" s="50" t="n">
        <v>13.312</v>
      </c>
      <c r="C282" s="50" t="n">
        <v>3</v>
      </c>
      <c r="D282" s="50" t="n"/>
    </row>
    <row r="283">
      <c r="A283" s="50" t="inlineStr">
        <is>
          <t>2024Q4</t>
        </is>
      </c>
      <c r="B283" s="50" t="n">
        <v>9.239000000000001</v>
      </c>
      <c r="C283" s="50" t="n">
        <v>3</v>
      </c>
      <c r="D283" s="50" t="n"/>
    </row>
    <row r="284">
      <c r="A284" s="50" t="inlineStr">
        <is>
          <t>2025Q1</t>
        </is>
      </c>
      <c r="B284" s="50" t="n">
        <v>4.717</v>
      </c>
      <c r="C284" s="50" t="n">
        <v>3</v>
      </c>
      <c r="D284" s="50" t="n"/>
    </row>
    <row r="285">
      <c r="A285" s="50" t="inlineStr">
        <is>
          <t>2025Q2</t>
        </is>
      </c>
      <c r="B285" s="50" t="n">
        <v>3.243</v>
      </c>
      <c r="C285" s="50" t="n">
        <v>3</v>
      </c>
      <c r="D285" s="50" t="n"/>
    </row>
    <row r="286">
      <c r="A286" s="50" t="inlineStr">
        <is>
          <t>2025Q3</t>
        </is>
      </c>
      <c r="B286" s="50" t="n">
        <v>2.265</v>
      </c>
      <c r="C286" s="50" t="n">
        <v>3</v>
      </c>
      <c r="D286" s="50" t="n"/>
    </row>
    <row r="287">
      <c r="A287" s="50" t="inlineStr">
        <is>
          <t>2025Q4</t>
        </is>
      </c>
      <c r="B287" s="50" t="n">
        <v>3.562</v>
      </c>
      <c r="C287" s="50" t="n">
        <v>2</v>
      </c>
      <c r="D287" s="50" t="inlineStr">
        <is>
          <t>partial quarter (BLS gap or not yet published)</t>
        </is>
      </c>
    </row>
    <row r="288">
      <c r="A288" s="50" t="inlineStr">
        <is>
          <t>2026Q1</t>
        </is>
      </c>
      <c r="B288" s="50" t="n">
        <v>8.318</v>
      </c>
      <c r="C288" s="50" t="n">
        <v>3</v>
      </c>
      <c r="D288" s="50" t="n"/>
    </row>
    <row r="289">
      <c r="A289" s="50" t="inlineStr">
        <is>
          <t>2026Q2</t>
        </is>
      </c>
      <c r="B289" s="50" t="n">
        <v>8.256</v>
      </c>
      <c r="C289" s="50" t="n">
        <v>3</v>
      </c>
      <c r="D289" s="50" t="n"/>
    </row>
    <row r="290">
      <c r="A290" s="50" t="inlineStr">
        <is>
          <t>2026Q3</t>
        </is>
      </c>
      <c r="B290" s="50" t="n">
        <v>8.494</v>
      </c>
      <c r="C290" s="50" t="n">
        <v>1</v>
      </c>
      <c r="D290" s="50" t="inlineStr">
        <is>
          <t>partial quarter (BLS gap or not yet published)</t>
        </is>
      </c>
    </row>
  </sheetData>
  <mergeCells count="1">
    <mergeCell ref="A2:F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6"/>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 width="10" customWidth="1" min="4" max="4"/>
    <col width="10" customWidth="1" min="5" max="5"/>
    <col width="10" customWidth="1" min="6" max="6"/>
    <col width="12" customWidth="1" min="7" max="7"/>
    <col width="10" customWidth="1" min="8" max="8"/>
    <col width="12" customWidth="1" min="9" max="9"/>
  </cols>
  <sheetData>
    <row r="1">
      <c r="A1" s="1" t="inlineStr">
        <is>
          <t>tlf_calibration.csv</t>
        </is>
      </c>
    </row>
    <row r="2" ht="42" customHeight="1">
      <c r="A2" s="6" t="inlineStr">
        <is>
          <t>Regression outputs: dTLF(pp, YoY) = a + b x spread(t-1), CCC quarterly 2019Q1-2025Q3 (n=27). scripts/analysis_20260911.py</t>
        </is>
      </c>
    </row>
    <row r="3">
      <c r="A3" s="2" t="inlineStr">
        <is>
          <t>data/csv/tlf_calibration.csv · 2 rows · BLUE = raw data as committed; do not type over it — edit the CSV and rebuild.</t>
        </is>
      </c>
    </row>
    <row r="4">
      <c r="A4" s="7" t="inlineStr">
        <is>
          <t>variant</t>
        </is>
      </c>
      <c r="B4" s="7" t="inlineStr">
        <is>
          <t>n</t>
        </is>
      </c>
      <c r="C4" s="7" t="inlineStr">
        <is>
          <t>intercept_pp</t>
        </is>
      </c>
      <c r="D4" s="7" t="inlineStr">
        <is>
          <t>beta</t>
        </is>
      </c>
      <c r="E4" s="7" t="inlineStr">
        <is>
          <t>se</t>
        </is>
      </c>
      <c r="F4" s="7" t="inlineStr">
        <is>
          <t>r2</t>
        </is>
      </c>
      <c r="G4" s="7" t="inlineStr">
        <is>
          <t>resid_rho1</t>
        </is>
      </c>
      <c r="H4" s="7" t="inlineStr">
        <is>
          <t>eff_n</t>
        </is>
      </c>
      <c r="I4" s="7" t="inlineStr">
        <is>
          <t>oos_mae_pp</t>
        </is>
      </c>
    </row>
    <row r="5">
      <c r="A5" s="50" t="inlineStr">
        <is>
          <t>non_comprehensive</t>
        </is>
      </c>
      <c r="B5" s="50" t="n">
        <v>27</v>
      </c>
      <c r="C5" s="50" t="n">
        <v>0.6086610854255408</v>
      </c>
      <c r="D5" s="50" t="n">
        <v>0.08342150837021275</v>
      </c>
      <c r="E5" s="50" t="n">
        <v>0.008598201347692642</v>
      </c>
      <c r="F5" s="50" t="n">
        <v>0.7901501049605202</v>
      </c>
      <c r="G5" s="50" t="n">
        <v>0.6563534232903643</v>
      </c>
      <c r="H5" s="50" t="n">
        <v>5.601737793814804</v>
      </c>
      <c r="I5" s="50" t="n">
        <v>0.1616147613201954</v>
      </c>
    </row>
    <row r="6">
      <c r="A6" s="50" t="inlineStr">
        <is>
          <t>all_loss_categories</t>
        </is>
      </c>
      <c r="B6" s="50" t="n">
        <v>27</v>
      </c>
      <c r="C6" s="50" t="n">
        <v>0.5994293232867215</v>
      </c>
      <c r="D6" s="50" t="n">
        <v>0.08146734635586536</v>
      </c>
      <c r="E6" s="50" t="n">
        <v>0.007797968423915789</v>
      </c>
      <c r="F6" s="50" t="n">
        <v>0.8136346224224085</v>
      </c>
      <c r="G6" s="50" t="n">
        <v>0.1538614737991027</v>
      </c>
      <c r="H6" s="50" t="n">
        <v>19.79937863095849</v>
      </c>
      <c r="I6" s="50" t="n">
        <v>0.3852011503637899</v>
      </c>
    </row>
  </sheetData>
  <mergeCells count="1">
    <mergeCell ref="A2:I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10"/>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9" customWidth="1" min="3" max="3"/>
    <col width="19" customWidth="1" min="4" max="4"/>
    <col width="17" customWidth="1" min="5" max="5"/>
    <col width="12" customWidth="1" min="6" max="6"/>
    <col width="29" customWidth="1" min="7" max="7"/>
    <col width="26" customWidth="1" min="8" max="8"/>
    <col width="22" customWidth="1" min="9" max="9"/>
    <col width="27" customWidth="1" min="10" max="10"/>
    <col width="24" customWidth="1" min="11" max="11"/>
    <col width="20" customWidth="1" min="12" max="12"/>
    <col width="31" customWidth="1" min="13" max="13"/>
    <col width="28" customWidth="1" min="14" max="14"/>
    <col width="24" customWidth="1" min="15" max="15"/>
    <col width="16" customWidth="1" min="16" max="16"/>
    <col width="16" customWidth="1" min="17" max="17"/>
  </cols>
  <sheetData>
    <row r="1">
      <c r="A1" s="1" t="inlineStr">
        <is>
          <t>units_decomp_panel_v2.csv</t>
        </is>
      </c>
    </row>
    <row r="2" ht="42" customHeight="1">
      <c r="A2" s="6" t="inlineStr">
        <is>
          <t>Six-quarter US insurance units decomposition (Copart ex-CAT vs claims x TLF pool) under three claims denominators. scripts/units_decomp_panel.py; findings.md Addendum 15/15a</t>
        </is>
      </c>
    </row>
    <row r="3">
      <c r="A3" s="2" t="inlineStr">
        <is>
          <t>data/csv/units_decomp_panel_v2.csv · 6 rows · BLUE = raw data as committed; do not type over it — edit the CSV and rebuild.</t>
        </is>
      </c>
    </row>
    <row r="4">
      <c r="A4" s="7" t="inlineStr">
        <is>
          <t>calendar_q</t>
        </is>
      </c>
      <c r="B4" s="7" t="inlineStr">
        <is>
          <t>cprt_fq</t>
        </is>
      </c>
      <c r="C4" s="7" t="inlineStr">
        <is>
          <t>cprt_us_ins_asrep</t>
        </is>
      </c>
      <c r="D4" s="7" t="inlineStr">
        <is>
          <t>cprt_us_ins_excat</t>
        </is>
      </c>
      <c r="E4" s="7" t="inlineStr">
        <is>
          <t>tlf_yoy_rel_pct</t>
        </is>
      </c>
      <c r="F4" s="7" t="inlineStr">
        <is>
          <t>tlf_source</t>
        </is>
      </c>
      <c r="G4" s="7" t="inlineStr">
        <is>
          <t>claims__fasttrack_collision</t>
        </is>
      </c>
      <c r="H4" s="7" t="inlineStr">
        <is>
          <t>claims__ccc_all_coverage</t>
        </is>
      </c>
      <c r="I4" s="7" t="inlineStr">
        <is>
          <t>claims__ccc_non_comp</t>
        </is>
      </c>
      <c r="J4" s="7" t="inlineStr">
        <is>
          <t>pool__fasttrack_collision</t>
        </is>
      </c>
      <c r="K4" s="7" t="inlineStr">
        <is>
          <t>pool__ccc_all_coverage</t>
        </is>
      </c>
      <c r="L4" s="7" t="inlineStr">
        <is>
          <t>pool__ccc_non_comp</t>
        </is>
      </c>
      <c r="M4" s="7" t="inlineStr">
        <is>
          <t>residual__fasttrack_collision</t>
        </is>
      </c>
      <c r="N4" s="7" t="inlineStr">
        <is>
          <t>residual__ccc_all_coverage</t>
        </is>
      </c>
      <c r="O4" s="7" t="inlineStr">
        <is>
          <t>residual__ccc_non_comp</t>
        </is>
      </c>
      <c r="P4" s="7" t="inlineStr">
        <is>
          <t>claims_2026_lo</t>
        </is>
      </c>
      <c r="Q4" s="7" t="inlineStr">
        <is>
          <t>claims_2026_hi</t>
        </is>
      </c>
    </row>
    <row r="5">
      <c r="A5" s="50" t="inlineStr">
        <is>
          <t>2025Q1</t>
        </is>
      </c>
      <c r="B5" s="50" t="inlineStr">
        <is>
          <t>FY25Q3</t>
        </is>
      </c>
      <c r="C5" s="50" t="n">
        <v>-1</v>
      </c>
      <c r="D5" s="50" t="n">
        <v>-2</v>
      </c>
      <c r="E5" s="50" t="n">
        <v>5.05</v>
      </c>
      <c r="F5" s="50" t="inlineStr">
        <is>
          <t>CCC actual</t>
        </is>
      </c>
      <c r="G5" s="50" t="n">
        <v>-12</v>
      </c>
      <c r="H5" s="50" t="n">
        <v>-7.7</v>
      </c>
      <c r="I5" s="50" t="n">
        <v>-5.7</v>
      </c>
      <c r="J5" s="50" t="n">
        <v>-7.56</v>
      </c>
      <c r="K5" s="50" t="n">
        <v>-3.04</v>
      </c>
      <c r="L5" s="50" t="n">
        <v>-0.9399999999999999</v>
      </c>
      <c r="M5" s="50" t="n">
        <v>5.56</v>
      </c>
      <c r="N5" s="50" t="n">
        <v>1.04</v>
      </c>
      <c r="O5" s="50" t="n">
        <v>-1.06</v>
      </c>
      <c r="P5" s="50" t="n"/>
      <c r="Q5" s="50" t="n"/>
    </row>
    <row r="6">
      <c r="A6" s="50" t="inlineStr">
        <is>
          <t>2025Q2</t>
        </is>
      </c>
      <c r="B6" s="50" t="inlineStr">
        <is>
          <t>FY25Q4</t>
        </is>
      </c>
      <c r="C6" s="50" t="n">
        <v>-2.1</v>
      </c>
      <c r="D6" s="50" t="n">
        <v>-2.1</v>
      </c>
      <c r="E6" s="50" t="n">
        <v>4.19</v>
      </c>
      <c r="F6" s="50" t="inlineStr">
        <is>
          <t>CCC actual</t>
        </is>
      </c>
      <c r="G6" s="50" t="n">
        <v>-11.5</v>
      </c>
      <c r="H6" s="50" t="n">
        <v>-7.7</v>
      </c>
      <c r="I6" s="50" t="n">
        <v>-5.7</v>
      </c>
      <c r="J6" s="50" t="n">
        <v>-7.8</v>
      </c>
      <c r="K6" s="50" t="n">
        <v>-3.84</v>
      </c>
      <c r="L6" s="50" t="n">
        <v>-1.75</v>
      </c>
      <c r="M6" s="50" t="n">
        <v>5.7</v>
      </c>
      <c r="N6" s="50" t="n">
        <v>1.74</v>
      </c>
      <c r="O6" s="50" t="n">
        <v>-0.35</v>
      </c>
      <c r="P6" s="50" t="n"/>
      <c r="Q6" s="50" t="n"/>
    </row>
    <row r="7">
      <c r="A7" s="50" t="inlineStr">
        <is>
          <t>2025Q3</t>
        </is>
      </c>
      <c r="B7" s="50" t="inlineStr">
        <is>
          <t>FY26Q1</t>
        </is>
      </c>
      <c r="C7" s="50" t="n">
        <v>-9.5</v>
      </c>
      <c r="D7" s="50" t="n">
        <v>-7.3</v>
      </c>
      <c r="E7" s="50" t="n">
        <v>4.11</v>
      </c>
      <c r="F7" s="50" t="inlineStr">
        <is>
          <t>CCC actual</t>
        </is>
      </c>
      <c r="G7" s="50" t="n">
        <v>-10.5</v>
      </c>
      <c r="H7" s="50" t="n">
        <v>-7.7</v>
      </c>
      <c r="I7" s="50" t="n">
        <v>-5.7</v>
      </c>
      <c r="J7" s="50" t="n">
        <v>-6.82</v>
      </c>
      <c r="K7" s="50" t="n">
        <v>-3.91</v>
      </c>
      <c r="L7" s="50" t="n">
        <v>-1.82</v>
      </c>
      <c r="M7" s="50" t="n">
        <v>-0.48</v>
      </c>
      <c r="N7" s="50" t="n">
        <v>-3.39</v>
      </c>
      <c r="O7" s="50" t="n">
        <v>-5.48</v>
      </c>
      <c r="P7" s="50" t="n"/>
      <c r="Q7" s="50" t="n"/>
    </row>
    <row r="8">
      <c r="A8" s="50" t="inlineStr">
        <is>
          <t>2025Q4</t>
        </is>
      </c>
      <c r="B8" s="50" t="inlineStr">
        <is>
          <t>FY26Q2</t>
        </is>
      </c>
      <c r="C8" s="50" t="n">
        <v>-10.7</v>
      </c>
      <c r="D8" s="50" t="n">
        <v>-4.8</v>
      </c>
      <c r="E8" s="50" t="n">
        <v>3.25</v>
      </c>
      <c r="F8" s="50" t="inlineStr">
        <is>
          <t>model spread(3Q25)=+2.27</t>
        </is>
      </c>
      <c r="G8" s="50" t="n">
        <v>-11.5</v>
      </c>
      <c r="H8" s="50" t="n">
        <v>-7.7</v>
      </c>
      <c r="I8" s="50" t="n">
        <v>-5.7</v>
      </c>
      <c r="J8" s="50" t="n">
        <v>-8.619999999999999</v>
      </c>
      <c r="K8" s="50" t="n">
        <v>-4.7</v>
      </c>
      <c r="L8" s="50" t="n">
        <v>-2.63</v>
      </c>
      <c r="M8" s="50" t="n">
        <v>3.82</v>
      </c>
      <c r="N8" s="50" t="n">
        <v>-0.1</v>
      </c>
      <c r="O8" s="50" t="n">
        <v>-2.17</v>
      </c>
      <c r="P8" s="50" t="n"/>
      <c r="Q8" s="50" t="n"/>
    </row>
    <row r="9">
      <c r="A9" s="50" t="inlineStr">
        <is>
          <t>2026Q1</t>
        </is>
      </c>
      <c r="B9" s="50" t="inlineStr">
        <is>
          <t>FY26Q3</t>
        </is>
      </c>
      <c r="C9" s="50" t="n">
        <v>-4.2</v>
      </c>
      <c r="D9" s="50" t="n">
        <v>-3.1</v>
      </c>
      <c r="E9" s="50" t="n">
        <v>3.88</v>
      </c>
      <c r="F9" s="50" t="inlineStr">
        <is>
          <t>model spread(4Q25)=+3.56 (2/3 mo)</t>
        </is>
      </c>
      <c r="G9" s="50" t="n">
        <v>-3.5</v>
      </c>
      <c r="H9" s="50" t="n">
        <v>-3.5</v>
      </c>
      <c r="I9" s="50" t="n">
        <v>-3.5</v>
      </c>
      <c r="J9" s="50" t="n">
        <v>0.25</v>
      </c>
      <c r="K9" s="50" t="n">
        <v>0.25</v>
      </c>
      <c r="L9" s="50" t="n">
        <v>0.25</v>
      </c>
      <c r="M9" s="50" t="n">
        <v>-3.35</v>
      </c>
      <c r="N9" s="50" t="n">
        <v>-3.35</v>
      </c>
      <c r="O9" s="50" t="n">
        <v>-3.35</v>
      </c>
      <c r="P9" s="50" t="n">
        <v>-5</v>
      </c>
      <c r="Q9" s="50" t="n">
        <v>-2</v>
      </c>
    </row>
    <row r="10">
      <c r="A10" s="50" t="inlineStr">
        <is>
          <t>2026Q2</t>
        </is>
      </c>
      <c r="B10" s="50" t="inlineStr">
        <is>
          <t>FY26Q4</t>
        </is>
      </c>
      <c r="C10" s="50" t="n">
        <v>-7.5</v>
      </c>
      <c r="D10" s="50" t="n">
        <v>-7.5</v>
      </c>
      <c r="E10" s="50" t="n">
        <v>4.02</v>
      </c>
      <c r="F10" s="50" t="inlineStr">
        <is>
          <t>mgmt-cited CCC 2026-09-10</t>
        </is>
      </c>
      <c r="G10" s="50" t="n">
        <v>-4.5</v>
      </c>
      <c r="H10" s="50" t="n">
        <v>-4.5</v>
      </c>
      <c r="I10" s="50" t="n">
        <v>-4.5</v>
      </c>
      <c r="J10" s="50" t="n">
        <v>-0.66</v>
      </c>
      <c r="K10" s="50" t="n">
        <v>-0.66</v>
      </c>
      <c r="L10" s="50" t="n">
        <v>-0.66</v>
      </c>
      <c r="M10" s="50" t="n">
        <v>-6.84</v>
      </c>
      <c r="N10" s="50" t="n">
        <v>-6.84</v>
      </c>
      <c r="O10" s="50" t="n">
        <v>-6.84</v>
      </c>
      <c r="P10" s="50" t="n">
        <v>-6</v>
      </c>
      <c r="Q10" s="50" t="n">
        <v>-3.4</v>
      </c>
    </row>
  </sheetData>
  <mergeCells count="1">
    <mergeCell ref="A2:Q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10" customWidth="1" min="1" max="1"/>
    <col width="17" customWidth="1" min="2" max="2"/>
    <col width="14" customWidth="1" min="3" max="3"/>
    <col width="19" customWidth="1" min="4" max="4"/>
    <col width="16" customWidth="1" min="5" max="5"/>
    <col width="12" customWidth="1" min="6" max="6"/>
    <col width="13" customWidth="1" min="7" max="7"/>
    <col width="10" customWidth="1" min="8" max="8"/>
  </cols>
  <sheetData>
    <row r="1">
      <c r="A1" s="1" t="inlineStr">
        <is>
          <t>decomposition.csv</t>
        </is>
      </c>
    </row>
    <row r="2" ht="42" customHeight="1">
      <c r="A2" s="6" t="inlineStr">
        <is>
          <t>Matched-denominator decomposition, CY2025 and FQ4 FY26 windows. scripts/analysis_20260911.py</t>
        </is>
      </c>
    </row>
    <row r="3">
      <c r="A3" s="2" t="inlineStr">
        <is>
          <t>data/csv/decomposition.csv · 3 rows · BLUE = raw data as committed; do not type over it — edit the CSV and rebuild.</t>
        </is>
      </c>
    </row>
    <row r="4">
      <c r="A4" s="7" t="inlineStr">
        <is>
          <t>window</t>
        </is>
      </c>
      <c r="B4" s="7" t="inlineStr">
        <is>
          <t>claims_term_pct</t>
        </is>
      </c>
      <c r="C4" s="7" t="inlineStr">
        <is>
          <t>tlf_term_pct</t>
        </is>
      </c>
      <c r="D4" s="7" t="inlineStr">
        <is>
          <t>industry_pool_pct</t>
        </is>
      </c>
      <c r="E4" s="7" t="inlineStr">
        <is>
          <t>copart_measure</t>
        </is>
      </c>
      <c r="F4" s="7" t="inlineStr">
        <is>
          <t>copart_pct</t>
        </is>
      </c>
      <c r="G4" s="7" t="inlineStr">
        <is>
          <t>residual_pp</t>
        </is>
      </c>
      <c r="H4" s="7" t="inlineStr">
        <is>
          <t>notes</t>
        </is>
      </c>
    </row>
    <row r="5">
      <c r="A5" s="50" t="inlineStr">
        <is>
          <t>CY2025</t>
        </is>
      </c>
      <c r="B5" s="50" t="n">
        <v>-6.26</v>
      </c>
      <c r="C5" s="50" t="n">
        <v>3.59</v>
      </c>
      <c r="D5" s="50" t="n">
        <v>-2.9</v>
      </c>
      <c r="E5" s="50" t="inlineStr">
        <is>
          <t>US ins units exCAT (avg FY25Q2-FY26Q1)</t>
        </is>
      </c>
      <c r="F5" s="50" t="n">
        <v>-2.35</v>
      </c>
      <c r="G5" s="50" t="n">
        <v>0.55</v>
      </c>
      <c r="H5" s="50" t="inlineStr">
        <is>
          <t>CCC all-loss; counterfactual flat-repairable TLF 21.79% (-0.51pp); 0.48pp valuations!=flagged overshoot</t>
        </is>
      </c>
    </row>
    <row r="6">
      <c r="A6" s="50" t="inlineStr">
        <is>
          <t>FQ4FY26</t>
        </is>
      </c>
      <c r="B6" s="50" t="n">
        <v>-3.4</v>
      </c>
      <c r="C6" s="50" t="n">
        <v>4.02</v>
      </c>
      <c r="D6" s="50" t="n">
        <v>0.48</v>
      </c>
      <c r="E6" s="50" t="inlineStr">
        <is>
          <t>US ins ASSIGNMENTS</t>
        </is>
      </c>
      <c r="F6" s="50" t="n">
        <v>-5</v>
      </c>
      <c r="G6" s="50" t="n">
        <v>-5.48</v>
      </c>
      <c r="H6" s="50" t="inlineStr">
        <is>
          <t>mgmt-cited Fast Track freq (per exposure) and CCC 2Q26 TLF; transcript provenance</t>
        </is>
      </c>
    </row>
    <row r="7">
      <c r="A7" s="50" t="inlineStr">
        <is>
          <t>FQ4FY26_ex_account</t>
        </is>
      </c>
      <c r="B7" s="50" t="n">
        <v>-3.4</v>
      </c>
      <c r="C7" s="50" t="n">
        <v>4.02</v>
      </c>
      <c r="D7" s="50" t="n">
        <v>0.48</v>
      </c>
      <c r="E7" s="50" t="inlineStr">
        <is>
          <t>US ins ASSIGNMENTS ex 1 account</t>
        </is>
      </c>
      <c r="F7" s="50" t="n">
        <v>2.3</v>
      </c>
      <c r="G7" s="50" t="n">
        <v>1.82</v>
      </c>
      <c r="H7" s="50" t="inlineStr">
        <is>
          <t>the account = -7.3pp</t>
        </is>
      </c>
    </row>
  </sheetData>
  <mergeCells count="1">
    <mergeCell ref="A2:H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8" customWidth="1" min="3" max="3"/>
    <col width="11" customWidth="1" min="4" max="4"/>
    <col width="10" customWidth="1" min="5" max="5"/>
    <col width="11" customWidth="1" min="6" max="6"/>
    <col width="10" customWidth="1" min="7" max="7"/>
    <col width="10" customWidth="1" min="8" max="8"/>
  </cols>
  <sheetData>
    <row r="1">
      <c r="A1" s="1" t="inlineStr">
        <is>
          <t>fasttrack_collision_claims_cw.csv</t>
        </is>
      </c>
    </row>
    <row r="2" ht="42" customHeight="1">
      <c r="A2" s="6" t="inlineStr">
        <is>
          <t>ISS Fast Track quarterly collision-claim-count headlines as reported by CollisionWeek (collisionweek.com/tag/losses/, headline + teaser only). Headline figures carry qualifiers.</t>
        </is>
      </c>
    </row>
    <row r="3">
      <c r="A3" s="2" t="inlineStr">
        <is>
          <t>data/csv/fasttrack_collision_claims_cw.csv · 25 rows · BLUE = raw data as committed; do not type over it — edit the CSV and rebuild.</t>
        </is>
      </c>
    </row>
    <row r="4">
      <c r="A4" s="7" t="inlineStr">
        <is>
          <t>year</t>
        </is>
      </c>
      <c r="B4" s="7" t="inlineStr">
        <is>
          <t>quarter</t>
        </is>
      </c>
      <c r="C4" s="7" t="inlineStr">
        <is>
          <t>yoy_pct_headline</t>
        </is>
      </c>
      <c r="D4" s="7" t="inlineStr">
        <is>
          <t>qualifier</t>
        </is>
      </c>
      <c r="E4" s="7" t="inlineStr">
        <is>
          <t>title</t>
        </is>
      </c>
      <c r="F4" s="7" t="inlineStr">
        <is>
          <t>published</t>
        </is>
      </c>
      <c r="G4" s="7" t="inlineStr">
        <is>
          <t>url</t>
        </is>
      </c>
      <c r="H4" s="7" t="inlineStr">
        <is>
          <t>teaser</t>
        </is>
      </c>
    </row>
    <row r="5">
      <c r="A5" s="50" t="n">
        <v>2019</v>
      </c>
      <c r="B5" s="50" t="n">
        <v>1</v>
      </c>
      <c r="C5" s="50" t="n"/>
      <c r="D5" s="50" t="n"/>
      <c r="E5" s="50" t="inlineStr">
        <is>
          <t>Collision Claims Continued to Decline in First Quarter</t>
        </is>
      </c>
      <c r="F5" s="50" t="inlineStr">
        <is>
          <t>July 25, 2019</t>
        </is>
      </c>
      <c r="G5" s="50" t="n"/>
      <c r="H5" s="50" t="inlineStr">
        <is>
          <t>Auto physical damage indicators influencing collision repair industry volume declined during the first quarter of 2019 compared to the previous year. Loss cost continues to increase. According to the latest available Fas</t>
        </is>
      </c>
    </row>
    <row r="6">
      <c r="A6" s="50" t="n">
        <v>2019</v>
      </c>
      <c r="B6" s="50" t="n">
        <v>2</v>
      </c>
      <c r="C6" s="50" t="n"/>
      <c r="D6" s="50" t="inlineStr">
        <is>
          <t>down, no figure in title</t>
        </is>
      </c>
      <c r="E6" s="50" t="inlineStr">
        <is>
          <t>Collision Claims Down in Second Quarter</t>
        </is>
      </c>
      <c r="F6" s="50" t="inlineStr">
        <is>
          <t>October 17, 2019</t>
        </is>
      </c>
      <c r="G6" s="50" t="n"/>
      <c r="H6" s="50" t="inlineStr">
        <is>
          <t>Auto physical damage indicators influencing collision repair industry volume declined during the second quarter of 2019 compared to the previous year. Loss cost continues to increase. According to the latest available Fa</t>
        </is>
      </c>
    </row>
    <row r="7">
      <c r="A7" s="50" t="n">
        <v>2019</v>
      </c>
      <c r="B7" s="50" t="n">
        <v>3</v>
      </c>
      <c r="C7" s="50" t="n"/>
      <c r="D7" s="50" t="inlineStr">
        <is>
          <t>up, no figure in title</t>
        </is>
      </c>
      <c r="E7" s="50" t="inlineStr">
        <is>
          <t>Collision Claims Up in Third Quarter of 2019</t>
        </is>
      </c>
      <c r="F7" s="50" t="inlineStr">
        <is>
          <t>January 23, 2020</t>
        </is>
      </c>
      <c r="G7" s="50" t="n"/>
      <c r="H7" s="50" t="inlineStr">
        <is>
          <t>Auto physical damage indicators influencing collision repair industry volume improved during the third quarter of 2019 compared to the previous quarter. Loss cost continues to increase. According to the latest available</t>
        </is>
      </c>
    </row>
    <row r="8">
      <c r="A8" s="50" t="n">
        <v>2020</v>
      </c>
      <c r="B8" s="50" t="n">
        <v>2</v>
      </c>
      <c r="C8" s="50" t="n">
        <v>-35</v>
      </c>
      <c r="D8" s="50" t="inlineStr">
        <is>
          <t>over</t>
        </is>
      </c>
      <c r="E8" s="50" t="inlineStr">
        <is>
          <t>Collision Claims Declined Over 35% in Second Quarter Compared to 2019</t>
        </is>
      </c>
      <c r="F8" s="50" t="inlineStr">
        <is>
          <t>November 13, 2020</t>
        </is>
      </c>
      <c r="G8" s="50" t="n"/>
      <c r="H8" s="50" t="inlineStr">
        <is>
          <t>Coronavirus lockdowns in the U.S. dramatically impacted quarterly claims and losses in the first half of 2020. Earned car years, however, continued to grow. The latest available Fast Track Monitoring system data from the</t>
        </is>
      </c>
    </row>
    <row r="9">
      <c r="A9" s="50" t="n">
        <v>2020</v>
      </c>
      <c r="B9" s="50" t="n">
        <v>3</v>
      </c>
      <c r="C9" s="50" t="n">
        <v>-20</v>
      </c>
      <c r="D9" s="50" t="inlineStr">
        <is>
          <t>over</t>
        </is>
      </c>
      <c r="E9" s="50" t="inlineStr">
        <is>
          <t>Collision Claims Remained Down Over 20% in Third Quarter Compared to 2019</t>
        </is>
      </c>
      <c r="F9" s="50" t="inlineStr">
        <is>
          <t>February 16, 2021</t>
        </is>
      </c>
      <c r="G9" s="50" t="n"/>
      <c r="H9" s="50" t="inlineStr">
        <is>
          <t>After declining more than 35% in the second quarter, collision claims recovered as stay-at-home orders eased. Earned car years grew at highest rate in three years. The latest available Fast Track Monitoring system data f</t>
        </is>
      </c>
    </row>
    <row r="10">
      <c r="A10" s="50" t="n">
        <v>2021</v>
      </c>
      <c r="B10" s="50" t="n">
        <v>1</v>
      </c>
      <c r="C10" s="50" t="n">
        <v>-13</v>
      </c>
      <c r="D10" s="50" t="n"/>
      <c r="E10" s="50" t="inlineStr">
        <is>
          <t>Collision Claims Down 13% in First Quarter Compared to 2020</t>
        </is>
      </c>
      <c r="F10" s="50" t="inlineStr">
        <is>
          <t>August 12, 2021</t>
        </is>
      </c>
      <c r="G10" s="50" t="n"/>
      <c r="H10" s="50" t="inlineStr">
        <is>
          <t>While improving from the 35% decline in second quarter of 2020, the first quarter benefited from a weak comparison last year at start of pandemic. The latest available Fast Track Monitoring system data from the Independe</t>
        </is>
      </c>
    </row>
    <row r="11">
      <c r="A11" s="50" t="n">
        <v>2021</v>
      </c>
      <c r="B11" s="50" t="n">
        <v>2</v>
      </c>
      <c r="C11" s="50" t="n">
        <v>46</v>
      </c>
      <c r="D11" s="50" t="inlineStr">
        <is>
          <t>over</t>
        </is>
      </c>
      <c r="E11" s="50" t="inlineStr">
        <is>
          <t>Collision Claims Up Over 46% in Second Quarter Compared to Pandemic Impacted Quarter Last Year</t>
        </is>
      </c>
      <c r="F11" s="50" t="inlineStr">
        <is>
          <t>December 15, 2021</t>
        </is>
      </c>
      <c r="G11" s="50" t="n"/>
      <c r="H11" s="50" t="inlineStr">
        <is>
          <t>Second quarter last year had been down nearly 36%. Quarter remains below 2019 level. The latest available Fast Track Monitoring system data from the Independent Statistical Service Inc. (ISS) showed that claims and losse</t>
        </is>
      </c>
    </row>
    <row r="12">
      <c r="A12" s="50" t="n">
        <v>2021</v>
      </c>
      <c r="B12" s="50" t="n">
        <v>3</v>
      </c>
      <c r="C12" s="50" t="n">
        <v>21</v>
      </c>
      <c r="D12" s="50" t="inlineStr">
        <is>
          <t>nearly</t>
        </is>
      </c>
      <c r="E12" s="50" t="inlineStr">
        <is>
          <t>Collision Claims Up Nearly 21% in Third Quarter Compared to Pandemic Impacted Quarter in 2020</t>
        </is>
      </c>
      <c r="F12" s="50" t="inlineStr">
        <is>
          <t>February 4, 2022</t>
        </is>
      </c>
      <c r="G12" s="50" t="n"/>
      <c r="H12" s="50" t="inlineStr">
        <is>
          <t>Third quarter claims remain over 4% below 2019 level. Losses up over 25% compared to 2019. The latest available Fast Track Monitoring system data from the Independent Statistical Service Inc. (ISS) showed that claims and</t>
        </is>
      </c>
    </row>
    <row r="13">
      <c r="A13" s="50" t="n">
        <v>2021</v>
      </c>
      <c r="B13" s="50" t="n">
        <v>4</v>
      </c>
      <c r="C13" s="50" t="n">
        <v>17</v>
      </c>
      <c r="D13" s="50" t="n"/>
      <c r="E13" s="50" t="inlineStr">
        <is>
          <t>Collision Claims Were Up 17% in Fourth Quarter Compared to Pandemic Impacted Quarter in 2020</t>
        </is>
      </c>
      <c r="F13" s="50" t="inlineStr">
        <is>
          <t>June 10, 2022</t>
        </is>
      </c>
      <c r="G13" s="50" t="n"/>
      <c r="H13" s="50" t="inlineStr">
        <is>
          <t>Fourth quarter claims remain 5% below 2019 level. Losses up nearly 25% compared to 2019. The latest available Fast Track Monitoring system data from the Independent Statistical Service Inc. (ISS) showed that claims and l</t>
        </is>
      </c>
    </row>
    <row r="14">
      <c r="A14" s="50" t="n">
        <v>2022</v>
      </c>
      <c r="B14" s="50" t="n">
        <v>1</v>
      </c>
      <c r="C14" s="50" t="n">
        <v>17</v>
      </c>
      <c r="D14" s="50" t="inlineStr">
        <is>
          <t>nearly</t>
        </is>
      </c>
      <c r="E14" s="50" t="inlineStr">
        <is>
          <t>Collision Claims Were Up Nearly 17% in First Quarter Compared to Last Year</t>
        </is>
      </c>
      <c r="F14" s="50" t="inlineStr">
        <is>
          <t>August 4, 2022</t>
        </is>
      </c>
      <c r="G14" s="50" t="n"/>
      <c r="H14" s="50" t="inlineStr">
        <is>
          <t>First quarter claims remain over 4% below 2019 level. Losses up nearly 35% compared to 2019. The latest available Fast Track Monitoring system data from the Independent Statistical Service Inc. (ISS) showed that claims a</t>
        </is>
      </c>
    </row>
    <row r="15">
      <c r="A15" s="50" t="n">
        <v>2022</v>
      </c>
      <c r="B15" s="50" t="n">
        <v>2</v>
      </c>
      <c r="C15" s="50" t="n">
        <v>8</v>
      </c>
      <c r="D15" s="50" t="inlineStr">
        <is>
          <t>over</t>
        </is>
      </c>
      <c r="E15" s="50" t="inlineStr">
        <is>
          <t>Collision Claims Were Up Over 8% in Second Quarter Compared to Last Year</t>
        </is>
      </c>
      <c r="F15" s="50" t="inlineStr">
        <is>
          <t>October 21, 2022</t>
        </is>
      </c>
      <c r="G15" s="50" t="n"/>
      <c r="H15" s="50" t="inlineStr">
        <is>
          <t>Second quarter claims were also within 0.1% of pre-pandemic levels. Losses up over 43% compared to 2019. The latest available Fast Track Monitoring system data from the Independent Statistical Service Inc. (ISS) showed t</t>
        </is>
      </c>
    </row>
    <row r="16">
      <c r="A16" s="50" t="n">
        <v>2022</v>
      </c>
      <c r="B16" s="50" t="n">
        <v>3</v>
      </c>
      <c r="C16" s="50" t="n">
        <v>1</v>
      </c>
      <c r="D16" s="50" t="inlineStr">
        <is>
          <t>just over</t>
        </is>
      </c>
      <c r="E16" s="50" t="inlineStr">
        <is>
          <t>Collision Claims Were Up Just Over 1% in Third Quarter Compared to 2021</t>
        </is>
      </c>
      <c r="F16" s="50" t="inlineStr">
        <is>
          <t>January 20, 2023</t>
        </is>
      </c>
      <c r="G16" s="50" t="n"/>
      <c r="H16" s="50" t="inlineStr">
        <is>
          <t>Claims in the third quarter of 2022 remain below pre-pandemic levels. Losses were up 38% compared to 2019. The latest available Fast Track Monitoring system data from the Independent Statistical Service Inc. (ISS) showed</t>
        </is>
      </c>
    </row>
    <row r="17">
      <c r="A17" s="50" t="n">
        <v>2022</v>
      </c>
      <c r="B17" s="50" t="n">
        <v>4</v>
      </c>
      <c r="C17" s="50" t="n"/>
      <c r="D17" s="50" t="inlineStr">
        <is>
          <t>down, no figure in title</t>
        </is>
      </c>
      <c r="E17" s="50" t="inlineStr">
        <is>
          <t>Collision Claims in Fourth Quarter Slightly Down Compared to 2021</t>
        </is>
      </c>
      <c r="F17" s="50" t="inlineStr">
        <is>
          <t>May 17, 2023</t>
        </is>
      </c>
      <c r="G17" s="50" t="n"/>
      <c r="H17" s="50" t="inlineStr">
        <is>
          <t>Claims in the fourth quarter of 2022 declined less than 1% versus the same quarter in 2021. Losses were up nearly 55% compared to 2019. The latest available Fast Track Monitoring system data from the Independent Statisti</t>
        </is>
      </c>
    </row>
    <row r="18">
      <c r="A18" s="50" t="n">
        <v>2023</v>
      </c>
      <c r="B18" s="50" t="n">
        <v>1</v>
      </c>
      <c r="C18" s="50" t="n"/>
      <c r="D18" s="50" t="inlineStr">
        <is>
          <t>up, no figure in title</t>
        </is>
      </c>
      <c r="E18" s="50" t="inlineStr">
        <is>
          <t>Collision Claims in First Quarter Up Compared to 2022</t>
        </is>
      </c>
      <c r="F18" s="50" t="inlineStr">
        <is>
          <t>July 19, 2023</t>
        </is>
      </c>
      <c r="G18" s="50" t="n"/>
      <c r="H18" s="50" t="inlineStr">
        <is>
          <t>Claims in the first quarter of 2023 were up over 1% versus the same quarter in 2022. Losses were up over 41% compared to 2019. The latest available Fast Track Monitoring system data from the Independent Statistical Servi</t>
        </is>
      </c>
    </row>
    <row r="19">
      <c r="A19" s="50" t="n">
        <v>2023</v>
      </c>
      <c r="B19" s="50" t="n">
        <v>2</v>
      </c>
      <c r="C19" s="50" t="n"/>
      <c r="D19" s="50" t="inlineStr">
        <is>
          <t>down, no figure in title</t>
        </is>
      </c>
      <c r="E19" s="50" t="inlineStr">
        <is>
          <t>Collision Claims in Second Quarter Down Compared to 2022</t>
        </is>
      </c>
      <c r="F19" s="50" t="inlineStr">
        <is>
          <t>November 1, 2023</t>
        </is>
      </c>
      <c r="G19" s="50" t="n"/>
      <c r="H19" s="50" t="inlineStr">
        <is>
          <t>While claims in the second quarter were down versus last year, losses were up. The latest available Fast Track Monitoring system data from the Independent Statistical Service Inc. (ISS) showed that the post-pandemic rebo</t>
        </is>
      </c>
    </row>
    <row r="20">
      <c r="A20" s="50" t="n">
        <v>2023</v>
      </c>
      <c r="B20" s="50" t="n">
        <v>3</v>
      </c>
      <c r="C20" s="50" t="n"/>
      <c r="D20" s="50" t="inlineStr">
        <is>
          <t>down, no figure in title</t>
        </is>
      </c>
      <c r="E20" s="50" t="inlineStr">
        <is>
          <t>Collision Claims and Losses in Third Quarter Down Compared to 2022</t>
        </is>
      </c>
      <c r="F20" s="50" t="inlineStr">
        <is>
          <t>February 8, 2024</t>
        </is>
      </c>
      <c r="G20" s="50" t="n"/>
      <c r="H20" s="50" t="inlineStr">
        <is>
          <t>Quarterly claims were down for the second quarter in a row. The latest available Fast Track Monitoring system data from the Independent Statistical Service Inc. (ISS) showed that the post-pandemic rebound in claims is ov</t>
        </is>
      </c>
    </row>
    <row r="21">
      <c r="A21" s="50" t="n">
        <v>2023</v>
      </c>
      <c r="B21" s="50" t="n">
        <v>4</v>
      </c>
      <c r="C21" s="50" t="n"/>
      <c r="D21" s="50" t="inlineStr">
        <is>
          <t>down, no figure in title</t>
        </is>
      </c>
      <c r="E21" s="50" t="inlineStr">
        <is>
          <t>Collision Claims and Losses in Fourth Quarter Down Compared to 2022</t>
        </is>
      </c>
      <c r="F21" s="50" t="inlineStr">
        <is>
          <t>May 10, 2024</t>
        </is>
      </c>
      <c r="G21" s="50" t="n"/>
      <c r="H21" s="50" t="inlineStr">
        <is>
          <t>Quarterly claims were down for the third quarter in a row compared to the previous year. The latest available Fast Track Monitoring system data from the Independent Statistical Service Inc. (ISS) showed that the post-pan</t>
        </is>
      </c>
    </row>
    <row r="22">
      <c r="A22" s="50" t="n">
        <v>2024</v>
      </c>
      <c r="B22" s="50" t="n">
        <v>1</v>
      </c>
      <c r="C22" s="50" t="n"/>
      <c r="D22" s="50" t="inlineStr">
        <is>
          <t>down, no figure in title</t>
        </is>
      </c>
      <c r="E22" s="50" t="inlineStr">
        <is>
          <t>Collision Claims and Losses Down in First Quarter Compared to 2023</t>
        </is>
      </c>
      <c r="F22" s="50" t="inlineStr">
        <is>
          <t>August 27, 2024</t>
        </is>
      </c>
      <c r="G22" s="50" t="n"/>
      <c r="H22" s="50" t="inlineStr">
        <is>
          <t>Quarterly collision claim counts were down for the fourth quarter in a row compared to the previous year. The latest available Fast Track Monitoring system data from the Independent Statistical Service Inc. (ISS) showed</t>
        </is>
      </c>
    </row>
    <row r="23">
      <c r="A23" s="50" t="n">
        <v>2024</v>
      </c>
      <c r="B23" s="50" t="n">
        <v>2</v>
      </c>
      <c r="C23" s="50" t="n"/>
      <c r="D23" s="50" t="inlineStr">
        <is>
          <t>down, no figure in title</t>
        </is>
      </c>
      <c r="E23" s="50" t="inlineStr">
        <is>
          <t>Collision Claims and Losses Continued Down Trend in Second Quarter Compared to 2023</t>
        </is>
      </c>
      <c r="F23" s="50" t="inlineStr">
        <is>
          <t>October 30, 2024</t>
        </is>
      </c>
      <c r="G23" s="50" t="n"/>
      <c r="H23" s="50" t="inlineStr">
        <is>
          <t>Quarterly collision claim counts were down for the fifth quarter in a row compared to the previous year. The latest available Fast Track Monitoring system data from the Independent Statistical Service Inc. (ISS) showed t</t>
        </is>
      </c>
    </row>
    <row r="24">
      <c r="A24" s="50" t="n">
        <v>2024</v>
      </c>
      <c r="B24" s="50" t="n">
        <v>3</v>
      </c>
      <c r="C24" s="50" t="n"/>
      <c r="D24" s="50" t="inlineStr">
        <is>
          <t>down, no figure in title</t>
        </is>
      </c>
      <c r="E24" s="50" t="inlineStr">
        <is>
          <t>Collision Claims and Losses Continued Down Trend in Third Quarter Compared to 2023</t>
        </is>
      </c>
      <c r="F24" s="50" t="inlineStr">
        <is>
          <t>February 6, 2025</t>
        </is>
      </c>
      <c r="G24" s="50" t="n"/>
      <c r="H24" s="50" t="inlineStr">
        <is>
          <t>Quarterly collision claim counts were down for the sixth quarter in a row compared to the previous year. The latest available Fast Track Monitoring system data from the Independent Statistical Service Inc. (ISS) showed t</t>
        </is>
      </c>
    </row>
    <row r="25">
      <c r="A25" s="50" t="n">
        <v>2024</v>
      </c>
      <c r="B25" s="50" t="n">
        <v>4</v>
      </c>
      <c r="C25" s="50" t="n"/>
      <c r="D25" s="50" t="inlineStr">
        <is>
          <t>down, no figure in title</t>
        </is>
      </c>
      <c r="E25" s="50" t="inlineStr">
        <is>
          <t>Collision Claims and Losses Continued Down Trend in Fourth Quarter of 2024 Compared to Previous Year</t>
        </is>
      </c>
      <c r="F25" s="50" t="inlineStr">
        <is>
          <t>April 24, 2025</t>
        </is>
      </c>
      <c r="G25" s="50" t="n"/>
      <c r="H25" s="50" t="inlineStr">
        <is>
          <t>Quarterly collision claim counts were down for the seventh quarter in a row compared to the previous year. The latest available Fast Track Monitoring system data from the Independent Statistical Service Inc. (ISS) showed</t>
        </is>
      </c>
    </row>
    <row r="26">
      <c r="A26" s="50" t="n">
        <v>2025</v>
      </c>
      <c r="B26" s="50" t="n">
        <v>1</v>
      </c>
      <c r="C26" s="50" t="n"/>
      <c r="D26" s="50" t="inlineStr">
        <is>
          <t>down, no figure in title</t>
        </is>
      </c>
      <c r="E26" s="50" t="inlineStr">
        <is>
          <t>Collision Claims and Losses Continued Down Trend in First Quarter Compared to Last Year</t>
        </is>
      </c>
      <c r="F26" s="50" t="inlineStr">
        <is>
          <t>August 1, 2025</t>
        </is>
      </c>
      <c r="G26" s="50" t="n"/>
      <c r="H26" s="50" t="inlineStr">
        <is>
          <t>Quarterly collision claims counts have been down versus the previous year for two years. The latest available Fast Track Monitoring system data from the Independent Statistical Service Inc. (ISS) showed that the decline</t>
        </is>
      </c>
    </row>
    <row r="27">
      <c r="A27" s="50" t="n">
        <v>2025</v>
      </c>
      <c r="B27" s="50" t="n">
        <v>2</v>
      </c>
      <c r="C27" s="50" t="n">
        <v>-11</v>
      </c>
      <c r="D27" s="50" t="inlineStr">
        <is>
          <t>over</t>
        </is>
      </c>
      <c r="E27" s="50" t="inlineStr">
        <is>
          <t>Collision Coverage Claims Were Down Over 11% in Second Quarter Compared to 2024</t>
        </is>
      </c>
      <c r="F27" s="50" t="inlineStr">
        <is>
          <t>December 10, 2025</t>
        </is>
      </c>
      <c r="G27" s="50" t="n"/>
      <c r="H27" s="50" t="inlineStr">
        <is>
          <t>While down, the rate of decline was lower than in the first quarter. Quarterly collision claim counts have been down versus the previous year for nine quarters. The latest available Fast Track Monitoring system data from</t>
        </is>
      </c>
    </row>
    <row r="28">
      <c r="A28" s="50" t="n">
        <v>2025</v>
      </c>
      <c r="B28" s="50" t="n">
        <v>3</v>
      </c>
      <c r="C28" s="50" t="n">
        <v>-10</v>
      </c>
      <c r="D28" s="50" t="inlineStr">
        <is>
          <t>over</t>
        </is>
      </c>
      <c r="E28" s="50" t="inlineStr">
        <is>
          <t>Collision Coverage Claims Were Down Over 10% in Third Quarter of 2025 Compared to the Previous Year</t>
        </is>
      </c>
      <c r="F28" s="50" t="inlineStr">
        <is>
          <t>February 13, 2026</t>
        </is>
      </c>
      <c r="G28" s="50" t="n"/>
      <c r="H28" s="50" t="inlineStr">
        <is>
          <t>While down, the rate of decline was lower than both the first and second quarter. Quarterly collision claim counts have been down versus the previous year for ten consecutive quarters. The latest available Fast Track Mon</t>
        </is>
      </c>
    </row>
    <row r="29">
      <c r="A29" s="50" t="n">
        <v>2025</v>
      </c>
      <c r="B29" s="50" t="n">
        <v>4</v>
      </c>
      <c r="C29" s="50" t="n">
        <v>-11</v>
      </c>
      <c r="D29" s="50" t="inlineStr">
        <is>
          <t>over</t>
        </is>
      </c>
      <c r="E29" s="50" t="inlineStr">
        <is>
          <t>Collision Coverage Claims Were Down Over 11% in Fourth Quarter of 2025 Compared to the Previous Year</t>
        </is>
      </c>
      <c r="F29" s="50" t="inlineStr">
        <is>
          <t>May 1, 2026</t>
        </is>
      </c>
      <c r="G29" s="50" t="n"/>
      <c r="H29" s="50" t="inlineStr">
        <is>
          <t>While the rate of decline ticked up slightly from the third quarter, it remained better than the first and second quarter results. Quarterly collision claim counts have been down versus the previous year for eleven conse</t>
        </is>
      </c>
    </row>
  </sheetData>
  <mergeCells count="1">
    <mergeCell ref="A2:H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6"/>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13" customWidth="1" min="3" max="3"/>
    <col width="13" customWidth="1" min="4" max="4"/>
    <col width="15" customWidth="1" min="5" max="5"/>
    <col width="15" customWidth="1" min="6" max="6"/>
    <col width="10" customWidth="1" min="7" max="7"/>
    <col width="22" customWidth="1" min="8" max="8"/>
    <col width="12" customWidth="1" min="9" max="9"/>
    <col width="19" customWidth="1" min="10" max="10"/>
    <col width="16" customWidth="1" min="11" max="11"/>
    <col width="11" customWidth="1" min="12" max="12"/>
  </cols>
  <sheetData>
    <row r="1">
      <c r="A1" s="1" t="inlineStr">
        <is>
          <t>pgr_monthly_pif.csv</t>
        </is>
      </c>
    </row>
    <row r="2" ht="42" customHeight="1">
      <c r="A2" s="6" t="inlineStr">
        <is>
          <t>Progressive personal-auto policies in force, monthly 8-K EX-99 (CIK 0000080661), SEC EDGAR.</t>
        </is>
      </c>
    </row>
    <row r="3">
      <c r="A3" s="2" t="inlineStr">
        <is>
          <t>data/csv/pgr_monthly_pif.csv · 32 rows · BLUE = raw data as committed; do not type over it — edit the CSV and rebuild.</t>
        </is>
      </c>
    </row>
    <row r="4">
      <c r="A4" s="7" t="inlineStr">
        <is>
          <t>month_end</t>
        </is>
      </c>
      <c r="B4" s="7" t="inlineStr">
        <is>
          <t>asof</t>
        </is>
      </c>
      <c r="C4" s="7" t="inlineStr">
        <is>
          <t>agency_auto</t>
        </is>
      </c>
      <c r="D4" s="7" t="inlineStr">
        <is>
          <t>direct_auto</t>
        </is>
      </c>
      <c r="E4" s="7" t="inlineStr">
        <is>
          <t>personal_auto</t>
        </is>
      </c>
      <c r="F4" s="7" t="inlineStr">
        <is>
          <t>special_lines</t>
        </is>
      </c>
      <c r="G4" s="7" t="inlineStr">
        <is>
          <t>property</t>
        </is>
      </c>
      <c r="H4" s="7" t="inlineStr">
        <is>
          <t>total_personal_lines</t>
        </is>
      </c>
      <c r="I4" s="7" t="inlineStr">
        <is>
          <t>commercial</t>
        </is>
      </c>
      <c r="J4" s="7" t="inlineStr">
        <is>
          <t>companywide_total</t>
        </is>
      </c>
      <c r="K4" s="7" t="inlineStr">
        <is>
          <t>npw_month_musd</t>
        </is>
      </c>
      <c r="L4" s="7" t="inlineStr">
        <is>
          <t>tpl_basis</t>
        </is>
      </c>
    </row>
    <row r="5">
      <c r="A5" s="50" t="inlineStr">
        <is>
          <t>2023-12</t>
        </is>
      </c>
      <c r="B5" s="50" t="n"/>
      <c r="C5" s="50" t="n">
        <v>8335.5</v>
      </c>
      <c r="D5" s="50" t="n">
        <v>11190.4</v>
      </c>
      <c r="E5" s="50" t="n">
        <v>19525.9</v>
      </c>
      <c r="F5" s="50" t="n"/>
      <c r="G5" s="50" t="n"/>
      <c r="H5" s="50" t="n">
        <v>25494.5</v>
      </c>
      <c r="I5" s="50" t="n"/>
      <c r="J5" s="50" t="n"/>
      <c r="K5" s="50" t="n">
        <v>4875.9</v>
      </c>
      <c r="L5" s="50" t="inlineStr">
        <is>
          <t>excl_property</t>
        </is>
      </c>
    </row>
    <row r="6">
      <c r="A6" s="50" t="inlineStr">
        <is>
          <t>2024-01</t>
        </is>
      </c>
      <c r="B6" s="50" t="inlineStr">
        <is>
          <t>January 31</t>
        </is>
      </c>
      <c r="C6" s="50" t="n">
        <v>8393.299999999999</v>
      </c>
      <c r="D6" s="50" t="n">
        <v>11350</v>
      </c>
      <c r="E6" s="50" t="n">
        <v>19743.3</v>
      </c>
      <c r="F6" s="50" t="n"/>
      <c r="G6" s="50" t="n"/>
      <c r="H6" s="50" t="n">
        <v>25727.7</v>
      </c>
      <c r="I6" s="50" t="n"/>
      <c r="J6" s="50" t="n"/>
      <c r="K6" s="50" t="n"/>
      <c r="L6" s="50" t="inlineStr">
        <is>
          <t>excl_property</t>
        </is>
      </c>
    </row>
    <row r="7">
      <c r="A7" s="50" t="inlineStr">
        <is>
          <t>2024-02</t>
        </is>
      </c>
      <c r="B7" s="50" t="n"/>
      <c r="C7" s="50" t="n">
        <v>8461.9</v>
      </c>
      <c r="D7" s="50" t="n">
        <v>11541.3</v>
      </c>
      <c r="E7" s="50" t="n">
        <v>20003.2</v>
      </c>
      <c r="F7" s="50" t="n"/>
      <c r="G7" s="50" t="n"/>
      <c r="H7" s="50" t="n">
        <v>26022.1</v>
      </c>
      <c r="I7" s="50" t="n"/>
      <c r="J7" s="50" t="n"/>
      <c r="K7" s="50" t="n"/>
      <c r="L7" s="50" t="inlineStr">
        <is>
          <t>excl_property</t>
        </is>
      </c>
    </row>
    <row r="8">
      <c r="A8" s="50" t="inlineStr">
        <is>
          <t>2024-03</t>
        </is>
      </c>
      <c r="B8" s="50" t="inlineStr">
        <is>
          <t>March 31</t>
        </is>
      </c>
      <c r="C8" s="50" t="n">
        <v>8592.9</v>
      </c>
      <c r="D8" s="50" t="n">
        <v>11855.4</v>
      </c>
      <c r="E8" s="50" t="n">
        <v>20448.3</v>
      </c>
      <c r="F8" s="50" t="n"/>
      <c r="G8" s="50" t="n"/>
      <c r="H8" s="50" t="n">
        <v>26524</v>
      </c>
      <c r="I8" s="50" t="n"/>
      <c r="J8" s="50" t="n"/>
      <c r="K8" s="50" t="n">
        <v>7746</v>
      </c>
      <c r="L8" s="50" t="inlineStr">
        <is>
          <t>excl_property</t>
        </is>
      </c>
    </row>
    <row r="9">
      <c r="A9" s="50" t="inlineStr">
        <is>
          <t>2024-04</t>
        </is>
      </c>
      <c r="B9" s="50" t="inlineStr">
        <is>
          <t>April 30</t>
        </is>
      </c>
      <c r="C9" s="50" t="n">
        <v>8720.5</v>
      </c>
      <c r="D9" s="50" t="n">
        <v>12104.9</v>
      </c>
      <c r="E9" s="50" t="n">
        <v>20825.4</v>
      </c>
      <c r="F9" s="50" t="n"/>
      <c r="G9" s="50" t="n"/>
      <c r="H9" s="50" t="n">
        <v>26978.1</v>
      </c>
      <c r="I9" s="50" t="n"/>
      <c r="J9" s="50" t="n"/>
      <c r="K9" s="50" t="n"/>
      <c r="L9" s="50" t="inlineStr">
        <is>
          <t>excl_property</t>
        </is>
      </c>
    </row>
    <row r="10">
      <c r="A10" s="50" t="inlineStr">
        <is>
          <t>2024-05</t>
        </is>
      </c>
      <c r="B10" s="50" t="inlineStr">
        <is>
          <t>May 31</t>
        </is>
      </c>
      <c r="C10" s="50" t="n">
        <v>8869.4</v>
      </c>
      <c r="D10" s="50" t="n">
        <v>12382.7</v>
      </c>
      <c r="E10" s="50" t="n">
        <v>21252.1</v>
      </c>
      <c r="F10" s="50" t="n"/>
      <c r="G10" s="50" t="n"/>
      <c r="H10" s="50" t="n">
        <v>27499.5</v>
      </c>
      <c r="I10" s="50" t="n"/>
      <c r="J10" s="50" t="n"/>
      <c r="K10" s="50" t="n"/>
      <c r="L10" s="50" t="inlineStr">
        <is>
          <t>excl_property</t>
        </is>
      </c>
    </row>
    <row r="11">
      <c r="A11" s="50" t="inlineStr">
        <is>
          <t>2024-06</t>
        </is>
      </c>
      <c r="B11" s="50" t="inlineStr">
        <is>
          <t>June 30</t>
        </is>
      </c>
      <c r="C11" s="50" t="n">
        <v>8964.799999999999</v>
      </c>
      <c r="D11" s="50" t="n">
        <v>12576.8</v>
      </c>
      <c r="E11" s="50" t="n">
        <v>21541.6</v>
      </c>
      <c r="F11" s="50" t="n"/>
      <c r="G11" s="50" t="n"/>
      <c r="H11" s="50" t="n">
        <v>27853.4</v>
      </c>
      <c r="I11" s="50" t="n"/>
      <c r="J11" s="50" t="n"/>
      <c r="K11" s="50" t="n">
        <v>5748.5</v>
      </c>
      <c r="L11" s="50" t="inlineStr">
        <is>
          <t>excl_property</t>
        </is>
      </c>
    </row>
    <row r="12">
      <c r="A12" s="50" t="inlineStr">
        <is>
          <t>2024-07</t>
        </is>
      </c>
      <c r="B12" s="50" t="inlineStr">
        <is>
          <t>July 31</t>
        </is>
      </c>
      <c r="C12" s="50" t="n">
        <v>9127.6</v>
      </c>
      <c r="D12" s="50" t="n">
        <v>12880.7</v>
      </c>
      <c r="E12" s="50" t="n">
        <v>22008.3</v>
      </c>
      <c r="F12" s="50" t="n"/>
      <c r="G12" s="50" t="n"/>
      <c r="H12" s="50" t="n">
        <v>28399.4</v>
      </c>
      <c r="I12" s="50" t="n"/>
      <c r="J12" s="50" t="n"/>
      <c r="K12" s="50" t="n"/>
      <c r="L12" s="50" t="inlineStr">
        <is>
          <t>excl_property</t>
        </is>
      </c>
    </row>
    <row r="13">
      <c r="A13" s="50" t="inlineStr">
        <is>
          <t>2024-08</t>
        </is>
      </c>
      <c r="B13" s="50" t="inlineStr">
        <is>
          <t>August 31</t>
        </is>
      </c>
      <c r="C13" s="50" t="n">
        <v>9278.200000000001</v>
      </c>
      <c r="D13" s="50" t="n">
        <v>13131.7</v>
      </c>
      <c r="E13" s="50" t="n">
        <v>22409.9</v>
      </c>
      <c r="F13" s="50" t="n"/>
      <c r="G13" s="50" t="n"/>
      <c r="H13" s="50" t="n">
        <v>28855.6</v>
      </c>
      <c r="I13" s="50" t="n"/>
      <c r="J13" s="50" t="n"/>
      <c r="K13" s="50" t="n"/>
      <c r="L13" s="50" t="inlineStr">
        <is>
          <t>excl_property</t>
        </is>
      </c>
    </row>
    <row r="14">
      <c r="A14" s="50" t="inlineStr">
        <is>
          <t>2024-09</t>
        </is>
      </c>
      <c r="B14" s="50" t="inlineStr">
        <is>
          <t>September 30</t>
        </is>
      </c>
      <c r="C14" s="50" t="n">
        <v>9415.6</v>
      </c>
      <c r="D14" s="50" t="n">
        <v>13387.9</v>
      </c>
      <c r="E14" s="50" t="n">
        <v>22803.5</v>
      </c>
      <c r="F14" s="50" t="n"/>
      <c r="G14" s="50" t="n"/>
      <c r="H14" s="50" t="n">
        <v>29278.5</v>
      </c>
      <c r="I14" s="50" t="n"/>
      <c r="J14" s="50" t="n"/>
      <c r="K14" s="50" t="n">
        <v>6570</v>
      </c>
      <c r="L14" s="50" t="inlineStr">
        <is>
          <t>excl_property</t>
        </is>
      </c>
    </row>
    <row r="15">
      <c r="A15" s="50" t="inlineStr">
        <is>
          <t>2024-10</t>
        </is>
      </c>
      <c r="B15" s="50" t="inlineStr">
        <is>
          <t>October 31</t>
        </is>
      </c>
      <c r="C15" s="50" t="n">
        <v>9580.9</v>
      </c>
      <c r="D15" s="50" t="n">
        <v>13653</v>
      </c>
      <c r="E15" s="50" t="n">
        <v>23233.9</v>
      </c>
      <c r="F15" s="50" t="n"/>
      <c r="G15" s="50" t="n"/>
      <c r="H15" s="50" t="n">
        <v>29738.3</v>
      </c>
      <c r="I15" s="50" t="n"/>
      <c r="J15" s="50" t="n"/>
      <c r="K15" s="50" t="n">
        <v>6577.8</v>
      </c>
      <c r="L15" s="50" t="inlineStr">
        <is>
          <t>excl_property</t>
        </is>
      </c>
    </row>
    <row r="16">
      <c r="A16" s="50" t="inlineStr">
        <is>
          <t>2024-11</t>
        </is>
      </c>
      <c r="B16" s="50" t="inlineStr">
        <is>
          <t>November 30</t>
        </is>
      </c>
      <c r="C16" s="50" t="n">
        <v>9700.5</v>
      </c>
      <c r="D16" s="50" t="n">
        <v>13863.6</v>
      </c>
      <c r="E16" s="50" t="n">
        <v>23564.1</v>
      </c>
      <c r="F16" s="50" t="n"/>
      <c r="G16" s="50" t="n"/>
      <c r="H16" s="50" t="n">
        <v>30080.5</v>
      </c>
      <c r="I16" s="50" t="n"/>
      <c r="J16" s="50" t="n"/>
      <c r="K16" s="50" t="n">
        <v>5563.3</v>
      </c>
      <c r="L16" s="50" t="inlineStr">
        <is>
          <t>excl_property</t>
        </is>
      </c>
    </row>
    <row r="17">
      <c r="A17" s="50" t="inlineStr">
        <is>
          <t>2024-12</t>
        </is>
      </c>
      <c r="B17" s="50" t="inlineStr">
        <is>
          <t>December 31</t>
        </is>
      </c>
      <c r="C17" s="50" t="n">
        <v>9778</v>
      </c>
      <c r="D17" s="50" t="n">
        <v>13996</v>
      </c>
      <c r="E17" s="50" t="n">
        <v>23774</v>
      </c>
      <c r="F17" s="50" t="n">
        <v>6520</v>
      </c>
      <c r="G17" s="50" t="n">
        <v>3517</v>
      </c>
      <c r="H17" s="50" t="n">
        <v>33811</v>
      </c>
      <c r="I17" s="50" t="n">
        <v>1141</v>
      </c>
      <c r="J17" s="50" t="n"/>
      <c r="K17" s="50" t="n">
        <v>5964</v>
      </c>
      <c r="L17" s="50" t="inlineStr">
        <is>
          <t>incl_property</t>
        </is>
      </c>
    </row>
    <row r="18">
      <c r="A18" s="50" t="inlineStr">
        <is>
          <t>2025-01</t>
        </is>
      </c>
      <c r="B18" s="50" t="inlineStr">
        <is>
          <t>January 31</t>
        </is>
      </c>
      <c r="C18" s="50" t="n">
        <v>9882</v>
      </c>
      <c r="D18" s="50" t="n">
        <v>14224</v>
      </c>
      <c r="E18" s="50" t="n">
        <v>24106</v>
      </c>
      <c r="F18" s="50" t="n">
        <v>6540</v>
      </c>
      <c r="G18" s="50" t="n">
        <v>3535</v>
      </c>
      <c r="H18" s="50" t="n">
        <v>34181</v>
      </c>
      <c r="I18" s="50" t="n">
        <v>1146</v>
      </c>
      <c r="J18" s="50" t="n"/>
      <c r="K18" s="50" t="n">
        <v>6481</v>
      </c>
      <c r="L18" s="50" t="inlineStr">
        <is>
          <t>incl_property</t>
        </is>
      </c>
    </row>
    <row r="19">
      <c r="A19" s="50" t="inlineStr">
        <is>
          <t>2025-02</t>
        </is>
      </c>
      <c r="B19" s="50" t="n"/>
      <c r="C19" s="50" t="n">
        <v>9950</v>
      </c>
      <c r="D19" s="50" t="n">
        <v>14395</v>
      </c>
      <c r="E19" s="50" t="n">
        <v>24345</v>
      </c>
      <c r="F19" s="50" t="n">
        <v>6568</v>
      </c>
      <c r="G19" s="50" t="n">
        <v>3556</v>
      </c>
      <c r="H19" s="50" t="n">
        <v>34469</v>
      </c>
      <c r="I19" s="50" t="n">
        <v>1151</v>
      </c>
      <c r="J19" s="50" t="n"/>
      <c r="K19" s="50" t="n">
        <v>6684</v>
      </c>
      <c r="L19" s="50" t="inlineStr">
        <is>
          <t>incl_property</t>
        </is>
      </c>
    </row>
    <row r="20">
      <c r="A20" s="50" t="inlineStr">
        <is>
          <t>2025-03</t>
        </is>
      </c>
      <c r="B20" s="50" t="inlineStr">
        <is>
          <t>March 31</t>
        </is>
      </c>
      <c r="C20" s="50" t="n">
        <v>10146</v>
      </c>
      <c r="D20" s="50" t="n">
        <v>14771</v>
      </c>
      <c r="E20" s="50" t="n">
        <v>24917</v>
      </c>
      <c r="F20" s="50" t="n">
        <v>6637</v>
      </c>
      <c r="G20" s="50" t="n">
        <v>3576</v>
      </c>
      <c r="H20" s="50" t="n">
        <v>35130</v>
      </c>
      <c r="I20" s="50" t="n">
        <v>1162</v>
      </c>
      <c r="J20" s="50" t="n"/>
      <c r="K20" s="50" t="n">
        <v>9041</v>
      </c>
      <c r="L20" s="50" t="inlineStr">
        <is>
          <t>incl_property</t>
        </is>
      </c>
    </row>
    <row r="21">
      <c r="A21" s="50" t="inlineStr">
        <is>
          <t>2025-04</t>
        </is>
      </c>
      <c r="B21" s="50" t="inlineStr">
        <is>
          <t>April 30</t>
        </is>
      </c>
      <c r="C21" s="50" t="n">
        <v>10246</v>
      </c>
      <c r="D21" s="50" t="n">
        <v>14938</v>
      </c>
      <c r="E21" s="50" t="n">
        <v>25184</v>
      </c>
      <c r="F21" s="50" t="n">
        <v>6705</v>
      </c>
      <c r="G21" s="50" t="n">
        <v>3590</v>
      </c>
      <c r="H21" s="50" t="n">
        <v>35479</v>
      </c>
      <c r="I21" s="50" t="n">
        <v>1174</v>
      </c>
      <c r="J21" s="50" t="n"/>
      <c r="K21" s="50" t="n">
        <v>6837</v>
      </c>
      <c r="L21" s="50" t="inlineStr">
        <is>
          <t>incl_property</t>
        </is>
      </c>
    </row>
    <row r="22">
      <c r="A22" s="50" t="inlineStr">
        <is>
          <t>2025-05</t>
        </is>
      </c>
      <c r="B22" s="50" t="inlineStr">
        <is>
          <t>May 31</t>
        </is>
      </c>
      <c r="C22" s="50" t="n">
        <v>10341</v>
      </c>
      <c r="D22" s="50" t="n">
        <v>15089</v>
      </c>
      <c r="E22" s="50" t="n">
        <v>25430</v>
      </c>
      <c r="F22" s="50" t="n">
        <v>6787</v>
      </c>
      <c r="G22" s="50" t="n">
        <v>3601</v>
      </c>
      <c r="H22" s="50" t="n">
        <v>35818</v>
      </c>
      <c r="I22" s="50" t="n">
        <v>1184</v>
      </c>
      <c r="J22" s="50" t="n"/>
      <c r="K22" s="50" t="n">
        <v>6634</v>
      </c>
      <c r="L22" s="50" t="inlineStr">
        <is>
          <t>incl_property</t>
        </is>
      </c>
    </row>
    <row r="23">
      <c r="A23" s="50" t="inlineStr">
        <is>
          <t>2025-06</t>
        </is>
      </c>
      <c r="B23" s="50" t="inlineStr">
        <is>
          <t>June 30</t>
        </is>
      </c>
      <c r="C23" s="50" t="n">
        <v>10423</v>
      </c>
      <c r="D23" s="50" t="n">
        <v>15245</v>
      </c>
      <c r="E23" s="50" t="n">
        <v>25668</v>
      </c>
      <c r="F23" s="50" t="n">
        <v>6850</v>
      </c>
      <c r="G23" s="50" t="n">
        <v>3608</v>
      </c>
      <c r="H23" s="50" t="n">
        <v>36126</v>
      </c>
      <c r="I23" s="50" t="n">
        <v>1189</v>
      </c>
      <c r="J23" s="50" t="n"/>
      <c r="K23" s="50" t="n">
        <v>6605</v>
      </c>
      <c r="L23" s="50" t="inlineStr">
        <is>
          <t>incl_property</t>
        </is>
      </c>
    </row>
    <row r="24">
      <c r="A24" s="50" t="inlineStr">
        <is>
          <t>2025-07</t>
        </is>
      </c>
      <c r="B24" s="50" t="inlineStr">
        <is>
          <t>July 31</t>
        </is>
      </c>
      <c r="C24" s="50" t="n">
        <v>10510</v>
      </c>
      <c r="D24" s="50" t="n">
        <v>15392</v>
      </c>
      <c r="E24" s="50" t="n">
        <v>25902</v>
      </c>
      <c r="F24" s="50" t="n">
        <v>6915</v>
      </c>
      <c r="G24" s="50" t="n">
        <v>3622</v>
      </c>
      <c r="H24" s="50" t="n">
        <v>36439</v>
      </c>
      <c r="I24" s="50" t="n">
        <v>1194</v>
      </c>
      <c r="J24" s="50" t="n"/>
      <c r="K24" s="50" t="n">
        <v>7057</v>
      </c>
      <c r="L24" s="50" t="inlineStr">
        <is>
          <t>incl_property</t>
        </is>
      </c>
    </row>
    <row r="25">
      <c r="A25" s="50" t="inlineStr">
        <is>
          <t>2025-08</t>
        </is>
      </c>
      <c r="B25" s="50" t="inlineStr">
        <is>
          <t>August 31</t>
        </is>
      </c>
      <c r="C25" s="50" t="n">
        <v>10575</v>
      </c>
      <c r="D25" s="50" t="n">
        <v>15524</v>
      </c>
      <c r="E25" s="50" t="n">
        <v>26099</v>
      </c>
      <c r="F25" s="50" t="n">
        <v>6955</v>
      </c>
      <c r="G25" s="50" t="n">
        <v>3639</v>
      </c>
      <c r="H25" s="50" t="n">
        <v>36693</v>
      </c>
      <c r="I25" s="50" t="n">
        <v>1197</v>
      </c>
      <c r="J25" s="50" t="n"/>
      <c r="K25" s="50" t="n">
        <v>7199</v>
      </c>
      <c r="L25" s="50" t="inlineStr">
        <is>
          <t>incl_property</t>
        </is>
      </c>
    </row>
    <row r="26">
      <c r="A26" s="50" t="inlineStr">
        <is>
          <t>2025-09</t>
        </is>
      </c>
      <c r="B26" s="50" t="inlineStr">
        <is>
          <t>September 30</t>
        </is>
      </c>
      <c r="C26" s="50" t="n">
        <v>10630</v>
      </c>
      <c r="D26" s="50" t="n">
        <v>15619</v>
      </c>
      <c r="E26" s="50" t="n">
        <v>26249</v>
      </c>
      <c r="F26" s="50" t="n">
        <v>6980</v>
      </c>
      <c r="G26" s="50" t="n">
        <v>3651</v>
      </c>
      <c r="H26" s="50" t="n">
        <v>36880</v>
      </c>
      <c r="I26" s="50" t="n">
        <v>1198</v>
      </c>
      <c r="J26" s="50" t="n"/>
      <c r="K26" s="50" t="n">
        <v>7128</v>
      </c>
      <c r="L26" s="50" t="inlineStr">
        <is>
          <t>incl_property</t>
        </is>
      </c>
    </row>
    <row r="27">
      <c r="A27" s="50" t="inlineStr">
        <is>
          <t>2025-10</t>
        </is>
      </c>
      <c r="B27" s="50" t="inlineStr">
        <is>
          <t>October 31</t>
        </is>
      </c>
      <c r="C27" s="50" t="n">
        <v>10720</v>
      </c>
      <c r="D27" s="50" t="n">
        <v>15802</v>
      </c>
      <c r="E27" s="50" t="n">
        <v>26522</v>
      </c>
      <c r="F27" s="50" t="n">
        <v>6996</v>
      </c>
      <c r="G27" s="50" t="n">
        <v>3660</v>
      </c>
      <c r="H27" s="50" t="n">
        <v>37178</v>
      </c>
      <c r="I27" s="50" t="n">
        <v>1201</v>
      </c>
      <c r="J27" s="50" t="n"/>
      <c r="K27" s="50" t="n">
        <v>7002</v>
      </c>
      <c r="L27" s="50" t="inlineStr">
        <is>
          <t>incl_property</t>
        </is>
      </c>
    </row>
    <row r="28">
      <c r="A28" s="50" t="inlineStr">
        <is>
          <t>2025-11</t>
        </is>
      </c>
      <c r="B28" s="50" t="inlineStr">
        <is>
          <t>November 30</t>
        </is>
      </c>
      <c r="C28" s="50" t="n">
        <v>10713</v>
      </c>
      <c r="D28" s="50" t="n">
        <v>15856</v>
      </c>
      <c r="E28" s="50" t="n">
        <v>26569</v>
      </c>
      <c r="F28" s="50" t="n">
        <v>6992</v>
      </c>
      <c r="G28" s="50" t="n">
        <v>3657</v>
      </c>
      <c r="H28" s="50" t="n">
        <v>37218</v>
      </c>
      <c r="I28" s="50" t="n">
        <v>1196</v>
      </c>
      <c r="J28" s="50" t="n"/>
      <c r="K28" s="50" t="n">
        <v>6193</v>
      </c>
      <c r="L28" s="50" t="inlineStr">
        <is>
          <t>incl_property</t>
        </is>
      </c>
    </row>
    <row r="29">
      <c r="A29" s="50" t="inlineStr">
        <is>
          <t>2025-12</t>
        </is>
      </c>
      <c r="B29" s="50" t="inlineStr">
        <is>
          <t>December 31</t>
        </is>
      </c>
      <c r="C29" s="50" t="n">
        <v>10787</v>
      </c>
      <c r="D29" s="50" t="n">
        <v>15993</v>
      </c>
      <c r="E29" s="50" t="n">
        <v>26780</v>
      </c>
      <c r="F29" s="50" t="n">
        <v>6998</v>
      </c>
      <c r="G29" s="50" t="n">
        <v>3650</v>
      </c>
      <c r="H29" s="50" t="n">
        <v>37428</v>
      </c>
      <c r="I29" s="50" t="n">
        <v>1191</v>
      </c>
      <c r="J29" s="50" t="n">
        <v>38619</v>
      </c>
      <c r="K29" s="50" t="n">
        <v>6313</v>
      </c>
      <c r="L29" s="50" t="inlineStr">
        <is>
          <t>incl_property</t>
        </is>
      </c>
    </row>
    <row r="30">
      <c r="A30" s="50" t="inlineStr">
        <is>
          <t>2026-01</t>
        </is>
      </c>
      <c r="B30" s="50" t="inlineStr">
        <is>
          <t>January 31</t>
        </is>
      </c>
      <c r="C30" s="50" t="n">
        <v>10855</v>
      </c>
      <c r="D30" s="50" t="n">
        <v>16164</v>
      </c>
      <c r="E30" s="50" t="n">
        <v>27019</v>
      </c>
      <c r="F30" s="50" t="n">
        <v>7012</v>
      </c>
      <c r="G30" s="50" t="n">
        <v>3655</v>
      </c>
      <c r="H30" s="50" t="n">
        <v>37686</v>
      </c>
      <c r="I30" s="50" t="n">
        <v>1189</v>
      </c>
      <c r="J30" s="50" t="n">
        <v>38875</v>
      </c>
      <c r="K30" s="50" t="n">
        <v>6735</v>
      </c>
      <c r="L30" s="50" t="inlineStr">
        <is>
          <t>incl_property</t>
        </is>
      </c>
    </row>
    <row r="31">
      <c r="A31" s="50" t="inlineStr">
        <is>
          <t>2026-02</t>
        </is>
      </c>
      <c r="B31" s="50" t="inlineStr">
        <is>
          <t>February 28</t>
        </is>
      </c>
      <c r="C31" s="50" t="n">
        <v>10959</v>
      </c>
      <c r="D31" s="50" t="n">
        <v>16383</v>
      </c>
      <c r="E31" s="50" t="n">
        <v>27342</v>
      </c>
      <c r="F31" s="50" t="n">
        <v>7041</v>
      </c>
      <c r="G31" s="50" t="n">
        <v>3649</v>
      </c>
      <c r="H31" s="50" t="n">
        <v>38032</v>
      </c>
      <c r="I31" s="50" t="n">
        <v>1188</v>
      </c>
      <c r="J31" s="50" t="n">
        <v>39220</v>
      </c>
      <c r="K31" s="50" t="n">
        <v>6995</v>
      </c>
      <c r="L31" s="50" t="inlineStr">
        <is>
          <t>incl_property</t>
        </is>
      </c>
    </row>
    <row r="32">
      <c r="A32" s="50" t="inlineStr">
        <is>
          <t>2026-03</t>
        </is>
      </c>
      <c r="B32" s="50" t="inlineStr">
        <is>
          <t>March 31</t>
        </is>
      </c>
      <c r="C32" s="50" t="n">
        <v>11056</v>
      </c>
      <c r="D32" s="50" t="n">
        <v>16572</v>
      </c>
      <c r="E32" s="50" t="n">
        <v>27628</v>
      </c>
      <c r="F32" s="50" t="n">
        <v>7101</v>
      </c>
      <c r="G32" s="50" t="n">
        <v>3640</v>
      </c>
      <c r="H32" s="50" t="n">
        <v>38369</v>
      </c>
      <c r="I32" s="50" t="n">
        <v>1196</v>
      </c>
      <c r="J32" s="50" t="n">
        <v>39565</v>
      </c>
      <c r="K32" s="50" t="n">
        <v>9911</v>
      </c>
      <c r="L32" s="50" t="inlineStr">
        <is>
          <t>incl_property</t>
        </is>
      </c>
    </row>
    <row r="33">
      <c r="A33" s="50" t="inlineStr">
        <is>
          <t>2026-04</t>
        </is>
      </c>
      <c r="B33" s="50" t="inlineStr">
        <is>
          <t>April 30</t>
        </is>
      </c>
      <c r="C33" s="50" t="n">
        <v>11108</v>
      </c>
      <c r="D33" s="50" t="n">
        <v>16645</v>
      </c>
      <c r="E33" s="50" t="n">
        <v>27753</v>
      </c>
      <c r="F33" s="50" t="n">
        <v>7168</v>
      </c>
      <c r="G33" s="50" t="n">
        <v>3639</v>
      </c>
      <c r="H33" s="50" t="n">
        <v>38560</v>
      </c>
      <c r="I33" s="50" t="n">
        <v>1207</v>
      </c>
      <c r="J33" s="50" t="n">
        <v>39767</v>
      </c>
      <c r="K33" s="50" t="n">
        <v>7278</v>
      </c>
      <c r="L33" s="50" t="inlineStr">
        <is>
          <t>incl_property</t>
        </is>
      </c>
    </row>
    <row r="34">
      <c r="A34" s="50" t="inlineStr">
        <is>
          <t>2026-05</t>
        </is>
      </c>
      <c r="B34" s="50" t="inlineStr">
        <is>
          <t>May 31</t>
        </is>
      </c>
      <c r="C34" s="50" t="n">
        <v>11172</v>
      </c>
      <c r="D34" s="50" t="n">
        <v>16715</v>
      </c>
      <c r="E34" s="50" t="n">
        <v>27887</v>
      </c>
      <c r="F34" s="50" t="n">
        <v>7234</v>
      </c>
      <c r="G34" s="50" t="n">
        <v>3632</v>
      </c>
      <c r="H34" s="50" t="n">
        <v>38753</v>
      </c>
      <c r="I34" s="50" t="n">
        <v>1217</v>
      </c>
      <c r="J34" s="50" t="n">
        <v>39970</v>
      </c>
      <c r="K34" s="50" t="n">
        <v>7027</v>
      </c>
      <c r="L34" s="50" t="inlineStr">
        <is>
          <t>incl_property</t>
        </is>
      </c>
    </row>
    <row r="35">
      <c r="A35" s="50" t="inlineStr">
        <is>
          <t>2026-06</t>
        </is>
      </c>
      <c r="B35" s="50" t="inlineStr">
        <is>
          <t>June 30</t>
        </is>
      </c>
      <c r="C35" s="50" t="n">
        <v>11211</v>
      </c>
      <c r="D35" s="50" t="n">
        <v>16721</v>
      </c>
      <c r="E35" s="50" t="n">
        <v>27932</v>
      </c>
      <c r="F35" s="50" t="n">
        <v>7297</v>
      </c>
      <c r="G35" s="50" t="n">
        <v>3631</v>
      </c>
      <c r="H35" s="50" t="n">
        <v>38860</v>
      </c>
      <c r="I35" s="50" t="n">
        <v>1226</v>
      </c>
      <c r="J35" s="50" t="n">
        <v>40086</v>
      </c>
      <c r="K35" s="50" t="n">
        <v>6772</v>
      </c>
      <c r="L35" s="50" t="inlineStr">
        <is>
          <t>incl_property</t>
        </is>
      </c>
    </row>
    <row r="36">
      <c r="A36" s="50" t="inlineStr">
        <is>
          <t>2026-07</t>
        </is>
      </c>
      <c r="B36" s="50" t="inlineStr">
        <is>
          <t>July 31</t>
        </is>
      </c>
      <c r="C36" s="50" t="n">
        <v>11282</v>
      </c>
      <c r="D36" s="50" t="n">
        <v>16800</v>
      </c>
      <c r="E36" s="50" t="n">
        <v>28082</v>
      </c>
      <c r="F36" s="50" t="n">
        <v>7351</v>
      </c>
      <c r="G36" s="50" t="n">
        <v>3635</v>
      </c>
      <c r="H36" s="50" t="n">
        <v>39068</v>
      </c>
      <c r="I36" s="50" t="n">
        <v>1236</v>
      </c>
      <c r="J36" s="50" t="n">
        <v>40304</v>
      </c>
      <c r="K36" s="50" t="n">
        <v>7441</v>
      </c>
      <c r="L36" s="50" t="inlineStr">
        <is>
          <t>incl_property</t>
        </is>
      </c>
    </row>
  </sheetData>
  <mergeCells count="1">
    <mergeCell ref="A2:L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1"/>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10" customWidth="1" min="3" max="3"/>
    <col width="16" customWidth="1" min="4" max="4"/>
    <col width="10" customWidth="1" min="5" max="5"/>
    <col width="10" customWidth="1" min="6" max="6"/>
    <col width="10" customWidth="1" min="7" max="7"/>
  </cols>
  <sheetData>
    <row r="1">
      <c r="A1" s="1" t="inlineStr">
        <is>
          <t>geico_frequency_series.csv</t>
        </is>
      </c>
    </row>
    <row r="2" ht="42" customHeight="1">
      <c r="A2" s="6" t="inlineStr">
        <is>
          <t>Berkshire Hathaway 10-Q/10-K sentences on GEICO claims frequency, SEC EDGAR (CIK 0001067983).</t>
        </is>
      </c>
    </row>
    <row r="3">
      <c r="A3" s="2" t="inlineStr">
        <is>
          <t>data/csv/geico_frequency_series.csv · 47 rows · BLUE = raw data as committed; do not type over it — edit the CSV and rebuild.</t>
        </is>
      </c>
    </row>
    <row r="4">
      <c r="A4" s="7" t="inlineStr">
        <is>
          <t>form</t>
        </is>
      </c>
      <c r="B4" s="7" t="inlineStr">
        <is>
          <t>report_date</t>
        </is>
      </c>
      <c r="C4" s="7" t="inlineStr">
        <is>
          <t>filed</t>
        </is>
      </c>
      <c r="D4" s="7" t="inlineStr">
        <is>
          <t>period_covered</t>
        </is>
      </c>
      <c r="E4" s="7" t="inlineStr">
        <is>
          <t>n_bands</t>
        </is>
      </c>
      <c r="F4" s="7" t="inlineStr">
        <is>
          <t>bands</t>
        </is>
      </c>
      <c r="G4" s="7" t="inlineStr">
        <is>
          <t>sentence</t>
        </is>
      </c>
    </row>
    <row r="5">
      <c r="A5" s="50" t="inlineStr">
        <is>
          <t>10-K</t>
        </is>
      </c>
      <c r="B5" s="50" t="inlineStr">
        <is>
          <t>2016-12-31</t>
        </is>
      </c>
      <c r="C5" s="50" t="inlineStr">
        <is>
          <t>2017-02-27</t>
        </is>
      </c>
      <c r="D5" s="50" t="inlineStr">
        <is>
          <t>in 2016</t>
        </is>
      </c>
      <c r="E5" s="50" t="n">
        <v>0</v>
      </c>
      <c r="F5" s="50" t="n"/>
      <c r="G5" s="50" t="inlineStr">
        <is>
          <t>Claims frequencies (claim counts per exposure unit) in 2016 for property damage, collision, bodily injury and personal injury protection (PIP) coverages were relatively unchanged from 2015.</t>
        </is>
      </c>
    </row>
    <row r="6">
      <c r="A6" s="50" t="inlineStr">
        <is>
          <t>10-K</t>
        </is>
      </c>
      <c r="B6" s="50" t="inlineStr">
        <is>
          <t>2016-12-31</t>
        </is>
      </c>
      <c r="C6" s="50" t="inlineStr">
        <is>
          <t>2017-02-27</t>
        </is>
      </c>
      <c r="D6" s="50" t="inlineStr">
        <is>
          <t>in 2015</t>
        </is>
      </c>
      <c r="E6" s="50" t="n">
        <v>3</v>
      </c>
      <c r="F6" s="50" t="inlineStr">
        <is>
          <t>3-5;4-6;1-2</t>
        </is>
      </c>
      <c r="G6" s="50" t="inlineStr">
        <is>
          <t>Claims frequencies in 2015 increased in all major coverages over 2014, including property damage and collision coverages (three to five percent range), bodily injury coverage (four to six percent range) and PIP (one to two percent range).</t>
        </is>
      </c>
    </row>
    <row r="7">
      <c r="A7" s="50" t="inlineStr">
        <is>
          <t>10-K</t>
        </is>
      </c>
      <c r="B7" s="50" t="inlineStr">
        <is>
          <t>2017-12-31</t>
        </is>
      </c>
      <c r="C7" s="50" t="inlineStr">
        <is>
          <t>2018-02-26</t>
        </is>
      </c>
      <c r="D7" s="50" t="inlineStr">
        <is>
          <t>in 2017</t>
        </is>
      </c>
      <c r="E7" s="50" t="n">
        <v>0</v>
      </c>
      <c r="F7" s="50" t="n"/>
      <c r="G7" s="50" t="inlineStr">
        <is>
          <t>Claims frequencies in 2017 were relatively unchanged compared to 2016 for bodily injury coverage, decreased about one percent for property damage and collision coverages and decreased about two to three percent for personal injury protection coverage.</t>
        </is>
      </c>
    </row>
    <row r="8">
      <c r="A8" s="50" t="inlineStr">
        <is>
          <t>10-K</t>
        </is>
      </c>
      <c r="B8" s="50" t="inlineStr">
        <is>
          <t>2017-12-31</t>
        </is>
      </c>
      <c r="C8" s="50" t="inlineStr">
        <is>
          <t>2018-02-26</t>
        </is>
      </c>
      <c r="D8" s="50" t="inlineStr">
        <is>
          <t>in 2016</t>
        </is>
      </c>
      <c r="E8" s="50" t="n">
        <v>0</v>
      </c>
      <c r="F8" s="50" t="n"/>
      <c r="G8" s="50" t="inlineStr">
        <is>
          <t>Claims frequencies in 2016 were relatively unchanged from 2015 for property damage, collision, bodily injury and personal injury protection coverages.</t>
        </is>
      </c>
    </row>
    <row r="9">
      <c r="A9" s="50" t="inlineStr">
        <is>
          <t>10-K</t>
        </is>
      </c>
      <c r="B9" s="50" t="inlineStr">
        <is>
          <t>2018-12-31</t>
        </is>
      </c>
      <c r="C9" s="50" t="inlineStr">
        <is>
          <t>2019-02-25</t>
        </is>
      </c>
      <c r="D9" s="50" t="inlineStr">
        <is>
          <t>in 2018</t>
        </is>
      </c>
      <c r="E9" s="50" t="n">
        <v>1</v>
      </c>
      <c r="F9" s="50" t="inlineStr">
        <is>
          <t>2-4</t>
        </is>
      </c>
      <c r="G9" s="50" t="inlineStr">
        <is>
          <t>In addition, claims frequencies in 2018 for property damage, collision, and bodily and personal injury protection coverages declined (two to four percent range) compared to 2017.</t>
        </is>
      </c>
    </row>
    <row r="10">
      <c r="A10" s="50" t="inlineStr">
        <is>
          <t>10-K</t>
        </is>
      </c>
      <c r="B10" s="50" t="inlineStr">
        <is>
          <t>2018-12-31</t>
        </is>
      </c>
      <c r="C10" s="50" t="inlineStr">
        <is>
          <t>2019-02-25</t>
        </is>
      </c>
      <c r="D10" s="50" t="inlineStr">
        <is>
          <t>in 2017</t>
        </is>
      </c>
      <c r="E10" s="50" t="n">
        <v>0</v>
      </c>
      <c r="F10" s="50" t="n"/>
      <c r="G10" s="50" t="inlineStr">
        <is>
          <t>Claims frequencies in 2017 were relatively unchanged compared to 2016 for bodily injury coverage, decreased about one percent for property damage and collision coverages and decreased about two to three percent for personal injury protection coverage.</t>
        </is>
      </c>
    </row>
    <row r="11">
      <c r="A11" s="50" t="inlineStr">
        <is>
          <t>10-K</t>
        </is>
      </c>
      <c r="B11" s="50" t="inlineStr">
        <is>
          <t>2019-12-31</t>
        </is>
      </c>
      <c r="C11" s="50" t="inlineStr">
        <is>
          <t>2020-02-24</t>
        </is>
      </c>
      <c r="D11" s="50" t="inlineStr">
        <is>
          <t>in 2019</t>
        </is>
      </c>
      <c r="E11" s="50" t="n">
        <v>2</v>
      </c>
      <c r="F11" s="50" t="inlineStr">
        <is>
          <t>2-4;1-2</t>
        </is>
      </c>
      <c r="G11" s="50" t="inlineStr">
        <is>
          <t>Claims frequencies in 2019 declined compared to 2018 for property damage and collision coverages (two to four percent range) and personal injury protection coverage (one to two percent range) and were relatively unchanged for bodily injury coverage.</t>
        </is>
      </c>
    </row>
    <row r="12">
      <c r="A12" s="50" t="inlineStr">
        <is>
          <t>10-K</t>
        </is>
      </c>
      <c r="B12" s="50" t="inlineStr">
        <is>
          <t>2019-12-31</t>
        </is>
      </c>
      <c r="C12" s="50" t="inlineStr">
        <is>
          <t>2020-02-24</t>
        </is>
      </c>
      <c r="D12" s="50" t="inlineStr">
        <is>
          <t>in 2018</t>
        </is>
      </c>
      <c r="E12" s="50" t="n">
        <v>1</v>
      </c>
      <c r="F12" s="50" t="inlineStr">
        <is>
          <t>2-4</t>
        </is>
      </c>
      <c r="G12" s="50" t="inlineStr">
        <is>
          <t>Claims frequencies in 2018 for property damage, collision, and bodily and personal injury protection coverages declined (two to four percent range) compared to 2017.</t>
        </is>
      </c>
    </row>
    <row r="13">
      <c r="A13" s="50" t="inlineStr">
        <is>
          <t>10-K</t>
        </is>
      </c>
      <c r="B13" s="50" t="inlineStr">
        <is>
          <t>2020-12-31</t>
        </is>
      </c>
      <c r="C13" s="50" t="inlineStr">
        <is>
          <t>2021-03-01</t>
        </is>
      </c>
      <c r="D13" s="50" t="inlineStr">
        <is>
          <t>in 2020</t>
        </is>
      </c>
      <c r="E13" s="50" t="n">
        <v>2</v>
      </c>
      <c r="F13" s="50" t="inlineStr">
        <is>
          <t>28-30;23-24</t>
        </is>
      </c>
      <c r="G13" s="50" t="inlineStr">
        <is>
          <t>Claims frequencies in 2020 were lower for property damage, bodily injury and personal injury protection coverages (twenty-eight to thirty percent range) and collision coverage (twenty-three to twenty-four percent range) compared to 2019.</t>
        </is>
      </c>
    </row>
    <row r="14">
      <c r="A14" s="50" t="inlineStr">
        <is>
          <t>10-K</t>
        </is>
      </c>
      <c r="B14" s="50" t="inlineStr">
        <is>
          <t>2020-12-31</t>
        </is>
      </c>
      <c r="C14" s="50" t="inlineStr">
        <is>
          <t>2021-03-01</t>
        </is>
      </c>
      <c r="D14" s="50" t="inlineStr">
        <is>
          <t>in 2019</t>
        </is>
      </c>
      <c r="E14" s="50" t="n">
        <v>2</v>
      </c>
      <c r="F14" s="50" t="inlineStr">
        <is>
          <t>2-4;1-2</t>
        </is>
      </c>
      <c r="G14" s="50" t="inlineStr">
        <is>
          <t>Claims frequencies in 2019 declined compared to 2018 for property damage and collision coverages (two to four percent range) and personal injury protection coverage (one to two percent range) and were relatively unchanged for bodily injury coverage.</t>
        </is>
      </c>
    </row>
    <row r="15">
      <c r="A15" s="50" t="inlineStr">
        <is>
          <t>10-K</t>
        </is>
      </c>
      <c r="B15" s="50" t="inlineStr">
        <is>
          <t>2021-12-31</t>
        </is>
      </c>
      <c r="C15" s="50" t="inlineStr">
        <is>
          <t>2022-02-28</t>
        </is>
      </c>
      <c r="D15" s="50" t="inlineStr">
        <is>
          <t>in 2021</t>
        </is>
      </c>
      <c r="E15" s="50" t="n">
        <v>3</v>
      </c>
      <c r="F15" s="50" t="inlineStr">
        <is>
          <t>13-14;16-17;21-22</t>
        </is>
      </c>
      <c r="G15" s="50" t="inlineStr">
        <is>
          <t>Claims frequencies in 2021 were higher for all coverages, including property damage and bodily injury (thirteen to fourteen percent range), personal injury (sixteen to seventeen percent range) and collision (twenty-one to twenty-two percent range).</t>
        </is>
      </c>
    </row>
    <row r="16">
      <c r="A16" s="50" t="inlineStr">
        <is>
          <t>10-K</t>
        </is>
      </c>
      <c r="B16" s="50" t="inlineStr">
        <is>
          <t>2021-12-31</t>
        </is>
      </c>
      <c r="C16" s="50" t="inlineStr">
        <is>
          <t>2022-02-28</t>
        </is>
      </c>
      <c r="D16" s="50" t="inlineStr">
        <is>
          <t>in 2020</t>
        </is>
      </c>
      <c r="E16" s="50" t="n">
        <v>2</v>
      </c>
      <c r="F16" s="50" t="inlineStr">
        <is>
          <t>28-30;23-24</t>
        </is>
      </c>
      <c r="G16" s="50" t="inlineStr">
        <is>
          <t>Claims frequencies in 2020 were lower for property damage, bodily injury and personal injury protection coverages (twenty-eight to thirty percent range) and collision coverage (twenty-three to twenty-four percent range) compared to 2019.</t>
        </is>
      </c>
    </row>
    <row r="17">
      <c r="A17" s="50" t="inlineStr">
        <is>
          <t>10-K</t>
        </is>
      </c>
      <c r="B17" s="50" t="inlineStr">
        <is>
          <t>2022-12-31</t>
        </is>
      </c>
      <c r="C17" s="50" t="inlineStr">
        <is>
          <t>2023-02-27</t>
        </is>
      </c>
      <c r="D17" s="50" t="inlineStr">
        <is>
          <t>in 2022</t>
        </is>
      </c>
      <c r="E17" s="50" t="n">
        <v>3</v>
      </c>
      <c r="F17" s="50" t="inlineStr">
        <is>
          <t>1-2;4-5;3-4</t>
        </is>
      </c>
      <c r="G17" s="50" t="inlineStr">
        <is>
          <t>Claims frequencies in 2022 were higher for all coverages, including property damage (one to two percent range), bodily injury and collision (four to five percent range) and personal injury (three to four percent range).</t>
        </is>
      </c>
    </row>
    <row r="18">
      <c r="A18" s="50" t="inlineStr">
        <is>
          <t>10-K</t>
        </is>
      </c>
      <c r="B18" s="50" t="inlineStr">
        <is>
          <t>2022-12-31</t>
        </is>
      </c>
      <c r="C18" s="50" t="inlineStr">
        <is>
          <t>2023-02-27</t>
        </is>
      </c>
      <c r="D18" s="50" t="inlineStr">
        <is>
          <t>in 2021</t>
        </is>
      </c>
      <c r="E18" s="50" t="n">
        <v>3</v>
      </c>
      <c r="F18" s="50" t="inlineStr">
        <is>
          <t>13-14;16-17;21-22</t>
        </is>
      </c>
      <c r="G18" s="50" t="inlineStr">
        <is>
          <t>Claims frequencies in 2021 were higher for all coverages, including property damage and bodily injury (thirteen to fourteen percent range), personal injury (sixteen to seventeen percent range) and collision (twenty-one to twenty-two percent range).</t>
        </is>
      </c>
    </row>
    <row r="19">
      <c r="A19" s="50" t="inlineStr">
        <is>
          <t>10-K</t>
        </is>
      </c>
      <c r="B19" s="50" t="inlineStr">
        <is>
          <t>2023-12-31</t>
        </is>
      </c>
      <c r="C19" s="50" t="inlineStr">
        <is>
          <t>2024-02-26</t>
        </is>
      </c>
      <c r="D19" s="50" t="inlineStr">
        <is>
          <t>in 2023</t>
        </is>
      </c>
      <c r="E19" s="50" t="n">
        <v>2</v>
      </c>
      <c r="F19" s="50" t="inlineStr">
        <is>
          <t>7-8;1-2</t>
        </is>
      </c>
      <c r="G19" s="50" t="inlineStr">
        <is>
          <t>K- 37 Management's Discussion and Analysis Insurance-Underwriting GEICO (Continued) Claims frequencies in 2023 were lower for property damage and collision coverages (seven to eight percent range), while claims frequencies increased for bodily injury coverage (one to two percent range).</t>
        </is>
      </c>
    </row>
    <row r="20">
      <c r="A20" s="50" t="inlineStr">
        <is>
          <t>10-K</t>
        </is>
      </c>
      <c r="B20" s="50" t="inlineStr">
        <is>
          <t>2023-12-31</t>
        </is>
      </c>
      <c r="C20" s="50" t="inlineStr">
        <is>
          <t>2024-02-26</t>
        </is>
      </c>
      <c r="D20" s="50" t="inlineStr">
        <is>
          <t>in 2022</t>
        </is>
      </c>
      <c r="E20" s="50" t="n">
        <v>3</v>
      </c>
      <c r="F20" s="50" t="inlineStr">
        <is>
          <t>1-2;4-5;3-4</t>
        </is>
      </c>
      <c r="G20" s="50" t="inlineStr">
        <is>
          <t>Claims frequencies in 2022 were higher for all coverages, including property damage (one to two percent range), bodily injury and collision (four to five percent range) and personal injury (three to four percent range).</t>
        </is>
      </c>
    </row>
    <row r="21">
      <c r="A21" s="50" t="inlineStr">
        <is>
          <t>10-K</t>
        </is>
      </c>
      <c r="B21" s="50" t="inlineStr">
        <is>
          <t>2024-12-31</t>
        </is>
      </c>
      <c r="C21" s="50" t="inlineStr">
        <is>
          <t>2025-02-24</t>
        </is>
      </c>
      <c r="D21" s="50" t="inlineStr">
        <is>
          <t>in 2024</t>
        </is>
      </c>
      <c r="E21" s="50" t="n">
        <v>2</v>
      </c>
      <c r="F21" s="50" t="inlineStr">
        <is>
          <t>2-3;8-9</t>
        </is>
      </c>
      <c r="G21" s="50" t="inlineStr">
        <is>
          <t>Claims frequencies declined in 2024 versus 2023 for property damage (two to three percent range) and collision (eight to nine percent range) coverages, with bodily injury down slightly.</t>
        </is>
      </c>
    </row>
    <row r="22">
      <c r="A22" s="50" t="inlineStr">
        <is>
          <t>10-K</t>
        </is>
      </c>
      <c r="B22" s="50" t="inlineStr">
        <is>
          <t>2025-12-31</t>
        </is>
      </c>
      <c r="C22" s="50" t="inlineStr">
        <is>
          <t>2026-03-02</t>
        </is>
      </c>
      <c r="D22" s="50" t="inlineStr">
        <is>
          <t>in 2025</t>
        </is>
      </c>
      <c r="E22" s="50" t="n">
        <v>2</v>
      </c>
      <c r="F22" s="50" t="inlineStr">
        <is>
          <t>1-3;4-6</t>
        </is>
      </c>
      <c r="G22" s="50" t="inlineStr">
        <is>
          <t>Private passenger auto claims frequencies declined in 2025 versus 2024 for property damage and collision coverages (one to three percent range), while bodily injury coverage frequency increased (four to six percent range).</t>
        </is>
      </c>
    </row>
    <row r="23">
      <c r="A23" s="50" t="inlineStr">
        <is>
          <t>10-K</t>
        </is>
      </c>
      <c r="B23" s="50" t="inlineStr">
        <is>
          <t>2025-12-31</t>
        </is>
      </c>
      <c r="C23" s="50" t="inlineStr">
        <is>
          <t>2026-03-02</t>
        </is>
      </c>
      <c r="D23" s="50" t="inlineStr">
        <is>
          <t>in 2024</t>
        </is>
      </c>
      <c r="E23" s="50" t="n">
        <v>2</v>
      </c>
      <c r="F23" s="50" t="inlineStr">
        <is>
          <t>2-3;8-9</t>
        </is>
      </c>
      <c r="G23" s="50" t="inlineStr">
        <is>
          <t>K- 36 Management's Discussion and Analysis Insurance-Underwriting GEICO Claims frequencies declined in 2024 versus 2023 for property damage (two to three percent range) and collision (eight to nine percent range) coverages, with bodily injury coverage down slightly.</t>
        </is>
      </c>
    </row>
    <row r="24">
      <c r="A24" s="50" t="inlineStr">
        <is>
          <t>10-Q</t>
        </is>
      </c>
      <c r="B24" s="50" t="inlineStr">
        <is>
          <t>2017-03-31</t>
        </is>
      </c>
      <c r="C24" s="50" t="inlineStr">
        <is>
          <t>2017-05-05</t>
        </is>
      </c>
      <c r="D24" s="50" t="inlineStr">
        <is>
          <t>first quarter of 2017</t>
        </is>
      </c>
      <c r="E24" s="50" t="n">
        <v>0</v>
      </c>
      <c r="F24" s="50" t="n"/>
      <c r="G24" s="50" t="inlineStr">
        <is>
          <t>Claims frequencies in the first quarter of 2017 for property damage and collision coverages were relatively unchanged compared to 2016, and increased two to three percent for bodily injury coverage.</t>
        </is>
      </c>
    </row>
    <row r="25">
      <c r="A25" s="50" t="inlineStr">
        <is>
          <t>10-Q</t>
        </is>
      </c>
      <c r="B25" s="50" t="inlineStr">
        <is>
          <t>2017-06-30</t>
        </is>
      </c>
      <c r="C25" s="50" t="inlineStr">
        <is>
          <t>2017-08-04</t>
        </is>
      </c>
      <c r="D25" s="50" t="inlineStr">
        <is>
          <t>first six months of 2017</t>
        </is>
      </c>
      <c r="E25" s="50" t="n">
        <v>0</v>
      </c>
      <c r="F25" s="50" t="n"/>
      <c r="G25" s="50" t="inlineStr">
        <is>
          <t>Claims frequencies in the first six months of 2017 were relatively flat for property damage and collision coverages, increased approximately three percent for bodily injury coverage and decreased about two percent for personal injury protection coverage compared to 2016.</t>
        </is>
      </c>
    </row>
    <row r="26">
      <c r="A26" s="50" t="inlineStr">
        <is>
          <t>10-Q</t>
        </is>
      </c>
      <c r="B26" s="50" t="inlineStr">
        <is>
          <t>2017-09-30</t>
        </is>
      </c>
      <c r="C26" s="50" t="inlineStr">
        <is>
          <t>2017-11-03</t>
        </is>
      </c>
      <c r="D26" s="50" t="inlineStr">
        <is>
          <t>first nine months of 2017</t>
        </is>
      </c>
      <c r="E26" s="50" t="n">
        <v>0</v>
      </c>
      <c r="F26" s="50" t="n"/>
      <c r="G26" s="50" t="inlineStr">
        <is>
          <t>Claims frequencies in the first nine months of 2017 were relatively flat compared to 2016 for property damage, collision and bodily injury coverages and decreased about three percent for personal injury protection coverage.</t>
        </is>
      </c>
    </row>
    <row r="27">
      <c r="A27" s="50" t="inlineStr">
        <is>
          <t>10-Q</t>
        </is>
      </c>
      <c r="B27" s="50" t="inlineStr">
        <is>
          <t>2018-03-31</t>
        </is>
      </c>
      <c r="C27" s="50" t="inlineStr">
        <is>
          <t>2018-05-07</t>
        </is>
      </c>
      <c r="D27" s="50" t="inlineStr">
        <is>
          <t>first quarter of 2018</t>
        </is>
      </c>
      <c r="E27" s="50" t="n">
        <v>0</v>
      </c>
      <c r="F27" s="50" t="n"/>
      <c r="G27" s="50" t="inlineStr">
        <is>
          <t>Claims frequencies in the first quarter of 2018 for property damage and collision coverages and personal injury protection coverage were down slightly compared to 2017, and decreased about two percent for bodily injury coverage.</t>
        </is>
      </c>
    </row>
    <row r="28">
      <c r="A28" s="50" t="inlineStr">
        <is>
          <t>10-Q</t>
        </is>
      </c>
      <c r="B28" s="50" t="inlineStr">
        <is>
          <t>2018-09-30</t>
        </is>
      </c>
      <c r="C28" s="50" t="inlineStr">
        <is>
          <t>2018-11-05</t>
        </is>
      </c>
      <c r="D28" s="50" t="inlineStr">
        <is>
          <t>first nine months of 2018</t>
        </is>
      </c>
      <c r="E28" s="50" t="n">
        <v>1</v>
      </c>
      <c r="F28" s="50" t="inlineStr">
        <is>
          <t>2-3</t>
        </is>
      </c>
      <c r="G28" s="50" t="inlineStr">
        <is>
          <t>Claims frequencies in the first nine months of 2018 for property damage, collision, and bodily and personal injury protection coverages declined (two to three percent range) compared to 2017.</t>
        </is>
      </c>
    </row>
    <row r="29">
      <c r="A29" s="50" t="inlineStr">
        <is>
          <t>10-Q</t>
        </is>
      </c>
      <c r="B29" s="50" t="inlineStr">
        <is>
          <t>2019-03-31</t>
        </is>
      </c>
      <c r="C29" s="50" t="inlineStr">
        <is>
          <t>2019-05-06</t>
        </is>
      </c>
      <c r="D29" s="50" t="inlineStr">
        <is>
          <t>first quarter of 2019</t>
        </is>
      </c>
      <c r="E29" s="50" t="n">
        <v>1</v>
      </c>
      <c r="F29" s="50" t="inlineStr">
        <is>
          <t>2-4</t>
        </is>
      </c>
      <c r="G29" s="50" t="inlineStr">
        <is>
          <t>Claims frequencies in the first quarter of 2019 for property damage and collision coverages and personal injury protection coverage were down (two to four percent range) compared to 2018 and were flat for bodily injury coverage.</t>
        </is>
      </c>
    </row>
    <row r="30">
      <c r="A30" s="50" t="inlineStr">
        <is>
          <t>10-Q</t>
        </is>
      </c>
      <c r="B30" s="50" t="inlineStr">
        <is>
          <t>2019-06-30</t>
        </is>
      </c>
      <c r="C30" s="50" t="inlineStr">
        <is>
          <t>2019-08-05</t>
        </is>
      </c>
      <c r="D30" s="50" t="inlineStr">
        <is>
          <t>first six months of 2019</t>
        </is>
      </c>
      <c r="E30" s="50" t="n">
        <v>1</v>
      </c>
      <c r="F30" s="50" t="inlineStr">
        <is>
          <t>2-4</t>
        </is>
      </c>
      <c r="G30" s="50" t="inlineStr">
        <is>
          <t>Claims frequencies in the first six months of 2019 for property damage and collision coverages and personal injury protection coverage were down (two to four percent range) compared to 2018 and were flat for bodily injury coverage.</t>
        </is>
      </c>
    </row>
    <row r="31">
      <c r="A31" s="50" t="inlineStr">
        <is>
          <t>10-Q</t>
        </is>
      </c>
      <c r="B31" s="50" t="inlineStr">
        <is>
          <t>2019-09-30</t>
        </is>
      </c>
      <c r="C31" s="50" t="inlineStr">
        <is>
          <t>2019-11-04</t>
        </is>
      </c>
      <c r="D31" s="50" t="inlineStr">
        <is>
          <t>first nine months of 2019</t>
        </is>
      </c>
      <c r="E31" s="50" t="n">
        <v>2</v>
      </c>
      <c r="F31" s="50" t="inlineStr">
        <is>
          <t>2-3;2-4</t>
        </is>
      </c>
      <c r="G31" s="50" t="inlineStr">
        <is>
          <t>Claims frequencies in the first nine months of 2019 declined for property damage and collision coverages (two to three percent range) and personal injury protection coverage (two to four percent range) compared to 2018 and were relatively unchanged for bodily injury coverage.</t>
        </is>
      </c>
    </row>
    <row r="32">
      <c r="A32" s="50" t="inlineStr">
        <is>
          <t>10-Q</t>
        </is>
      </c>
      <c r="B32" s="50" t="inlineStr">
        <is>
          <t>2020-03-31</t>
        </is>
      </c>
      <c r="C32" s="50" t="inlineStr">
        <is>
          <t>2020-05-04</t>
        </is>
      </c>
      <c r="D32" s="50" t="inlineStr">
        <is>
          <t>first quarter of 2020</t>
        </is>
      </c>
      <c r="E32" s="50" t="n">
        <v>3</v>
      </c>
      <c r="F32" s="50" t="inlineStr">
        <is>
          <t>12-14;9-11;6-8</t>
        </is>
      </c>
      <c r="G32" s="50" t="inlineStr">
        <is>
          <t>Claims frequencies in the first quarter of 2020 were lower for property damage and collision coverages (twelve to fourteen percent range), personal injury coverage (nine to eleven percent range) and bodily injury coverage (six to eight percent range).</t>
        </is>
      </c>
    </row>
    <row r="33">
      <c r="A33" s="50" t="inlineStr">
        <is>
          <t>10-Q</t>
        </is>
      </c>
      <c r="B33" s="50" t="inlineStr">
        <is>
          <t>2020-06-30</t>
        </is>
      </c>
      <c r="C33" s="50" t="inlineStr">
        <is>
          <t>2020-08-10</t>
        </is>
      </c>
      <c r="D33" s="50" t="inlineStr">
        <is>
          <t>first six months of 2020</t>
        </is>
      </c>
      <c r="E33" s="50" t="n">
        <v>2</v>
      </c>
      <c r="F33" s="50" t="inlineStr">
        <is>
          <t>27-30;24-26</t>
        </is>
      </c>
      <c r="G33" s="50" t="inlineStr">
        <is>
          <t>Claims frequencies in the first six months of 2020 were lower for property damage, bodily injury and personal injury protection coverages (twenty-seven to thirty percent range) and collision coverage (twenty-four to twenty-six percent range) compared to 2019.</t>
        </is>
      </c>
    </row>
    <row r="34">
      <c r="A34" s="50" t="inlineStr">
        <is>
          <t>10-Q</t>
        </is>
      </c>
      <c r="B34" s="50" t="inlineStr">
        <is>
          <t>2020-09-30</t>
        </is>
      </c>
      <c r="C34" s="50" t="inlineStr">
        <is>
          <t>2020-11-09</t>
        </is>
      </c>
      <c r="D34" s="50" t="inlineStr">
        <is>
          <t>first nine months of 2020</t>
        </is>
      </c>
      <c r="E34" s="50" t="n">
        <v>1</v>
      </c>
      <c r="F34" s="50" t="inlineStr">
        <is>
          <t>24-26</t>
        </is>
      </c>
      <c r="G34" s="50" t="inlineStr">
        <is>
          <t>Management's Discussion and Analysis of Financial Condition and Results of Operations Insurance-Underwriting (Continued) GEICO (Continued) Claims frequencies in the first nine months of 2020 were lower for property damage, bodily injury and personal injury protection coverages (twenty-nine to thirty-one percent range) and collision coverage (twenty-four to twenty-six percent range) compared to 2019.</t>
        </is>
      </c>
    </row>
    <row r="35">
      <c r="A35" s="50" t="inlineStr">
        <is>
          <t>10-Q</t>
        </is>
      </c>
      <c r="B35" s="50" t="inlineStr">
        <is>
          <t>2021-03-31</t>
        </is>
      </c>
      <c r="C35" s="50" t="inlineStr">
        <is>
          <t>2021-05-03</t>
        </is>
      </c>
      <c r="D35" s="50" t="inlineStr">
        <is>
          <t>first quarter of 2021</t>
        </is>
      </c>
      <c r="E35" s="50" t="n">
        <v>3</v>
      </c>
      <c r="F35" s="50" t="inlineStr">
        <is>
          <t>14-15;10-11;0-1</t>
        </is>
      </c>
      <c r="G35" s="50" t="inlineStr">
        <is>
          <t>Claims frequencies in the first quarter of 2021 were lower for property damage and bodily injury coverages (fourteen to fifteen percent range), personal injury coverage (ten to eleven percent range) and collision coverage (flat to one percent range).</t>
        </is>
      </c>
    </row>
    <row r="36">
      <c r="A36" s="50" t="inlineStr">
        <is>
          <t>10-Q</t>
        </is>
      </c>
      <c r="B36" s="50" t="inlineStr">
        <is>
          <t>2021-06-30</t>
        </is>
      </c>
      <c r="C36" s="50" t="inlineStr">
        <is>
          <t>2021-08-09</t>
        </is>
      </c>
      <c r="D36" s="50" t="inlineStr">
        <is>
          <t>first six months of 2021</t>
        </is>
      </c>
      <c r="E36" s="50" t="n">
        <v>4</v>
      </c>
      <c r="F36" s="50" t="inlineStr">
        <is>
          <t>11-12;13-14;16-17;21-22</t>
        </is>
      </c>
      <c r="G36" s="50" t="inlineStr">
        <is>
          <t>Claims frequencies in the first six months of 2021 were higher for all coverages, including property damage (eleven to twelve percent range), bodily injury (thirteen to fourteen percent range), personal injury (sixteen to seventeen percent range) and collision (twenty-one to twenty-two percent range).</t>
        </is>
      </c>
    </row>
    <row r="37">
      <c r="A37" s="50" t="inlineStr">
        <is>
          <t>10-Q</t>
        </is>
      </c>
      <c r="B37" s="50" t="inlineStr">
        <is>
          <t>2021-09-30</t>
        </is>
      </c>
      <c r="C37" s="50" t="inlineStr">
        <is>
          <t>2021-11-08</t>
        </is>
      </c>
      <c r="D37" s="50" t="inlineStr">
        <is>
          <t>first nine months of 2021</t>
        </is>
      </c>
      <c r="E37" s="50" t="n">
        <v>4</v>
      </c>
      <c r="F37" s="50" t="inlineStr">
        <is>
          <t>12-13;13-14;16-17;21-22</t>
        </is>
      </c>
      <c r="G37" s="50" t="inlineStr">
        <is>
          <t>Claims frequencies in the first nine months of 2021 were higher for all coverages, including property damage (twelve to thirteen percent range), bodily injury (thirteen to fourteen percent range), personal injury (sixteen to seventeen percent range) and collision (twenty-one to twenty-two percent range).</t>
        </is>
      </c>
    </row>
    <row r="38">
      <c r="A38" s="50" t="inlineStr">
        <is>
          <t>10-Q</t>
        </is>
      </c>
      <c r="B38" s="50" t="inlineStr">
        <is>
          <t>2022-03-31</t>
        </is>
      </c>
      <c r="C38" s="50" t="inlineStr">
        <is>
          <t>2022-05-02</t>
        </is>
      </c>
      <c r="D38" s="50" t="inlineStr">
        <is>
          <t>first quarter of 2022</t>
        </is>
      </c>
      <c r="E38" s="50" t="n">
        <v>4</v>
      </c>
      <c r="F38" s="50" t="inlineStr">
        <is>
          <t>10-11;15-16;12-13;14-15</t>
        </is>
      </c>
      <c r="G38" s="50" t="inlineStr">
        <is>
          <t>Claims frequencies in the first quarter of 2022 were higher for all coverages, including property damage (ten to eleven percent range), collision (fifteen to sixteen percent range), bodily injury (twelve to thirteen percent range) and personal injury (fourteen to fifteen percent range).</t>
        </is>
      </c>
    </row>
    <row r="39">
      <c r="A39" s="50" t="inlineStr">
        <is>
          <t>10-Q</t>
        </is>
      </c>
      <c r="B39" s="50" t="inlineStr">
        <is>
          <t>2022-06-30</t>
        </is>
      </c>
      <c r="C39" s="50" t="inlineStr">
        <is>
          <t>2022-08-08</t>
        </is>
      </c>
      <c r="D39" s="50" t="inlineStr">
        <is>
          <t>first six months of 2022</t>
        </is>
      </c>
      <c r="E39" s="50" t="n">
        <v>4</v>
      </c>
      <c r="F39" s="50" t="inlineStr">
        <is>
          <t>4-5;10-11;6-7;7-8</t>
        </is>
      </c>
      <c r="G39" s="50" t="inlineStr">
        <is>
          <t>Claims frequencies in the first six months of 2022 were higher for all coverages, including property damage (four to five percent range), collision (ten to eleven percent range), bodily injury (six to seven percent range) and personal injury (seven to eight percent range).</t>
        </is>
      </c>
    </row>
    <row r="40">
      <c r="A40" s="50" t="inlineStr">
        <is>
          <t>10-Q</t>
        </is>
      </c>
      <c r="B40" s="50" t="inlineStr">
        <is>
          <t>2022-09-30</t>
        </is>
      </c>
      <c r="C40" s="50" t="inlineStr">
        <is>
          <t>2022-11-07</t>
        </is>
      </c>
      <c r="D40" s="50" t="inlineStr">
        <is>
          <t>first nine months of 2022</t>
        </is>
      </c>
      <c r="E40" s="50" t="n">
        <v>3</v>
      </c>
      <c r="F40" s="50" t="inlineStr">
        <is>
          <t>1-2;4-5;6-7</t>
        </is>
      </c>
      <c r="G40" s="50" t="inlineStr">
        <is>
          <t>Claims frequencies in the first nine months of 2022 were higher for all coverages, including property damage (one to two percent range), bodily injury and personal injury (four to five percent range) and collision (six to seven percent range).</t>
        </is>
      </c>
    </row>
    <row r="41">
      <c r="A41" s="50" t="inlineStr">
        <is>
          <t>10-Q</t>
        </is>
      </c>
      <c r="B41" s="50" t="inlineStr">
        <is>
          <t>2023-03-31</t>
        </is>
      </c>
      <c r="C41" s="50" t="inlineStr">
        <is>
          <t>2023-05-08</t>
        </is>
      </c>
      <c r="D41" s="50" t="inlineStr">
        <is>
          <t>first quarter of 2023</t>
        </is>
      </c>
      <c r="E41" s="50" t="n">
        <v>4</v>
      </c>
      <c r="F41" s="50" t="inlineStr">
        <is>
          <t>5-6;6-7;4-5;3-4</t>
        </is>
      </c>
      <c r="G41" s="50" t="inlineStr">
        <is>
          <t>Claims frequencies in the first quarter of 2023 were lower for property damage (five to six percent range) and collision (six to seven percent range), while claims frequencies increased for bodily injury (four to five percent range) and personal injury (three to four percent range).</t>
        </is>
      </c>
    </row>
    <row r="42">
      <c r="A42" s="50" t="inlineStr">
        <is>
          <t>10-Q</t>
        </is>
      </c>
      <c r="B42" s="50" t="inlineStr">
        <is>
          <t>2023-06-30</t>
        </is>
      </c>
      <c r="C42" s="50" t="inlineStr">
        <is>
          <t>2023-08-07</t>
        </is>
      </c>
      <c r="D42" s="50" t="inlineStr">
        <is>
          <t>first six months of 2023</t>
        </is>
      </c>
      <c r="E42" s="50" t="n">
        <v>4</v>
      </c>
      <c r="F42" s="50" t="inlineStr">
        <is>
          <t>7-8;7-8;3-4;1-2</t>
        </is>
      </c>
      <c r="G42" s="50" t="inlineStr">
        <is>
          <t>Claims frequencies in the first six months of 2023 were lower for property damage (seven to eight percent range) and collision (seven to eight percent range) coverages, while claims frequencies increased for bodily injury (three to four percent range) and personal injury (one to two percent range) coverages.</t>
        </is>
      </c>
    </row>
    <row r="43">
      <c r="A43" s="50" t="inlineStr">
        <is>
          <t>10-Q</t>
        </is>
      </c>
      <c r="B43" s="50" t="inlineStr">
        <is>
          <t>2023-09-30</t>
        </is>
      </c>
      <c r="C43" s="50" t="inlineStr">
        <is>
          <t>2023-11-06</t>
        </is>
      </c>
      <c r="D43" s="50" t="inlineStr">
        <is>
          <t>first nine months of 2023</t>
        </is>
      </c>
      <c r="E43" s="50" t="n">
        <v>2</v>
      </c>
      <c r="F43" s="50" t="inlineStr">
        <is>
          <t>7-8;2-3</t>
        </is>
      </c>
      <c r="G43" s="50" t="inlineStr">
        <is>
          <t>Claims frequencies in the first nine months of 2023 were lower for property damage and collision coverages (seven to eight percent range), while claims frequencies increased for bodily injury coverage (two to three percent range).</t>
        </is>
      </c>
    </row>
    <row r="44">
      <c r="A44" s="50" t="inlineStr">
        <is>
          <t>10-Q</t>
        </is>
      </c>
      <c r="B44" s="50" t="inlineStr">
        <is>
          <t>2024-03-31</t>
        </is>
      </c>
      <c r="C44" s="50" t="inlineStr">
        <is>
          <t>2024-05-06</t>
        </is>
      </c>
      <c r="D44" s="50" t="inlineStr">
        <is>
          <t>first quarter of 2024</t>
        </is>
      </c>
      <c r="E44" s="50" t="n">
        <v>2</v>
      </c>
      <c r="F44" s="50" t="inlineStr">
        <is>
          <t>2-3;4-5</t>
        </is>
      </c>
      <c r="G44" s="50" t="inlineStr">
        <is>
          <t>Claims frequencies in the first quarter of 2024 declined for property damage (two to three percent range) and collision coverages (four to five percent range) versus 2023, with bodily injury coverage down slightly.</t>
        </is>
      </c>
    </row>
    <row r="45">
      <c r="A45" s="50" t="inlineStr">
        <is>
          <t>10-Q</t>
        </is>
      </c>
      <c r="B45" s="50" t="inlineStr">
        <is>
          <t>2024-06-30</t>
        </is>
      </c>
      <c r="C45" s="50" t="inlineStr">
        <is>
          <t>2024-08-05</t>
        </is>
      </c>
      <c r="D45" s="50" t="inlineStr">
        <is>
          <t>in 2024</t>
        </is>
      </c>
      <c r="E45" s="50" t="n">
        <v>2</v>
      </c>
      <c r="F45" s="50" t="inlineStr">
        <is>
          <t>2-3;6-7</t>
        </is>
      </c>
      <c r="G45" s="50" t="inlineStr">
        <is>
          <t>Claims frequencies in 2024 declined for property damage (two to three percent range) and collision (six to seven percent range) coverages versus 2023, with bodily injury coverage down slightly.</t>
        </is>
      </c>
    </row>
    <row r="46">
      <c r="A46" s="50" t="inlineStr">
        <is>
          <t>10-Q</t>
        </is>
      </c>
      <c r="B46" s="50" t="inlineStr">
        <is>
          <t>2024-09-30</t>
        </is>
      </c>
      <c r="C46" s="50" t="inlineStr">
        <is>
          <t>2024-11-04</t>
        </is>
      </c>
      <c r="D46" s="50" t="inlineStr">
        <is>
          <t>in 2024</t>
        </is>
      </c>
      <c r="E46" s="50" t="n">
        <v>2</v>
      </c>
      <c r="F46" s="50" t="inlineStr">
        <is>
          <t>2-3;8-9</t>
        </is>
      </c>
      <c r="G46" s="50" t="inlineStr">
        <is>
          <t>Claims frequencies in 2024 declined for property damage (two to three percent range) and collision coverages (eight to nine percent range) versus 2023, with bodily injury coverage down slightly.</t>
        </is>
      </c>
    </row>
    <row r="47">
      <c r="A47" s="50" t="inlineStr">
        <is>
          <t>10-Q</t>
        </is>
      </c>
      <c r="B47" s="50" t="inlineStr">
        <is>
          <t>2025-03-31</t>
        </is>
      </c>
      <c r="C47" s="50" t="inlineStr">
        <is>
          <t>2025-05-05</t>
        </is>
      </c>
      <c r="D47" s="50" t="inlineStr">
        <is>
          <t>first quarter of 2025</t>
        </is>
      </c>
      <c r="E47" s="50" t="n">
        <v>1</v>
      </c>
      <c r="F47" s="50" t="inlineStr">
        <is>
          <t>6-9</t>
        </is>
      </c>
      <c r="G47" s="50" t="inlineStr">
        <is>
          <t>Private passenger automobile claims frequencies declined in the first quarter of 2025 versus 2024 for property damage and collision coverages (six to nine percent range), with bodily injury coverage down slightly.</t>
        </is>
      </c>
    </row>
    <row r="48">
      <c r="A48" s="50" t="inlineStr">
        <is>
          <t>10-Q</t>
        </is>
      </c>
      <c r="B48" s="50" t="inlineStr">
        <is>
          <t>2025-06-30</t>
        </is>
      </c>
      <c r="C48" s="50" t="inlineStr">
        <is>
          <t>2025-08-04</t>
        </is>
      </c>
      <c r="D48" s="50" t="inlineStr">
        <is>
          <t>first six months of 2025</t>
        </is>
      </c>
      <c r="E48" s="50" t="n">
        <v>1</v>
      </c>
      <c r="F48" s="50" t="inlineStr">
        <is>
          <t>6-9</t>
        </is>
      </c>
      <c r="G48" s="50" t="inlineStr">
        <is>
          <t>Private passenger automobile claims frequencies declined in the first six months of 2025 versus 2024 for property damage and collision coverages (six to nine percent range), with bodily injury coverage frequency down slightly.</t>
        </is>
      </c>
    </row>
    <row r="49">
      <c r="A49" s="50" t="inlineStr">
        <is>
          <t>10-Q</t>
        </is>
      </c>
      <c r="B49" s="50" t="inlineStr">
        <is>
          <t>2025-09-30</t>
        </is>
      </c>
      <c r="C49" s="50" t="inlineStr">
        <is>
          <t>2025-11-03</t>
        </is>
      </c>
      <c r="D49" s="50" t="inlineStr">
        <is>
          <t>first nine months of 2025</t>
        </is>
      </c>
      <c r="E49" s="50" t="n">
        <v>2</v>
      </c>
      <c r="F49" s="50" t="inlineStr">
        <is>
          <t>2-5;2-5</t>
        </is>
      </c>
      <c r="G49" s="50" t="inlineStr">
        <is>
          <t>Private passenger automobile claims frequencies declined in the first nine months of 2025 versus 2024 for property damage and collision coverages (two to five percent range), with bodily injury coverage frequency increasing (two to five percent range).</t>
        </is>
      </c>
    </row>
    <row r="50">
      <c r="A50" s="50" t="inlineStr">
        <is>
          <t>10-Q</t>
        </is>
      </c>
      <c r="B50" s="50" t="inlineStr">
        <is>
          <t>2026-03-31</t>
        </is>
      </c>
      <c r="C50" s="50" t="inlineStr">
        <is>
          <t>2026-05-04</t>
        </is>
      </c>
      <c r="D50" s="50" t="inlineStr">
        <is>
          <t>first quarter of 2026</t>
        </is>
      </c>
      <c r="E50" s="50" t="n">
        <v>2</v>
      </c>
      <c r="F50" s="50" t="inlineStr">
        <is>
          <t>5-7;2-4</t>
        </is>
      </c>
      <c r="G50" s="50" t="inlineStr">
        <is>
          <t>Private passenger auto claims frequencies increased in the first quarter of 2026 for bodily injury coverage (five to seven percent range) and property damage and collision coverages (two to four percent range) compared to 2025.</t>
        </is>
      </c>
    </row>
    <row r="51">
      <c r="A51" s="50" t="inlineStr">
        <is>
          <t>10-Q</t>
        </is>
      </c>
      <c r="B51" s="50" t="inlineStr">
        <is>
          <t>2026-06-30</t>
        </is>
      </c>
      <c r="C51" s="50" t="inlineStr">
        <is>
          <t>2026-08-10</t>
        </is>
      </c>
      <c r="D51" s="50" t="inlineStr">
        <is>
          <t>first six months of 2026</t>
        </is>
      </c>
      <c r="E51" s="50" t="n">
        <v>2</v>
      </c>
      <c r="F51" s="50" t="inlineStr">
        <is>
          <t>5-7;3-5</t>
        </is>
      </c>
      <c r="G51" s="50" t="inlineStr">
        <is>
          <t>Private passenger auto claims frequencies increased in the first six months of 2026 for bodily injury coverage (five to seven percent range) and property damage and collision coverages (three to five percent range) compared to 2025.</t>
        </is>
      </c>
    </row>
  </sheetData>
  <mergeCells count="1">
    <mergeCell ref="A2:G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8" customWidth="1" min="1" max="1"/>
    <col width="36" customWidth="1" min="2" max="2"/>
    <col width="29" customWidth="1" min="3" max="3"/>
    <col width="17" customWidth="1" min="4" max="4"/>
    <col width="22" customWidth="1" min="5" max="5"/>
    <col width="36" customWidth="1" min="6" max="6"/>
    <col width="10" customWidth="1" min="7" max="7"/>
    <col width="20" customWidth="1" min="8" max="8"/>
  </cols>
  <sheetData>
    <row r="1">
      <c r="A1" s="1" t="inlineStr">
        <is>
          <t>rba_automotive_series.csv</t>
        </is>
      </c>
    </row>
    <row r="2" ht="42" customHeight="1">
      <c r="A2" s="6" t="inlineStr">
        <is>
          <t>RB Global (IAA parent) automotive lots / GTV / take rate from 8-K Ex-99.1 (CIK 0001046102). 5 of 18 quarters are pro forma - see basis column.</t>
        </is>
      </c>
    </row>
    <row r="3">
      <c r="A3" s="2" t="inlineStr">
        <is>
          <t>data/csv/rba_automotive_series.csv · 18 rows · BLUE = raw data as committed; do not type over it — edit the CSV and rebuild.</t>
        </is>
      </c>
    </row>
    <row r="4">
      <c r="A4" s="7" t="inlineStr">
        <is>
          <t>calendar_quarter</t>
        </is>
      </c>
      <c r="B4" s="7" t="inlineStr">
        <is>
          <t>auto_lots_thousands_latest_vintage</t>
        </is>
      </c>
      <c r="C4" s="7" t="inlineStr">
        <is>
          <t>auto_lots_as_first_reported</t>
        </is>
      </c>
      <c r="D4" s="7" t="inlineStr">
        <is>
          <t>auto_gtv_usd_mm</t>
        </is>
      </c>
      <c r="E4" s="7" t="inlineStr">
        <is>
          <t>implied_auto_asp_usd</t>
        </is>
      </c>
      <c r="F4" s="7" t="inlineStr">
        <is>
          <t>TOTAL_CONSOL_service_take_rate_pct</t>
        </is>
      </c>
      <c r="G4" s="7" t="inlineStr">
        <is>
          <t>basis</t>
        </is>
      </c>
      <c r="H4" s="7" t="inlineStr">
        <is>
          <t>source_filing_date</t>
        </is>
      </c>
    </row>
    <row r="5">
      <c r="A5" s="50" t="inlineStr">
        <is>
          <t>2022Q1</t>
        </is>
      </c>
      <c r="B5" s="50" t="n">
        <v>581.7</v>
      </c>
      <c r="C5" s="50" t="n"/>
      <c r="D5" s="50" t="n">
        <v>2107.8</v>
      </c>
      <c r="E5" s="50" t="n">
        <v>3624</v>
      </c>
      <c r="F5" s="50" t="n"/>
      <c r="G5" s="50" t="inlineStr">
        <is>
          <t>PRO FORMA (as-if IAA owned from 1/1/22)</t>
        </is>
      </c>
      <c r="H5" s="50" t="inlineStr">
        <is>
          <t>2023-05-10</t>
        </is>
      </c>
    </row>
    <row r="6">
      <c r="A6" s="50" t="inlineStr">
        <is>
          <t>2022Q2</t>
        </is>
      </c>
      <c r="B6" s="50" t="n">
        <v>546</v>
      </c>
      <c r="C6" s="50" t="n"/>
      <c r="D6" s="50" t="n">
        <v>2003</v>
      </c>
      <c r="E6" s="50" t="n">
        <v>3668</v>
      </c>
      <c r="F6" s="50" t="n"/>
      <c r="G6" s="50" t="inlineStr">
        <is>
          <t>PRO FORMA</t>
        </is>
      </c>
      <c r="H6" s="50" t="inlineStr">
        <is>
          <t>2023-05-10</t>
        </is>
      </c>
    </row>
    <row r="7">
      <c r="A7" s="50" t="inlineStr">
        <is>
          <t>2022Q3</t>
        </is>
      </c>
      <c r="B7" s="50" t="n">
        <v>520.1</v>
      </c>
      <c r="C7" s="50" t="n"/>
      <c r="D7" s="50" t="n">
        <v>1849.1</v>
      </c>
      <c r="E7" s="50" t="n">
        <v>3555</v>
      </c>
      <c r="F7" s="50" t="n"/>
      <c r="G7" s="50" t="inlineStr">
        <is>
          <t>PRO FORMA</t>
        </is>
      </c>
      <c r="H7" s="50" t="inlineStr">
        <is>
          <t>2023-05-10</t>
        </is>
      </c>
    </row>
    <row r="8">
      <c r="A8" s="50" t="inlineStr">
        <is>
          <t>2022Q4</t>
        </is>
      </c>
      <c r="B8" s="50" t="n">
        <v>534.6</v>
      </c>
      <c r="C8" s="50" t="n"/>
      <c r="D8" s="50" t="n">
        <v>1868.5</v>
      </c>
      <c r="E8" s="50" t="n">
        <v>3495</v>
      </c>
      <c r="F8" s="50" t="n"/>
      <c r="G8" s="50" t="inlineStr">
        <is>
          <t>PRO FORMA</t>
        </is>
      </c>
      <c r="H8" s="50" t="inlineStr">
        <is>
          <t>2023-05-10</t>
        </is>
      </c>
    </row>
    <row r="9">
      <c r="A9" s="50" t="inlineStr">
        <is>
          <t>2023Q1</t>
        </is>
      </c>
      <c r="B9" s="50" t="n">
        <v>568.4</v>
      </c>
      <c r="C9" s="50" t="n">
        <v>87.5</v>
      </c>
      <c r="D9" s="50" t="n">
        <v>1987.6</v>
      </c>
      <c r="E9" s="50" t="n">
        <v>3497</v>
      </c>
      <c r="F9" s="50" t="n"/>
      <c r="G9" s="50" t="inlineStr">
        <is>
          <t>PRO FORMA (as-rep 87.5: IAA closed 3/20/23)</t>
        </is>
      </c>
      <c r="H9" s="50" t="inlineStr">
        <is>
          <t>2023-05-10</t>
        </is>
      </c>
    </row>
    <row r="10">
      <c r="A10" s="50" t="inlineStr">
        <is>
          <t>2023Q2</t>
        </is>
      </c>
      <c r="B10" s="50" t="n">
        <v>573.4</v>
      </c>
      <c r="C10" s="50" t="n">
        <v>574</v>
      </c>
      <c r="D10" s="50" t="n">
        <v>2101.9</v>
      </c>
      <c r="E10" s="50" t="n">
        <v>3666</v>
      </c>
      <c r="F10" s="50" t="n">
        <v>19.5</v>
      </c>
      <c r="G10" s="50" t="inlineStr">
        <is>
          <t>as reported</t>
        </is>
      </c>
      <c r="H10" s="50" t="inlineStr">
        <is>
          <t>2024-08-06</t>
        </is>
      </c>
    </row>
    <row r="11">
      <c r="A11" s="50" t="inlineStr">
        <is>
          <t>2023Q3</t>
        </is>
      </c>
      <c r="B11" s="50" t="n">
        <v>555</v>
      </c>
      <c r="C11" s="50" t="n">
        <v>555.4</v>
      </c>
      <c r="D11" s="50" t="n">
        <v>2051.1</v>
      </c>
      <c r="E11" s="50" t="n">
        <v>3696</v>
      </c>
      <c r="F11" s="50" t="n">
        <v>20</v>
      </c>
      <c r="G11" s="50" t="inlineStr">
        <is>
          <t>as reported</t>
        </is>
      </c>
      <c r="H11" s="50" t="inlineStr">
        <is>
          <t>2024-11-08</t>
        </is>
      </c>
    </row>
    <row r="12">
      <c r="A12" s="50" t="inlineStr">
        <is>
          <t>2023Q4</t>
        </is>
      </c>
      <c r="B12" s="50" t="n">
        <v>572.5</v>
      </c>
      <c r="C12" s="50" t="n">
        <v>573.2</v>
      </c>
      <c r="D12" s="50" t="n">
        <v>2046.4</v>
      </c>
      <c r="E12" s="50" t="n">
        <v>3574</v>
      </c>
      <c r="F12" s="50" t="n">
        <v>20.2</v>
      </c>
      <c r="G12" s="50" t="inlineStr">
        <is>
          <t>as reported</t>
        </is>
      </c>
      <c r="H12" s="50" t="inlineStr">
        <is>
          <t>2025-02-18</t>
        </is>
      </c>
    </row>
    <row r="13">
      <c r="A13" s="50" t="inlineStr">
        <is>
          <t>2024Q1</t>
        </is>
      </c>
      <c r="B13" s="50" t="n">
        <v>584.6</v>
      </c>
      <c r="C13" s="50" t="n">
        <v>585.3</v>
      </c>
      <c r="D13" s="50" t="n">
        <v>2105</v>
      </c>
      <c r="E13" s="50" t="n">
        <v>3601</v>
      </c>
      <c r="F13" s="50" t="n">
        <v>20.8</v>
      </c>
      <c r="G13" s="50" t="inlineStr">
        <is>
          <t>as reported</t>
        </is>
      </c>
      <c r="H13" s="50" t="inlineStr">
        <is>
          <t>2025-05-07</t>
        </is>
      </c>
    </row>
    <row r="14">
      <c r="A14" s="50" t="inlineStr">
        <is>
          <t>2024Q2</t>
        </is>
      </c>
      <c r="B14" s="50" t="n">
        <v>547.7</v>
      </c>
      <c r="C14" s="50" t="n">
        <v>547.7</v>
      </c>
      <c r="D14" s="50" t="n">
        <v>2007.7</v>
      </c>
      <c r="E14" s="50" t="n">
        <v>3666</v>
      </c>
      <c r="F14" s="50" t="n">
        <v>20.9</v>
      </c>
      <c r="G14" s="50" t="inlineStr">
        <is>
          <t>as reported</t>
        </is>
      </c>
      <c r="H14" s="50" t="inlineStr">
        <is>
          <t>2025-08-06</t>
        </is>
      </c>
    </row>
    <row r="15">
      <c r="A15" s="50" t="inlineStr">
        <is>
          <t>2024Q3</t>
        </is>
      </c>
      <c r="B15" s="50" t="n">
        <v>553.8</v>
      </c>
      <c r="C15" s="50" t="n">
        <v>553.8</v>
      </c>
      <c r="D15" s="50" t="n">
        <v>2031.1</v>
      </c>
      <c r="E15" s="50" t="n">
        <v>3668</v>
      </c>
      <c r="F15" s="50" t="n">
        <v>21.5</v>
      </c>
      <c r="G15" s="50" t="inlineStr">
        <is>
          <t>as reported</t>
        </is>
      </c>
      <c r="H15" s="50" t="inlineStr">
        <is>
          <t>2025-11-06</t>
        </is>
      </c>
    </row>
    <row r="16">
      <c r="A16" s="50" t="inlineStr">
        <is>
          <t>2024Q4</t>
        </is>
      </c>
      <c r="B16" s="50" t="n">
        <v>611.1</v>
      </c>
      <c r="C16" s="50" t="n">
        <v>611.1</v>
      </c>
      <c r="D16" s="50" t="n">
        <v>2133.9</v>
      </c>
      <c r="E16" s="50" t="n">
        <v>3492</v>
      </c>
      <c r="F16" s="50" t="n">
        <v>21.3</v>
      </c>
      <c r="G16" s="50" t="inlineStr">
        <is>
          <t>as reported</t>
        </is>
      </c>
      <c r="H16" s="50" t="inlineStr">
        <is>
          <t>2026-02-17</t>
        </is>
      </c>
    </row>
    <row r="17">
      <c r="A17" s="50" t="inlineStr">
        <is>
          <t>2025Q1</t>
        </is>
      </c>
      <c r="B17" s="50" t="n">
        <v>625.6</v>
      </c>
      <c r="C17" s="50" t="n">
        <v>625.6</v>
      </c>
      <c r="D17" s="50" t="n">
        <v>2144.7</v>
      </c>
      <c r="E17" s="50" t="n">
        <v>3428</v>
      </c>
      <c r="F17" s="50" t="n">
        <v>22.3</v>
      </c>
      <c r="G17" s="50" t="inlineStr">
        <is>
          <t>as reported/recast</t>
        </is>
      </c>
      <c r="H17" s="50" t="inlineStr">
        <is>
          <t>2026-08-04</t>
        </is>
      </c>
    </row>
    <row r="18">
      <c r="A18" s="50" t="inlineStr">
        <is>
          <t>2025Q2</t>
        </is>
      </c>
      <c r="B18" s="50" t="n">
        <v>595.9</v>
      </c>
      <c r="C18" s="50" t="n">
        <v>595.9</v>
      </c>
      <c r="D18" s="50" t="n">
        <v>2161.5</v>
      </c>
      <c r="E18" s="50" t="n">
        <v>3627</v>
      </c>
      <c r="F18" s="50" t="n">
        <v>21.1</v>
      </c>
      <c r="G18" s="50" t="inlineStr">
        <is>
          <t>as reported/recast</t>
        </is>
      </c>
      <c r="H18" s="50" t="inlineStr">
        <is>
          <t>2026-08-04</t>
        </is>
      </c>
    </row>
    <row r="19">
      <c r="A19" s="50" t="inlineStr">
        <is>
          <t>2025Q3</t>
        </is>
      </c>
      <c r="B19" s="50" t="n">
        <v>601.7</v>
      </c>
      <c r="C19" s="50" t="n">
        <v>601.7</v>
      </c>
      <c r="D19" s="50" t="n">
        <v>2152.2</v>
      </c>
      <c r="E19" s="50" t="n">
        <v>3577</v>
      </c>
      <c r="F19" s="50" t="n">
        <v>21.7</v>
      </c>
      <c r="G19" s="50" t="inlineStr">
        <is>
          <t>as reported/recast</t>
        </is>
      </c>
      <c r="H19" s="50" t="inlineStr">
        <is>
          <t>2026-08-04</t>
        </is>
      </c>
    </row>
    <row r="20">
      <c r="A20" s="50" t="inlineStr">
        <is>
          <t>2025Q4</t>
        </is>
      </c>
      <c r="B20" s="50" t="n">
        <v>624.5</v>
      </c>
      <c r="C20" s="50" t="n">
        <v>624.5</v>
      </c>
      <c r="D20" s="50" t="n">
        <v>2200.7</v>
      </c>
      <c r="E20" s="50" t="n">
        <v>3524</v>
      </c>
      <c r="F20" s="50" t="n">
        <v>21.4</v>
      </c>
      <c r="G20" s="50" t="inlineStr">
        <is>
          <t>as reported/recast</t>
        </is>
      </c>
      <c r="H20" s="50" t="inlineStr">
        <is>
          <t>2026-08-04</t>
        </is>
      </c>
    </row>
    <row r="21">
      <c r="A21" s="50" t="inlineStr">
        <is>
          <t>2026Q1</t>
        </is>
      </c>
      <c r="B21" s="50" t="n">
        <v>631.3</v>
      </c>
      <c r="C21" s="50" t="n">
        <v>631.3</v>
      </c>
      <c r="D21" s="50" t="n">
        <v>2289.2</v>
      </c>
      <c r="E21" s="50" t="n">
        <v>3626</v>
      </c>
      <c r="F21" s="50" t="n">
        <v>20.7</v>
      </c>
      <c r="G21" s="50" t="inlineStr">
        <is>
          <t>as reported/recast</t>
        </is>
      </c>
      <c r="H21" s="50" t="inlineStr">
        <is>
          <t>2026-08-04</t>
        </is>
      </c>
    </row>
    <row r="22">
      <c r="A22" s="50" t="inlineStr">
        <is>
          <t>2026Q2</t>
        </is>
      </c>
      <c r="B22" s="50" t="n">
        <v>658.8</v>
      </c>
      <c r="C22" s="50" t="n">
        <v>658.8</v>
      </c>
      <c r="D22" s="50" t="n">
        <v>2448.7</v>
      </c>
      <c r="E22" s="50" t="n">
        <v>3717</v>
      </c>
      <c r="F22" s="50" t="n">
        <v>20</v>
      </c>
      <c r="G22" s="50" t="inlineStr">
        <is>
          <t>as reported/recast</t>
        </is>
      </c>
      <c r="H22" s="50" t="inlineStr">
        <is>
          <t>2026-08-04</t>
        </is>
      </c>
    </row>
  </sheetData>
  <mergeCells count="1">
    <mergeCell ref="A2:H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5" customWidth="1" min="1" max="1"/>
    <col width="12" customWidth="1" min="2" max="2"/>
    <col width="17" customWidth="1" min="3" max="3"/>
    <col width="13" customWidth="1" min="4" max="4"/>
    <col width="21" customWidth="1" min="5" max="5"/>
    <col width="27" customWidth="1" min="6" max="6"/>
    <col width="14" customWidth="1" min="7" max="7"/>
    <col width="14" customWidth="1" min="8" max="8"/>
    <col width="16" customWidth="1" min="9" max="9"/>
  </cols>
  <sheetData>
    <row r="1">
      <c r="A1" s="1" t="inlineStr">
        <is>
          <t>duopoly_compare.csv</t>
        </is>
      </c>
    </row>
    <row r="2" ht="42" customHeight="1">
      <c r="A2" s="6" t="inlineStr">
        <is>
          <t>RB Global automotive lots YoY vs Copart US insurance units YoY by matched quarter.</t>
        </is>
      </c>
    </row>
    <row r="3">
      <c r="A3" s="2" t="inlineStr">
        <is>
          <t>data/csv/duopoly_compare.csv · 8 rows · BLUE = raw data as committed; do not type over it — edit the CSV and rebuild.</t>
        </is>
      </c>
    </row>
    <row r="4">
      <c r="A4" s="7" t="inlineStr">
        <is>
          <t>cprt_fiscal_q</t>
        </is>
      </c>
      <c r="B4" s="7" t="inlineStr">
        <is>
          <t>calendar_q</t>
        </is>
      </c>
      <c r="C4" s="7" t="inlineStr">
        <is>
          <t>rba_auto_lots_k</t>
        </is>
      </c>
      <c r="D4" s="7" t="inlineStr">
        <is>
          <t>rba_yoy_pct</t>
        </is>
      </c>
      <c r="E4" s="7" t="inlineStr">
        <is>
          <t>cprt_us_ins_yoy_pct</t>
        </is>
      </c>
      <c r="F4" s="7" t="inlineStr">
        <is>
          <t>cprt_us_ins_excat_yoy_pct</t>
        </is>
      </c>
      <c r="G4" s="7" t="inlineStr">
        <is>
          <t>gap_asrep_pp</t>
        </is>
      </c>
      <c r="H4" s="7" t="inlineStr">
        <is>
          <t>gap_excat_pp</t>
        </is>
      </c>
      <c r="I4" s="7" t="inlineStr">
        <is>
          <t>rba_base_basis</t>
        </is>
      </c>
    </row>
    <row r="5">
      <c r="A5" s="50" t="inlineStr">
        <is>
          <t>FY25 Q1</t>
        </is>
      </c>
      <c r="B5" s="50" t="inlineStr">
        <is>
          <t>2024Q3</t>
        </is>
      </c>
      <c r="C5" s="50" t="n">
        <v>553.8</v>
      </c>
      <c r="D5" s="50" t="n">
        <v>-0.2162162162162251</v>
      </c>
      <c r="E5" s="50" t="n">
        <v>12</v>
      </c>
      <c r="F5" s="50" t="n">
        <v>9</v>
      </c>
      <c r="G5" s="50" t="n">
        <v>-12.21621621621622</v>
      </c>
      <c r="H5" s="50" t="n">
        <v>-9.216216216216225</v>
      </c>
      <c r="I5" s="50" t="inlineStr">
        <is>
          <t>as-reported</t>
        </is>
      </c>
    </row>
    <row r="6">
      <c r="A6" s="50" t="inlineStr">
        <is>
          <t>FY25 Q2</t>
        </is>
      </c>
      <c r="B6" s="50" t="inlineStr">
        <is>
          <t>2024Q4</t>
        </is>
      </c>
      <c r="C6" s="50" t="n">
        <v>611.1</v>
      </c>
      <c r="D6" s="50" t="n">
        <v>6.742358078602617</v>
      </c>
      <c r="E6" s="50" t="n">
        <v>9</v>
      </c>
      <c r="F6" s="50" t="n">
        <v>2</v>
      </c>
      <c r="G6" s="50" t="n">
        <v>-2.257641921397383</v>
      </c>
      <c r="H6" s="50" t="n">
        <v>4.742358078602617</v>
      </c>
      <c r="I6" s="50" t="inlineStr">
        <is>
          <t>as-reported</t>
        </is>
      </c>
    </row>
    <row r="7">
      <c r="A7" s="50" t="inlineStr">
        <is>
          <t>FY25 Q3</t>
        </is>
      </c>
      <c r="B7" s="50" t="inlineStr">
        <is>
          <t>2025Q1</t>
        </is>
      </c>
      <c r="C7" s="50" t="n">
        <v>625.6</v>
      </c>
      <c r="D7" s="50" t="n">
        <v>7.013342456380434</v>
      </c>
      <c r="E7" s="50" t="n">
        <v>-1</v>
      </c>
      <c r="F7" s="50" t="n">
        <v>-2</v>
      </c>
      <c r="G7" s="50" t="n">
        <v>8.013342456380434</v>
      </c>
      <c r="H7" s="50" t="n">
        <v>9.013342456380434</v>
      </c>
      <c r="I7" s="50" t="inlineStr">
        <is>
          <t>as-reported</t>
        </is>
      </c>
    </row>
    <row r="8">
      <c r="A8" s="50" t="inlineStr">
        <is>
          <t>FY25 Q4</t>
        </is>
      </c>
      <c r="B8" s="50" t="inlineStr">
        <is>
          <t>2025Q2</t>
        </is>
      </c>
      <c r="C8" s="50" t="n">
        <v>595.9</v>
      </c>
      <c r="D8" s="50" t="n">
        <v>8.800438196092731</v>
      </c>
      <c r="E8" s="50" t="n">
        <v>-2.1</v>
      </c>
      <c r="F8" s="50" t="n"/>
      <c r="G8" s="50" t="n">
        <v>10.90043819609273</v>
      </c>
      <c r="H8" s="50" t="n"/>
      <c r="I8" s="50" t="inlineStr">
        <is>
          <t>as-reported</t>
        </is>
      </c>
    </row>
    <row r="9">
      <c r="A9" s="50" t="inlineStr">
        <is>
          <t>FY26 Q1</t>
        </is>
      </c>
      <c r="B9" s="50" t="inlineStr">
        <is>
          <t>2025Q3</t>
        </is>
      </c>
      <c r="C9" s="50" t="n">
        <v>601.7</v>
      </c>
      <c r="D9" s="50" t="n">
        <v>8.649331888768529</v>
      </c>
      <c r="E9" s="50" t="n">
        <v>-9.5</v>
      </c>
      <c r="F9" s="50" t="n">
        <v>-7.3</v>
      </c>
      <c r="G9" s="50" t="n">
        <v>18.14933188876853</v>
      </c>
      <c r="H9" s="50" t="n">
        <v>15.94933188876853</v>
      </c>
      <c r="I9" s="50" t="inlineStr">
        <is>
          <t>as-reported</t>
        </is>
      </c>
    </row>
    <row r="10">
      <c r="A10" s="50" t="inlineStr">
        <is>
          <t>FY26 Q2</t>
        </is>
      </c>
      <c r="B10" s="50" t="inlineStr">
        <is>
          <t>2025Q4</t>
        </is>
      </c>
      <c r="C10" s="50" t="n">
        <v>624.5</v>
      </c>
      <c r="D10" s="50" t="n">
        <v>2.192767141220742</v>
      </c>
      <c r="E10" s="50" t="n">
        <v>-10.7</v>
      </c>
      <c r="F10" s="50" t="n">
        <v>-4.8</v>
      </c>
      <c r="G10" s="50" t="n">
        <v>12.89276714122074</v>
      </c>
      <c r="H10" s="50" t="n">
        <v>6.992767141220742</v>
      </c>
      <c r="I10" s="50" t="inlineStr">
        <is>
          <t>as-reported</t>
        </is>
      </c>
    </row>
    <row r="11">
      <c r="A11" s="50" t="inlineStr">
        <is>
          <t>FY26 Q3</t>
        </is>
      </c>
      <c r="B11" s="50" t="inlineStr">
        <is>
          <t>2026Q1</t>
        </is>
      </c>
      <c r="C11" s="50" t="n">
        <v>631.3</v>
      </c>
      <c r="D11" s="50" t="n">
        <v>0.9111253196930846</v>
      </c>
      <c r="E11" s="50" t="n">
        <v>-4.2</v>
      </c>
      <c r="F11" s="50" t="n">
        <v>-3.1</v>
      </c>
      <c r="G11" s="50" t="n">
        <v>5.111125319693085</v>
      </c>
      <c r="H11" s="50" t="n">
        <v>4.011125319693084</v>
      </c>
      <c r="I11" s="50" t="inlineStr">
        <is>
          <t>as-reported</t>
        </is>
      </c>
    </row>
    <row r="12">
      <c r="A12" s="50" t="inlineStr">
        <is>
          <t>FY26 Q4</t>
        </is>
      </c>
      <c r="B12" s="50" t="inlineStr">
        <is>
          <t>2026Q2</t>
        </is>
      </c>
      <c r="C12" s="50" t="n">
        <v>658.8</v>
      </c>
      <c r="D12" s="50" t="n">
        <v>10.55546232589359</v>
      </c>
      <c r="E12" s="50" t="n">
        <v>-7.5</v>
      </c>
      <c r="F12" s="50" t="n"/>
      <c r="G12" s="50" t="n">
        <v>18.05546232589359</v>
      </c>
      <c r="H12" s="50" t="n"/>
      <c r="I12" s="50" t="inlineStr">
        <is>
          <t>as-reported</t>
        </is>
      </c>
    </row>
  </sheetData>
  <mergeCells count="1">
    <mergeCell ref="A2:I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7" customWidth="1" min="3" max="3"/>
    <col width="16" customWidth="1" min="4" max="4"/>
    <col width="19" customWidth="1" min="5" max="5"/>
    <col width="14" customWidth="1" min="6" max="6"/>
    <col width="14" customWidth="1" min="7" max="7"/>
    <col width="14" customWidth="1" min="8" max="8"/>
    <col width="18" customWidth="1" min="9" max="9"/>
    <col width="22" customWidth="1" min="10" max="10"/>
    <col width="10" customWidth="1" min="11" max="11"/>
  </cols>
  <sheetData>
    <row r="1">
      <c r="A1" s="1" t="inlineStr">
        <is>
          <t>duopoly_daily.csv</t>
        </is>
      </c>
    </row>
    <row r="2" ht="42" customHeight="1">
      <c r="A2" s="6" t="inlineStr">
        <is>
          <t>Daily listed US inventory: Copart (lot.xml sitemap union) vs IAA (vehicledetail sitemap). scripts/job1_snapshot.py, job1_iaa.py. Listed inventory, not yard inventory.</t>
        </is>
      </c>
    </row>
    <row r="3">
      <c r="A3" s="2" t="inlineStr">
        <is>
          <t>data/csv/duopoly_daily.csv · 5 rows · BLUE = raw data as committed; do not type over it — edit the CSV and rebuild.</t>
        </is>
      </c>
    </row>
    <row r="4">
      <c r="A4" s="7" t="inlineStr">
        <is>
          <t>snapshot_utc</t>
        </is>
      </c>
      <c r="B4" s="7" t="inlineStr">
        <is>
          <t>day</t>
        </is>
      </c>
      <c r="C4" s="7" t="inlineStr">
        <is>
          <t>copart_snapshot</t>
        </is>
      </c>
      <c r="D4" s="7" t="inlineStr">
        <is>
          <t>copart_us_lots</t>
        </is>
      </c>
      <c r="E4" s="7" t="inlineStr">
        <is>
          <t>copart_total_lots</t>
        </is>
      </c>
      <c r="F4" s="7" t="inlineStr">
        <is>
          <t>iaa_vehicles</t>
        </is>
      </c>
      <c r="G4" s="7" t="inlineStr">
        <is>
          <t>iaa_branches</t>
        </is>
      </c>
      <c r="H4" s="7" t="inlineStr">
        <is>
          <t>iaa_auctions</t>
        </is>
      </c>
      <c r="I4" s="7" t="inlineStr">
        <is>
          <t>copart_share_pct</t>
        </is>
      </c>
      <c r="J4" s="7" t="inlineStr">
        <is>
          <t>iaa_lastmod_4day_pct</t>
        </is>
      </c>
      <c r="K4" s="7" t="inlineStr">
        <is>
          <t>note</t>
        </is>
      </c>
    </row>
    <row r="5">
      <c r="A5" s="50" t="inlineStr">
        <is>
          <t>2026-09-11T14:39:30Z</t>
        </is>
      </c>
      <c r="B5" s="50" t="inlineStr">
        <is>
          <t>2026-09-11</t>
        </is>
      </c>
      <c r="C5" s="50" t="inlineStr">
        <is>
          <t>2026-09-10T04:25:18Z</t>
        </is>
      </c>
      <c r="D5" s="50" t="n">
        <v>136803</v>
      </c>
      <c r="E5" s="50" t="n">
        <v>140296</v>
      </c>
      <c r="F5" s="50" t="n">
        <v>102976</v>
      </c>
      <c r="G5" s="50" t="n">
        <v>201</v>
      </c>
      <c r="H5" s="50" t="n">
        <v>335</v>
      </c>
      <c r="I5" s="50" t="n">
        <v>57.05</v>
      </c>
      <c r="J5" s="50" t="n">
        <v>95.90000000000001</v>
      </c>
      <c r="K5" s="50" t="inlineStr">
        <is>
          <t>copart snapshot is from 2026-09-10</t>
        </is>
      </c>
    </row>
    <row r="6">
      <c r="A6" s="50" t="inlineStr">
        <is>
          <t>2026-09-11T22:47:20Z</t>
        </is>
      </c>
      <c r="B6" s="50" t="inlineStr">
        <is>
          <t>2026-09-11</t>
        </is>
      </c>
      <c r="C6" s="50" t="inlineStr">
        <is>
          <t>2026-09-11T22:47:09Z</t>
        </is>
      </c>
      <c r="D6" s="50" t="n">
        <v>126233</v>
      </c>
      <c r="E6" s="50" t="n">
        <v>129018</v>
      </c>
      <c r="F6" s="50" t="n">
        <v>89999</v>
      </c>
      <c r="G6" s="50" t="n">
        <v>201</v>
      </c>
      <c r="H6" s="50" t="n">
        <v>318</v>
      </c>
      <c r="I6" s="50" t="n">
        <v>58.38</v>
      </c>
      <c r="J6" s="50" t="n">
        <v>95.40000000000001</v>
      </c>
      <c r="K6" s="50" t="n"/>
    </row>
    <row r="7">
      <c r="A7" s="50" t="inlineStr">
        <is>
          <t>2026-09-12T22:45:40Z</t>
        </is>
      </c>
      <c r="B7" s="50" t="inlineStr">
        <is>
          <t>2026-09-12</t>
        </is>
      </c>
      <c r="C7" s="50" t="inlineStr">
        <is>
          <t>2026-09-12T22:45:27Z</t>
        </is>
      </c>
      <c r="D7" s="50" t="n">
        <v>145383</v>
      </c>
      <c r="E7" s="50" t="n">
        <v>149421</v>
      </c>
      <c r="F7" s="50" t="n">
        <v>89999</v>
      </c>
      <c r="G7" s="50" t="n">
        <v>201</v>
      </c>
      <c r="H7" s="50" t="n">
        <v>366</v>
      </c>
      <c r="I7" s="50" t="n">
        <v>61.76</v>
      </c>
      <c r="J7" s="50" t="n">
        <v>99</v>
      </c>
      <c r="K7" s="50" t="n"/>
    </row>
    <row r="8">
      <c r="A8" s="50" t="inlineStr">
        <is>
          <t>2026-09-13T22:50:11Z</t>
        </is>
      </c>
      <c r="B8" s="50" t="inlineStr">
        <is>
          <t>2026-09-13</t>
        </is>
      </c>
      <c r="C8" s="50" t="inlineStr">
        <is>
          <t>2026-09-13T22:49:26Z</t>
        </is>
      </c>
      <c r="D8" s="50" t="n">
        <v>145209</v>
      </c>
      <c r="E8" s="50" t="n">
        <v>149027</v>
      </c>
      <c r="F8" s="50" t="n">
        <v>89999</v>
      </c>
      <c r="G8" s="50" t="n">
        <v>201</v>
      </c>
      <c r="H8" s="50" t="n">
        <v>366</v>
      </c>
      <c r="I8" s="50" t="n">
        <v>61.74</v>
      </c>
      <c r="J8" s="50" t="n">
        <v>99.2</v>
      </c>
      <c r="K8" s="50" t="n"/>
    </row>
    <row r="9">
      <c r="A9" s="50" t="inlineStr">
        <is>
          <t>2026-09-14T22:45:15Z</t>
        </is>
      </c>
      <c r="B9" s="50" t="inlineStr">
        <is>
          <t>2026-09-14</t>
        </is>
      </c>
      <c r="C9" s="50" t="inlineStr">
        <is>
          <t>2026-09-14T22:45:04Z</t>
        </is>
      </c>
      <c r="D9" s="50" t="n">
        <v>141429</v>
      </c>
      <c r="E9" s="50" t="n">
        <v>145051</v>
      </c>
      <c r="F9" s="50" t="n">
        <v>89999</v>
      </c>
      <c r="G9" s="50" t="n">
        <v>201</v>
      </c>
      <c r="H9" s="50" t="n">
        <v>334</v>
      </c>
      <c r="I9" s="50" t="n">
        <v>61.11</v>
      </c>
      <c r="J9" s="50" t="n">
        <v>82.90000000000001</v>
      </c>
      <c r="K9" s="50" t="n"/>
    </row>
  </sheetData>
  <mergeCells count="1">
    <mergeCell ref="A2:K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s>
  <sheetData>
    <row r="1">
      <c r="A1" s="1" t="inlineStr">
        <is>
          <t>yard_panel_us.csv</t>
        </is>
      </c>
    </row>
    <row r="2" ht="42" customHeight="1">
      <c r="A2" s="6" t="inlineStr">
        <is>
          <t>Copart US yards and dated sale events per sitemap snapshot (Wayback 2022-2025 + live).</t>
        </is>
      </c>
    </row>
    <row r="3">
      <c r="A3" s="2" t="inlineStr">
        <is>
          <t>data/csv/yard_panel_us.csv · 25 rows · BLUE = raw data as committed; do not type over it — edit the CSV and rebuild.</t>
        </is>
      </c>
    </row>
    <row r="4">
      <c r="A4" s="7" t="inlineStr">
        <is>
          <t>snapshot</t>
        </is>
      </c>
      <c r="B4" s="7" t="inlineStr">
        <is>
          <t>us_yards</t>
        </is>
      </c>
      <c r="C4" s="7" t="inlineStr">
        <is>
          <t>dated_events</t>
        </is>
      </c>
      <c r="D4" s="7" t="inlineStr">
        <is>
          <t>events_per_yard</t>
        </is>
      </c>
      <c r="E4" s="7" t="inlineStr">
        <is>
          <t>states</t>
        </is>
      </c>
    </row>
    <row r="5">
      <c r="A5" s="50" t="n">
        <v>20220802</v>
      </c>
      <c r="B5" s="50" t="n">
        <v>188</v>
      </c>
      <c r="C5" s="50" t="n">
        <v>344</v>
      </c>
      <c r="D5" s="50" t="n">
        <v>1.8298</v>
      </c>
      <c r="E5" s="50" t="n">
        <v>49</v>
      </c>
    </row>
    <row r="6">
      <c r="A6" s="50" t="n">
        <v>20220901</v>
      </c>
      <c r="B6" s="50" t="n">
        <v>187</v>
      </c>
      <c r="C6" s="50" t="n">
        <v>344</v>
      </c>
      <c r="D6" s="50" t="n">
        <v>1.8396</v>
      </c>
      <c r="E6" s="50" t="n">
        <v>49</v>
      </c>
    </row>
    <row r="7">
      <c r="A7" s="50" t="n">
        <v>20221101</v>
      </c>
      <c r="B7" s="50" t="n">
        <v>187</v>
      </c>
      <c r="C7" s="50" t="n">
        <v>341</v>
      </c>
      <c r="D7" s="50" t="n">
        <v>1.8235</v>
      </c>
      <c r="E7" s="50" t="n">
        <v>49</v>
      </c>
    </row>
    <row r="8">
      <c r="A8" s="50" t="n">
        <v>20221205</v>
      </c>
      <c r="B8" s="50" t="n">
        <v>187</v>
      </c>
      <c r="C8" s="50" t="n">
        <v>344</v>
      </c>
      <c r="D8" s="50" t="n">
        <v>1.8396</v>
      </c>
      <c r="E8" s="50" t="n">
        <v>49</v>
      </c>
    </row>
    <row r="9">
      <c r="A9" s="50" t="n">
        <v>20230102</v>
      </c>
      <c r="B9" s="50" t="n">
        <v>187</v>
      </c>
      <c r="C9" s="50" t="n">
        <v>350</v>
      </c>
      <c r="D9" s="50" t="n">
        <v>1.8717</v>
      </c>
      <c r="E9" s="50" t="n">
        <v>49</v>
      </c>
    </row>
    <row r="10">
      <c r="A10" s="50" t="n">
        <v>20230306</v>
      </c>
      <c r="B10" s="50" t="n">
        <v>189</v>
      </c>
      <c r="C10" s="50" t="n">
        <v>352</v>
      </c>
      <c r="D10" s="50" t="n">
        <v>1.8624</v>
      </c>
      <c r="E10" s="50" t="n">
        <v>50</v>
      </c>
    </row>
    <row r="11">
      <c r="A11" s="50" t="n">
        <v>20230601</v>
      </c>
      <c r="B11" s="50" t="n">
        <v>191</v>
      </c>
      <c r="C11" s="50" t="n">
        <v>345</v>
      </c>
      <c r="D11" s="50" t="n">
        <v>1.8063</v>
      </c>
      <c r="E11" s="50" t="n">
        <v>50</v>
      </c>
    </row>
    <row r="12">
      <c r="A12" s="50" t="n">
        <v>20230701</v>
      </c>
      <c r="B12" s="50" t="n">
        <v>192</v>
      </c>
      <c r="C12" s="50" t="n">
        <v>360</v>
      </c>
      <c r="D12" s="50" t="n">
        <v>1.875</v>
      </c>
      <c r="E12" s="50" t="n">
        <v>50</v>
      </c>
    </row>
    <row r="13">
      <c r="A13" s="50" t="n">
        <v>20230805</v>
      </c>
      <c r="B13" s="50" t="n">
        <v>193</v>
      </c>
      <c r="C13" s="50" t="n">
        <v>352</v>
      </c>
      <c r="D13" s="50" t="n">
        <v>1.8238</v>
      </c>
      <c r="E13" s="50" t="n">
        <v>50</v>
      </c>
    </row>
    <row r="14">
      <c r="A14" s="50" t="n">
        <v>20231102</v>
      </c>
      <c r="B14" s="50" t="n">
        <v>195</v>
      </c>
      <c r="C14" s="50" t="n">
        <v>357</v>
      </c>
      <c r="D14" s="50" t="n">
        <v>1.8308</v>
      </c>
      <c r="E14" s="50" t="n">
        <v>51</v>
      </c>
    </row>
    <row r="15">
      <c r="A15" s="50" t="n">
        <v>20231201</v>
      </c>
      <c r="B15" s="50" t="n">
        <v>195</v>
      </c>
      <c r="C15" s="50" t="n">
        <v>355</v>
      </c>
      <c r="D15" s="50" t="n">
        <v>1.8205</v>
      </c>
      <c r="E15" s="50" t="n">
        <v>51</v>
      </c>
    </row>
    <row r="16">
      <c r="A16" s="50" t="n">
        <v>20240204</v>
      </c>
      <c r="B16" s="50" t="n">
        <v>196</v>
      </c>
      <c r="C16" s="50" t="n">
        <v>357</v>
      </c>
      <c r="D16" s="50" t="n">
        <v>1.8214</v>
      </c>
      <c r="E16" s="50" t="n">
        <v>51</v>
      </c>
    </row>
    <row r="17">
      <c r="A17" s="50" t="n">
        <v>20240306</v>
      </c>
      <c r="B17" s="50" t="n">
        <v>196</v>
      </c>
      <c r="C17" s="50" t="n">
        <v>357</v>
      </c>
      <c r="D17" s="50" t="n">
        <v>1.8214</v>
      </c>
      <c r="E17" s="50" t="n">
        <v>51</v>
      </c>
    </row>
    <row r="18">
      <c r="A18" s="50" t="n">
        <v>20240401</v>
      </c>
      <c r="B18" s="50" t="n">
        <v>196</v>
      </c>
      <c r="C18" s="50" t="n">
        <v>362</v>
      </c>
      <c r="D18" s="50" t="n">
        <v>1.8469</v>
      </c>
      <c r="E18" s="50" t="n">
        <v>51</v>
      </c>
    </row>
    <row r="19">
      <c r="A19" s="50" t="n">
        <v>20240601</v>
      </c>
      <c r="B19" s="50" t="n">
        <v>196</v>
      </c>
      <c r="C19" s="50" t="n">
        <v>365</v>
      </c>
      <c r="D19" s="50" t="n">
        <v>1.8622</v>
      </c>
      <c r="E19" s="50" t="n">
        <v>51</v>
      </c>
    </row>
    <row r="20">
      <c r="A20" s="50" t="n">
        <v>20240801</v>
      </c>
      <c r="B20" s="50" t="n">
        <v>196</v>
      </c>
      <c r="C20" s="50" t="n">
        <v>340</v>
      </c>
      <c r="D20" s="50" t="n">
        <v>1.7347</v>
      </c>
      <c r="E20" s="50" t="n">
        <v>51</v>
      </c>
    </row>
    <row r="21">
      <c r="A21" s="50" t="n">
        <v>20241003</v>
      </c>
      <c r="B21" s="50" t="n">
        <v>196</v>
      </c>
      <c r="C21" s="50" t="n">
        <v>343</v>
      </c>
      <c r="D21" s="50" t="n">
        <v>1.75</v>
      </c>
      <c r="E21" s="50" t="n">
        <v>51</v>
      </c>
    </row>
    <row r="22">
      <c r="A22" s="50" t="n">
        <v>20241102</v>
      </c>
      <c r="B22" s="50" t="n">
        <v>196</v>
      </c>
      <c r="C22" s="50" t="n">
        <v>345</v>
      </c>
      <c r="D22" s="50" t="n">
        <v>1.7602</v>
      </c>
      <c r="E22" s="50" t="n">
        <v>51</v>
      </c>
    </row>
    <row r="23">
      <c r="A23" s="50" t="n">
        <v>20250104</v>
      </c>
      <c r="B23" s="50" t="n">
        <v>197</v>
      </c>
      <c r="C23" s="50" t="n">
        <v>356</v>
      </c>
      <c r="D23" s="50" t="n">
        <v>1.8071</v>
      </c>
      <c r="E23" s="50" t="n">
        <v>51</v>
      </c>
    </row>
    <row r="24">
      <c r="A24" s="50" t="n">
        <v>20250601</v>
      </c>
      <c r="B24" s="50" t="n">
        <v>197</v>
      </c>
      <c r="C24" s="50" t="n">
        <v>339</v>
      </c>
      <c r="D24" s="50" t="n">
        <v>1.7208</v>
      </c>
      <c r="E24" s="50" t="n">
        <v>51</v>
      </c>
    </row>
    <row r="25">
      <c r="A25" s="50" t="n">
        <v>20250801</v>
      </c>
      <c r="B25" s="50" t="n">
        <v>198</v>
      </c>
      <c r="C25" s="50" t="n">
        <v>337</v>
      </c>
      <c r="D25" s="50" t="n">
        <v>1.702</v>
      </c>
      <c r="E25" s="50" t="n">
        <v>51</v>
      </c>
    </row>
    <row r="26">
      <c r="A26" s="50" t="n">
        <v>20250901</v>
      </c>
      <c r="B26" s="50" t="n">
        <v>199</v>
      </c>
      <c r="C26" s="50" t="n">
        <v>347</v>
      </c>
      <c r="D26" s="50" t="n">
        <v>1.7437</v>
      </c>
      <c r="E26" s="50" t="n">
        <v>51</v>
      </c>
    </row>
    <row r="27">
      <c r="A27" s="50" t="n">
        <v>20251101</v>
      </c>
      <c r="B27" s="50" t="n">
        <v>200</v>
      </c>
      <c r="C27" s="50" t="n">
        <v>341</v>
      </c>
      <c r="D27" s="50" t="n">
        <v>1.705</v>
      </c>
      <c r="E27" s="50" t="n">
        <v>51</v>
      </c>
    </row>
    <row r="28">
      <c r="A28" s="50" t="n">
        <v>20251227</v>
      </c>
      <c r="B28" s="50" t="n">
        <v>200</v>
      </c>
      <c r="C28" s="50" t="n">
        <v>373</v>
      </c>
      <c r="D28" s="50" t="n">
        <v>1.865</v>
      </c>
      <c r="E28" s="50" t="n">
        <v>51</v>
      </c>
    </row>
    <row r="29">
      <c r="A29" s="50" t="n">
        <v>20260101</v>
      </c>
      <c r="B29" s="50" t="n">
        <v>200</v>
      </c>
      <c r="C29" s="50" t="n">
        <v>352</v>
      </c>
      <c r="D29" s="50" t="n">
        <v>1.76</v>
      </c>
      <c r="E29" s="50" t="n">
        <v>51</v>
      </c>
    </row>
  </sheetData>
  <mergeCells count="1">
    <mergeCell ref="A2:F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7" customWidth="1" min="3" max="3"/>
    <col width="25" customWidth="1" min="4" max="4"/>
    <col width="16" customWidth="1" min="5" max="5"/>
    <col width="15" customWidth="1" min="6" max="6"/>
  </cols>
  <sheetData>
    <row r="1">
      <c r="A1" s="1" t="inlineStr">
        <is>
          <t>cadence_fixed.csv</t>
        </is>
      </c>
    </row>
    <row r="2" ht="42" customHeight="1">
      <c r="A2" s="6" t="inlineStr">
        <is>
          <t>Sale-event cadence per yard per snapshot.</t>
        </is>
      </c>
    </row>
    <row r="3">
      <c r="A3" s="2" t="inlineStr">
        <is>
          <t>data/csv/cadence_fixed.csv · 26 rows · BLUE = raw data as committed; do not type over it — edit the CSV and rebuild.</t>
        </is>
      </c>
    </row>
    <row r="4">
      <c r="A4" s="7" t="inlineStr">
        <is>
          <t>snapshot</t>
        </is>
      </c>
      <c r="B4" s="7" t="inlineStr">
        <is>
          <t>yards</t>
        </is>
      </c>
      <c r="C4" s="7" t="inlineStr">
        <is>
          <t>sales_in_window</t>
        </is>
      </c>
      <c r="D4" s="7" t="inlineStr">
        <is>
          <t>sales_per_yard_per_week</t>
        </is>
      </c>
      <c r="E4" s="7" t="inlineStr">
        <is>
          <t>pct_yards_zero</t>
        </is>
      </c>
      <c r="F4" s="7" t="inlineStr">
        <is>
          <t>pct_yards_ge2</t>
        </is>
      </c>
    </row>
    <row r="5">
      <c r="A5" s="50" t="n">
        <v>20220802</v>
      </c>
      <c r="B5" s="50" t="n">
        <v>188</v>
      </c>
      <c r="C5" s="50" t="n">
        <v>239</v>
      </c>
      <c r="D5" s="50" t="n">
        <v>1.27128</v>
      </c>
      <c r="E5" s="50" t="n">
        <v>0</v>
      </c>
      <c r="F5" s="50" t="n">
        <v>27.13</v>
      </c>
    </row>
    <row r="6">
      <c r="A6" s="50" t="n">
        <v>20220901</v>
      </c>
      <c r="B6" s="50" t="n">
        <v>187</v>
      </c>
      <c r="C6" s="50" t="n">
        <v>238</v>
      </c>
      <c r="D6" s="50" t="n">
        <v>1.27273</v>
      </c>
      <c r="E6" s="50" t="n">
        <v>0</v>
      </c>
      <c r="F6" s="50" t="n">
        <v>27.27</v>
      </c>
    </row>
    <row r="7">
      <c r="A7" s="50" t="n">
        <v>20221101</v>
      </c>
      <c r="B7" s="50" t="n">
        <v>187</v>
      </c>
      <c r="C7" s="50" t="n">
        <v>240</v>
      </c>
      <c r="D7" s="50" t="n">
        <v>1.28342</v>
      </c>
      <c r="E7" s="50" t="n">
        <v>0.53</v>
      </c>
      <c r="F7" s="50" t="n">
        <v>28.88</v>
      </c>
    </row>
    <row r="8">
      <c r="A8" s="50" t="n">
        <v>20221205</v>
      </c>
      <c r="B8" s="50" t="n">
        <v>187</v>
      </c>
      <c r="C8" s="50" t="n">
        <v>241</v>
      </c>
      <c r="D8" s="50" t="n">
        <v>1.28877</v>
      </c>
      <c r="E8" s="50" t="n">
        <v>1.07</v>
      </c>
      <c r="F8" s="50" t="n">
        <v>29.95</v>
      </c>
    </row>
    <row r="9">
      <c r="A9" s="50" t="n">
        <v>20230102</v>
      </c>
      <c r="B9" s="50" t="n">
        <v>187</v>
      </c>
      <c r="C9" s="50" t="n">
        <v>204</v>
      </c>
      <c r="D9" s="50" t="n">
        <v>1.09091</v>
      </c>
      <c r="E9" s="50" t="n">
        <v>12.83</v>
      </c>
      <c r="F9" s="50" t="n">
        <v>21.93</v>
      </c>
    </row>
    <row r="10">
      <c r="A10" s="50" t="n">
        <v>20230306</v>
      </c>
      <c r="B10" s="50" t="n">
        <v>189</v>
      </c>
      <c r="C10" s="50" t="n">
        <v>248</v>
      </c>
      <c r="D10" s="50" t="n">
        <v>1.31217</v>
      </c>
      <c r="E10" s="50" t="n">
        <v>0</v>
      </c>
      <c r="F10" s="50" t="n">
        <v>31.22</v>
      </c>
    </row>
    <row r="11">
      <c r="A11" s="50" t="n">
        <v>20230601</v>
      </c>
      <c r="B11" s="50" t="n">
        <v>191</v>
      </c>
      <c r="C11" s="50" t="n">
        <v>256</v>
      </c>
      <c r="D11" s="50" t="n">
        <v>1.34031</v>
      </c>
      <c r="E11" s="50" t="n">
        <v>0.52</v>
      </c>
      <c r="F11" s="50" t="n">
        <v>34.55</v>
      </c>
    </row>
    <row r="12">
      <c r="A12" s="50" t="n">
        <v>20230701</v>
      </c>
      <c r="B12" s="50" t="n">
        <v>192</v>
      </c>
      <c r="C12" s="50" t="n">
        <v>258</v>
      </c>
      <c r="D12" s="50" t="n">
        <v>1.34375</v>
      </c>
      <c r="E12" s="50" t="n">
        <v>0.52</v>
      </c>
      <c r="F12" s="50" t="n">
        <v>34.9</v>
      </c>
    </row>
    <row r="13">
      <c r="A13" s="50" t="n">
        <v>20230805</v>
      </c>
      <c r="B13" s="50" t="n">
        <v>193</v>
      </c>
      <c r="C13" s="50" t="n">
        <v>262</v>
      </c>
      <c r="D13" s="50" t="n">
        <v>1.35751</v>
      </c>
      <c r="E13" s="50" t="n">
        <v>0</v>
      </c>
      <c r="F13" s="50" t="n">
        <v>35.75</v>
      </c>
    </row>
    <row r="14">
      <c r="A14" s="50" t="n">
        <v>20231102</v>
      </c>
      <c r="B14" s="50" t="n">
        <v>195</v>
      </c>
      <c r="C14" s="50" t="n">
        <v>263</v>
      </c>
      <c r="D14" s="50" t="n">
        <v>1.34872</v>
      </c>
      <c r="E14" s="50" t="n">
        <v>0.51</v>
      </c>
      <c r="F14" s="50" t="n">
        <v>35.38</v>
      </c>
    </row>
    <row r="15">
      <c r="A15" s="50" t="n">
        <v>20231201</v>
      </c>
      <c r="B15" s="50" t="n">
        <v>195</v>
      </c>
      <c r="C15" s="50" t="n">
        <v>221</v>
      </c>
      <c r="D15" s="50" t="n">
        <v>1.13333</v>
      </c>
      <c r="E15" s="50" t="n">
        <v>10.77</v>
      </c>
      <c r="F15" s="50" t="n">
        <v>24.1</v>
      </c>
    </row>
    <row r="16">
      <c r="A16" s="50" t="n">
        <v>20240204</v>
      </c>
      <c r="B16" s="50" t="n">
        <v>196</v>
      </c>
      <c r="C16" s="50" t="n">
        <v>266</v>
      </c>
      <c r="D16" s="50" t="n">
        <v>1.35714</v>
      </c>
      <c r="E16" s="50" t="n">
        <v>0</v>
      </c>
      <c r="F16" s="50" t="n">
        <v>35.71</v>
      </c>
    </row>
    <row r="17">
      <c r="A17" s="50" t="n">
        <v>20240306</v>
      </c>
      <c r="B17" s="50" t="n">
        <v>196</v>
      </c>
      <c r="C17" s="50" t="n">
        <v>212</v>
      </c>
      <c r="D17" s="50" t="n">
        <v>1.08163</v>
      </c>
      <c r="E17" s="50" t="n">
        <v>17.35</v>
      </c>
      <c r="F17" s="50" t="n">
        <v>25.51</v>
      </c>
    </row>
    <row r="18">
      <c r="A18" s="50" t="n">
        <v>20240401</v>
      </c>
      <c r="B18" s="50" t="n">
        <v>196</v>
      </c>
      <c r="C18" s="50" t="n">
        <v>267</v>
      </c>
      <c r="D18" s="50" t="n">
        <v>1.36224</v>
      </c>
      <c r="E18" s="50" t="n">
        <v>0</v>
      </c>
      <c r="F18" s="50" t="n">
        <v>36.22</v>
      </c>
    </row>
    <row r="19">
      <c r="A19" s="50" t="n">
        <v>20240601</v>
      </c>
      <c r="B19" s="50" t="n">
        <v>196</v>
      </c>
      <c r="C19" s="50" t="n">
        <v>266</v>
      </c>
      <c r="D19" s="50" t="n">
        <v>1.35714</v>
      </c>
      <c r="E19" s="50" t="n">
        <v>0.51</v>
      </c>
      <c r="F19" s="50" t="n">
        <v>36.22</v>
      </c>
    </row>
    <row r="20">
      <c r="A20" s="50" t="n">
        <v>20240801</v>
      </c>
      <c r="B20" s="50" t="n">
        <v>196</v>
      </c>
      <c r="C20" s="50" t="n">
        <v>268</v>
      </c>
      <c r="D20" s="50" t="n">
        <v>1.36735</v>
      </c>
      <c r="E20" s="50" t="n">
        <v>0</v>
      </c>
      <c r="F20" s="50" t="n">
        <v>36.73</v>
      </c>
    </row>
    <row r="21">
      <c r="A21" s="50" t="n">
        <v>20241003</v>
      </c>
      <c r="B21" s="50" t="n">
        <v>196</v>
      </c>
      <c r="C21" s="50" t="n">
        <v>266</v>
      </c>
      <c r="D21" s="50" t="n">
        <v>1.35714</v>
      </c>
      <c r="E21" s="50" t="n">
        <v>1.02</v>
      </c>
      <c r="F21" s="50" t="n">
        <v>36.73</v>
      </c>
    </row>
    <row r="22">
      <c r="A22" s="50" t="n">
        <v>20241102</v>
      </c>
      <c r="B22" s="50" t="n">
        <v>196</v>
      </c>
      <c r="C22" s="50" t="n">
        <v>267</v>
      </c>
      <c r="D22" s="50" t="n">
        <v>1.36224</v>
      </c>
      <c r="E22" s="50" t="n">
        <v>0.51</v>
      </c>
      <c r="F22" s="50" t="n">
        <v>36.73</v>
      </c>
    </row>
    <row r="23">
      <c r="A23" s="50" t="n">
        <v>20250104</v>
      </c>
      <c r="B23" s="50" t="n">
        <v>197</v>
      </c>
      <c r="C23" s="50" t="n">
        <v>275</v>
      </c>
      <c r="D23" s="50" t="n">
        <v>1.39594</v>
      </c>
      <c r="E23" s="50" t="n">
        <v>0</v>
      </c>
      <c r="F23" s="50" t="n">
        <v>39.59</v>
      </c>
    </row>
    <row r="24">
      <c r="A24" s="50" t="n">
        <v>20250601</v>
      </c>
      <c r="B24" s="50" t="n">
        <v>197</v>
      </c>
      <c r="C24" s="50" t="n">
        <v>281</v>
      </c>
      <c r="D24" s="50" t="n">
        <v>1.4264</v>
      </c>
      <c r="E24" s="50" t="n">
        <v>0.51</v>
      </c>
      <c r="F24" s="50" t="n">
        <v>43.15</v>
      </c>
    </row>
    <row r="25">
      <c r="A25" s="50" t="n">
        <v>20250801</v>
      </c>
      <c r="B25" s="50" t="n">
        <v>198</v>
      </c>
      <c r="C25" s="50" t="n">
        <v>242</v>
      </c>
      <c r="D25" s="50" t="n">
        <v>1.22222</v>
      </c>
      <c r="E25" s="50" t="n">
        <v>9.6</v>
      </c>
      <c r="F25" s="50" t="n">
        <v>31.82</v>
      </c>
    </row>
    <row r="26">
      <c r="A26" s="50" t="n">
        <v>20250901</v>
      </c>
      <c r="B26" s="50" t="n">
        <v>199</v>
      </c>
      <c r="C26" s="50" t="n">
        <v>237</v>
      </c>
      <c r="D26" s="50" t="n">
        <v>1.19095</v>
      </c>
      <c r="E26" s="50" t="n">
        <v>12.06</v>
      </c>
      <c r="F26" s="50" t="n">
        <v>31.16</v>
      </c>
    </row>
    <row r="27">
      <c r="A27" s="50" t="n">
        <v>20251101</v>
      </c>
      <c r="B27" s="50" t="n">
        <v>200</v>
      </c>
      <c r="C27" s="50" t="n">
        <v>284</v>
      </c>
      <c r="D27" s="50" t="n">
        <v>1.42</v>
      </c>
      <c r="E27" s="50" t="n">
        <v>0.5</v>
      </c>
      <c r="F27" s="50" t="n">
        <v>42.5</v>
      </c>
    </row>
    <row r="28">
      <c r="A28" s="50" t="n">
        <v>20251227</v>
      </c>
      <c r="B28" s="50" t="n">
        <v>200</v>
      </c>
      <c r="C28" s="50" t="n">
        <v>284</v>
      </c>
      <c r="D28" s="50" t="n">
        <v>1.42</v>
      </c>
      <c r="E28" s="50" t="n">
        <v>0.5</v>
      </c>
      <c r="F28" s="50" t="n">
        <v>42.5</v>
      </c>
    </row>
    <row r="29">
      <c r="A29" s="50" t="n">
        <v>20260101</v>
      </c>
      <c r="B29" s="50" t="n">
        <v>200</v>
      </c>
      <c r="C29" s="50" t="n">
        <v>259</v>
      </c>
      <c r="D29" s="50" t="n">
        <v>1.295</v>
      </c>
      <c r="E29" s="50" t="n">
        <v>6.5</v>
      </c>
      <c r="F29" s="50" t="n">
        <v>36</v>
      </c>
    </row>
    <row r="30">
      <c r="A30" s="50" t="n">
        <v>20260908</v>
      </c>
      <c r="B30" s="50" t="n">
        <v>204</v>
      </c>
      <c r="C30" s="50" t="n">
        <v>295</v>
      </c>
      <c r="D30" s="50" t="n">
        <v>1.44608</v>
      </c>
      <c r="E30" s="50" t="n">
        <v>0</v>
      </c>
      <c r="F30" s="50" t="n">
        <v>44.61</v>
      </c>
    </row>
  </sheetData>
  <mergeCells count="1">
    <mergeCell ref="A2:F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10" customWidth="1" min="3" max="3"/>
    <col width="16" customWidth="1" min="4" max="4"/>
    <col width="16" customWidth="1" min="5" max="5"/>
    <col width="26" customWidth="1" min="6" max="6"/>
  </cols>
  <sheetData>
    <row r="1">
      <c r="A1" s="1" t="inlineStr">
        <is>
          <t>lots_per_sale_event.csv</t>
        </is>
      </c>
    </row>
    <row r="2" ht="42" customHeight="1">
      <c r="A2" s="6" t="inlineStr">
        <is>
          <t>Listed lots (union, overlap-gated) per 7-day sale events; events per yard per week.</t>
        </is>
      </c>
    </row>
    <row r="3">
      <c r="A3" s="2" t="inlineStr">
        <is>
          <t>data/csv/lots_per_sale_event.csv · 10 rows · BLUE = raw data as committed; do not type over it — edit the CSV and rebuild.</t>
        </is>
      </c>
    </row>
    <row r="4">
      <c r="A4" s="7" t="inlineStr">
        <is>
          <t>month</t>
        </is>
      </c>
      <c r="B4" s="7" t="inlineStr">
        <is>
          <t>listed_lots_union</t>
        </is>
      </c>
      <c r="C4" s="7" t="inlineStr">
        <is>
          <t>us_yards</t>
        </is>
      </c>
      <c r="D4" s="7" t="inlineStr">
        <is>
          <t>sale_events_7d</t>
        </is>
      </c>
      <c r="E4" s="7" t="inlineStr">
        <is>
          <t>lots_per_event</t>
        </is>
      </c>
      <c r="F4" s="7" t="inlineStr">
        <is>
          <t>events_per_yard_per_week</t>
        </is>
      </c>
    </row>
    <row r="5">
      <c r="A5" s="50" t="n">
        <v>202212</v>
      </c>
      <c r="B5" s="50" t="n">
        <v>170230</v>
      </c>
      <c r="C5" s="50" t="n">
        <v>187</v>
      </c>
      <c r="D5" s="50" t="n">
        <v>241</v>
      </c>
      <c r="E5" s="50" t="n">
        <v>706.3</v>
      </c>
      <c r="F5" s="50" t="n">
        <v>1.28877</v>
      </c>
    </row>
    <row r="6">
      <c r="A6" s="50" t="n">
        <v>202301</v>
      </c>
      <c r="B6" s="50" t="n">
        <v>167787</v>
      </c>
      <c r="C6" s="50" t="n">
        <v>187</v>
      </c>
      <c r="D6" s="50" t="n">
        <v>204</v>
      </c>
      <c r="E6" s="50" t="n">
        <v>822.5</v>
      </c>
      <c r="F6" s="50" t="n">
        <v>1.09091</v>
      </c>
    </row>
    <row r="7">
      <c r="A7" s="50" t="n">
        <v>202303</v>
      </c>
      <c r="B7" s="50" t="n">
        <v>180626</v>
      </c>
      <c r="C7" s="50" t="n">
        <v>189</v>
      </c>
      <c r="D7" s="50" t="n">
        <v>248</v>
      </c>
      <c r="E7" s="50" t="n">
        <v>728.3</v>
      </c>
      <c r="F7" s="50" t="n">
        <v>1.31217</v>
      </c>
    </row>
    <row r="8">
      <c r="A8" s="50" t="n">
        <v>202308</v>
      </c>
      <c r="B8" s="50" t="n">
        <v>169936</v>
      </c>
      <c r="C8" s="50" t="n">
        <v>193</v>
      </c>
      <c r="D8" s="50" t="n">
        <v>262</v>
      </c>
      <c r="E8" s="50" t="n">
        <v>648.6</v>
      </c>
      <c r="F8" s="50" t="n">
        <v>1.35751</v>
      </c>
    </row>
    <row r="9">
      <c r="A9" s="50" t="n">
        <v>202406</v>
      </c>
      <c r="B9" s="50" t="n">
        <v>184480</v>
      </c>
      <c r="C9" s="50" t="n">
        <v>196</v>
      </c>
      <c r="D9" s="50" t="n">
        <v>266</v>
      </c>
      <c r="E9" s="50" t="n">
        <v>693.5</v>
      </c>
      <c r="F9" s="50" t="n">
        <v>1.35714</v>
      </c>
    </row>
    <row r="10">
      <c r="A10" s="50" t="n">
        <v>202506</v>
      </c>
      <c r="B10" s="50" t="n">
        <v>163513</v>
      </c>
      <c r="C10" s="50" t="n">
        <v>197</v>
      </c>
      <c r="D10" s="50" t="n">
        <v>281</v>
      </c>
      <c r="E10" s="50" t="n">
        <v>581.9</v>
      </c>
      <c r="F10" s="50" t="n">
        <v>1.4264</v>
      </c>
    </row>
    <row r="11">
      <c r="A11" s="50" t="n">
        <v>202509</v>
      </c>
      <c r="B11" s="50" t="n">
        <v>153101</v>
      </c>
      <c r="C11" s="50" t="n">
        <v>199</v>
      </c>
      <c r="D11" s="50" t="n">
        <v>237</v>
      </c>
      <c r="E11" s="50" t="n">
        <v>646</v>
      </c>
      <c r="F11" s="50" t="n">
        <v>1.19095</v>
      </c>
    </row>
    <row r="12">
      <c r="A12" s="50" t="n">
        <v>202512</v>
      </c>
      <c r="B12" s="50" t="n">
        <v>161809</v>
      </c>
      <c r="C12" s="50" t="n">
        <v>200</v>
      </c>
      <c r="D12" s="50" t="n">
        <v>284</v>
      </c>
      <c r="E12" s="50" t="n">
        <v>569.8</v>
      </c>
      <c r="F12" s="50" t="n">
        <v>1.42</v>
      </c>
    </row>
    <row r="13">
      <c r="A13" s="50" t="n">
        <v>202601</v>
      </c>
      <c r="B13" s="50" t="n">
        <v>159593</v>
      </c>
      <c r="C13" s="50" t="n">
        <v>200</v>
      </c>
      <c r="D13" s="50" t="n">
        <v>259</v>
      </c>
      <c r="E13" s="50" t="n">
        <v>616.2</v>
      </c>
      <c r="F13" s="50" t="n">
        <v>1.295</v>
      </c>
    </row>
    <row r="14">
      <c r="A14" s="50" t="n">
        <v>202609</v>
      </c>
      <c r="B14" s="50" t="n">
        <v>145108</v>
      </c>
      <c r="C14" s="50" t="n">
        <v>204</v>
      </c>
      <c r="D14" s="50" t="n">
        <v>295</v>
      </c>
      <c r="E14" s="50" t="n">
        <v>491.9</v>
      </c>
      <c r="F14" s="50" t="n">
        <v>1.44608</v>
      </c>
    </row>
  </sheetData>
  <mergeCells count="1">
    <mergeCell ref="A2:F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8"/>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0" customWidth="1" min="3" max="3"/>
    <col width="18" customWidth="1" min="4" max="4"/>
    <col width="17" customWidth="1" min="5" max="5"/>
    <col width="14" customWidth="1" min="6" max="6"/>
    <col width="10" customWidth="1" min="7" max="7"/>
    <col width="22" customWidth="1" min="8" max="8"/>
    <col width="18" customWidth="1" min="9" max="9"/>
    <col width="10" customWidth="1" min="10" max="10"/>
  </cols>
  <sheetData>
    <row r="1">
      <c r="A1" s="1" t="inlineStr">
        <is>
          <t>backtest_inventory_v2.csv</t>
        </is>
      </c>
    </row>
    <row r="2" ht="42" customHeight="1">
      <c r="A2" s="6" t="inlineStr">
        <is>
          <t>Sitemap inventory YoY vs Copart reported US inventory YoY, overlap&lt;=1% gate. scripts/backtest_inventory_v2.py</t>
        </is>
      </c>
    </row>
    <row r="3">
      <c r="A3" s="2" t="inlineStr">
        <is>
          <t>data/csv/backtest_inventory_v2.csv · 4 rows · BLUE = raw data as committed; do not type over it — edit the CSV and rebuild.</t>
        </is>
      </c>
    </row>
    <row r="4">
      <c r="A4" s="7" t="inlineStr">
        <is>
          <t>base_month</t>
        </is>
      </c>
      <c r="B4" s="7" t="inlineStr">
        <is>
          <t>end_month</t>
        </is>
      </c>
      <c r="C4" s="7" t="inlineStr">
        <is>
          <t>gap_days</t>
        </is>
      </c>
      <c r="D4" s="7" t="inlineStr">
        <is>
          <t>overlap_base_pct</t>
        </is>
      </c>
      <c r="E4" s="7" t="inlineStr">
        <is>
          <t>overlap_end_pct</t>
        </is>
      </c>
      <c r="F4" s="7" t="inlineStr">
        <is>
          <t>ours_yoy_pct</t>
        </is>
      </c>
      <c r="G4" s="7" t="inlineStr">
        <is>
          <t>fiscal_q</t>
        </is>
      </c>
      <c r="H4" s="7" t="inlineStr">
        <is>
          <t>days_off_quarter_end</t>
        </is>
      </c>
      <c r="I4" s="7" t="inlineStr">
        <is>
          <t>reported_yoy_pct</t>
        </is>
      </c>
      <c r="J4" s="7" t="inlineStr">
        <is>
          <t>error_pp</t>
        </is>
      </c>
    </row>
    <row r="5">
      <c r="A5" s="50" t="n">
        <v>202212</v>
      </c>
      <c r="B5" s="50" t="n">
        <v>202401</v>
      </c>
      <c r="C5" s="50" t="n">
        <v>392</v>
      </c>
      <c r="D5" s="50" t="n">
        <v>0.82</v>
      </c>
      <c r="E5" s="50" t="n">
        <v>0</v>
      </c>
      <c r="F5" s="50" t="n">
        <v>5.51</v>
      </c>
      <c r="G5" s="50" t="inlineStr">
        <is>
          <t>FY2024 Q2</t>
        </is>
      </c>
      <c r="H5" s="50" t="n">
        <v>30</v>
      </c>
      <c r="I5" s="50" t="n">
        <v>4</v>
      </c>
      <c r="J5" s="50" t="n">
        <v>1.51</v>
      </c>
    </row>
    <row r="6">
      <c r="A6" s="50" t="n">
        <v>202301</v>
      </c>
      <c r="B6" s="50" t="n">
        <v>202401</v>
      </c>
      <c r="C6" s="50" t="n">
        <v>364</v>
      </c>
      <c r="D6" s="50" t="n">
        <v>0</v>
      </c>
      <c r="E6" s="50" t="n">
        <v>0</v>
      </c>
      <c r="F6" s="50" t="n">
        <v>7.05</v>
      </c>
      <c r="G6" s="50" t="inlineStr">
        <is>
          <t>FY2024 Q2</t>
        </is>
      </c>
      <c r="H6" s="50" t="n">
        <v>30</v>
      </c>
      <c r="I6" s="50" t="n">
        <v>4</v>
      </c>
      <c r="J6" s="50" t="n">
        <v>3.05</v>
      </c>
    </row>
    <row r="7">
      <c r="A7" s="50" t="n">
        <v>202406</v>
      </c>
      <c r="B7" s="50" t="n">
        <v>202506</v>
      </c>
      <c r="C7" s="50" t="n">
        <v>365</v>
      </c>
      <c r="D7" s="50" t="n">
        <v>0.1</v>
      </c>
      <c r="E7" s="50" t="n">
        <v>0.03</v>
      </c>
      <c r="F7" s="50" t="n">
        <v>-11.37</v>
      </c>
      <c r="G7" s="50" t="inlineStr">
        <is>
          <t>FY2025 Q3</t>
        </is>
      </c>
      <c r="H7" s="50" t="n">
        <v>32</v>
      </c>
      <c r="I7" s="50" t="n">
        <v>-11</v>
      </c>
      <c r="J7" s="50" t="n">
        <v>-0.37</v>
      </c>
    </row>
    <row r="8">
      <c r="A8" s="50" t="n">
        <v>202509</v>
      </c>
      <c r="B8" s="50" t="n">
        <v>202609</v>
      </c>
      <c r="C8" s="50" t="n">
        <v>372</v>
      </c>
      <c r="D8" s="50" t="n">
        <v>0.11</v>
      </c>
      <c r="E8" s="50" t="n">
        <v>0.11</v>
      </c>
      <c r="F8" s="50" t="n">
        <v>-5.22</v>
      </c>
      <c r="G8" s="50" t="inlineStr">
        <is>
          <t>FY2026 Q4</t>
        </is>
      </c>
      <c r="H8" s="50" t="n">
        <v>39</v>
      </c>
      <c r="I8" s="50" t="n">
        <v>-3.4</v>
      </c>
      <c r="J8" s="50" t="n">
        <v>-1.82</v>
      </c>
    </row>
  </sheetData>
  <mergeCells count="1">
    <mergeCell ref="A2:J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612"/>
  <sheetViews>
    <sheetView workbookViewId="0">
      <pane ySplit="4" topLeftCell="A5" activePane="bottomLeft" state="frozen"/>
      <selection pane="bottomLeft" activeCell="A1" sqref="A1"/>
    </sheetView>
  </sheetViews>
  <sheetFormatPr baseColWidth="8" defaultRowHeight="15"/>
  <cols>
    <col width="18" customWidth="1" min="1" max="1"/>
    <col width="10" customWidth="1" min="2" max="2"/>
  </cols>
  <sheetData>
    <row r="1">
      <c r="A1" s="1" t="inlineStr">
        <is>
          <t>fred_TOTALNSA.csv</t>
        </is>
      </c>
    </row>
    <row r="2" ht="42" customHeight="1">
      <c r="A2" s="6" t="inlineStr">
        <is>
          <t>FRED TOTALNSA: light weight vehicle sales, autos and light trucks, thousands of units, monthly NSA (BEA).</t>
        </is>
      </c>
    </row>
    <row r="3">
      <c r="A3" s="2" t="inlineStr">
        <is>
          <t>data/csv/fred_TOTALNSA.csv · 608 rows · BLUE = raw data as committed; do not type over it — edit the CSV and rebuild.</t>
        </is>
      </c>
    </row>
    <row r="4">
      <c r="A4" s="7" t="inlineStr">
        <is>
          <t>observation_date</t>
        </is>
      </c>
      <c r="B4" s="7" t="inlineStr">
        <is>
          <t>TOTALNSA</t>
        </is>
      </c>
    </row>
    <row r="5">
      <c r="A5" s="50" t="inlineStr">
        <is>
          <t>1976-01-01</t>
        </is>
      </c>
      <c r="B5" s="50" t="n">
        <v>885.2</v>
      </c>
    </row>
    <row r="6">
      <c r="A6" s="50" t="inlineStr">
        <is>
          <t>1976-02-01</t>
        </is>
      </c>
      <c r="B6" s="50" t="n">
        <v>994.7</v>
      </c>
    </row>
    <row r="7">
      <c r="A7" s="50" t="inlineStr">
        <is>
          <t>1976-03-01</t>
        </is>
      </c>
      <c r="B7" s="50" t="n">
        <v>1243.6</v>
      </c>
    </row>
    <row r="8">
      <c r="A8" s="50" t="inlineStr">
        <is>
          <t>1976-04-01</t>
        </is>
      </c>
      <c r="B8" s="50" t="n">
        <v>1191.2</v>
      </c>
    </row>
    <row r="9">
      <c r="A9" s="50" t="inlineStr">
        <is>
          <t>1976-05-01</t>
        </is>
      </c>
      <c r="B9" s="50" t="n">
        <v>1203.2</v>
      </c>
    </row>
    <row r="10">
      <c r="A10" s="50" t="inlineStr">
        <is>
          <t>1976-06-01</t>
        </is>
      </c>
      <c r="B10" s="50" t="n">
        <v>1254.7</v>
      </c>
    </row>
    <row r="11">
      <c r="A11" s="50" t="inlineStr">
        <is>
          <t>1976-07-01</t>
        </is>
      </c>
      <c r="B11" s="50" t="n">
        <v>1162.3</v>
      </c>
    </row>
    <row r="12">
      <c r="A12" s="50" t="inlineStr">
        <is>
          <t>1976-08-01</t>
        </is>
      </c>
      <c r="B12" s="50" t="n">
        <v>1026.1</v>
      </c>
    </row>
    <row r="13">
      <c r="A13" s="50" t="inlineStr">
        <is>
          <t>1976-09-01</t>
        </is>
      </c>
      <c r="B13" s="50" t="n">
        <v>1057.9</v>
      </c>
    </row>
    <row r="14">
      <c r="A14" s="50" t="inlineStr">
        <is>
          <t>1976-10-01</t>
        </is>
      </c>
      <c r="B14" s="50" t="n">
        <v>1129.4</v>
      </c>
    </row>
    <row r="15">
      <c r="A15" s="50" t="inlineStr">
        <is>
          <t>1976-11-01</t>
        </is>
      </c>
      <c r="B15" s="50" t="n">
        <v>1084.4</v>
      </c>
    </row>
    <row r="16">
      <c r="A16" s="50" t="inlineStr">
        <is>
          <t>1976-12-01</t>
        </is>
      </c>
      <c r="B16" s="50" t="n">
        <v>1061.8</v>
      </c>
    </row>
    <row r="17">
      <c r="A17" s="50" t="inlineStr">
        <is>
          <t>1977-01-01</t>
        </is>
      </c>
      <c r="B17" s="50" t="n">
        <v>969.9</v>
      </c>
    </row>
    <row r="18">
      <c r="A18" s="50" t="inlineStr">
        <is>
          <t>1977-02-01</t>
        </is>
      </c>
      <c r="B18" s="50" t="n">
        <v>1092.1</v>
      </c>
    </row>
    <row r="19">
      <c r="A19" s="50" t="inlineStr">
        <is>
          <t>1977-03-01</t>
        </is>
      </c>
      <c r="B19" s="50" t="n">
        <v>1451.1</v>
      </c>
    </row>
    <row r="20">
      <c r="A20" s="50" t="inlineStr">
        <is>
          <t>1977-04-01</t>
        </is>
      </c>
      <c r="B20" s="50" t="n">
        <v>1354.4</v>
      </c>
    </row>
    <row r="21">
      <c r="A21" s="50" t="inlineStr">
        <is>
          <t>1977-05-01</t>
        </is>
      </c>
      <c r="B21" s="50" t="n">
        <v>1377.1</v>
      </c>
    </row>
    <row r="22">
      <c r="A22" s="50" t="inlineStr">
        <is>
          <t>1977-06-01</t>
        </is>
      </c>
      <c r="B22" s="50" t="n">
        <v>1459.8</v>
      </c>
    </row>
    <row r="23">
      <c r="A23" s="50" t="inlineStr">
        <is>
          <t>1977-07-01</t>
        </is>
      </c>
      <c r="B23" s="50" t="n">
        <v>1202</v>
      </c>
    </row>
    <row r="24">
      <c r="A24" s="50" t="inlineStr">
        <is>
          <t>1977-08-01</t>
        </is>
      </c>
      <c r="B24" s="50" t="n">
        <v>1234.5</v>
      </c>
    </row>
    <row r="25">
      <c r="A25" s="50" t="inlineStr">
        <is>
          <t>1977-09-01</t>
        </is>
      </c>
      <c r="B25" s="50" t="n">
        <v>1104.6</v>
      </c>
    </row>
    <row r="26">
      <c r="A26" s="50" t="inlineStr">
        <is>
          <t>1977-10-01</t>
        </is>
      </c>
      <c r="B26" s="50" t="n">
        <v>1341.3</v>
      </c>
    </row>
    <row r="27">
      <c r="A27" s="50" t="inlineStr">
        <is>
          <t>1977-11-01</t>
        </is>
      </c>
      <c r="B27" s="50" t="n">
        <v>1181.6</v>
      </c>
    </row>
    <row r="28">
      <c r="A28" s="50" t="inlineStr">
        <is>
          <t>1977-12-01</t>
        </is>
      </c>
      <c r="B28" s="50" t="n">
        <v>1090.6</v>
      </c>
    </row>
    <row r="29">
      <c r="A29" s="50" t="inlineStr">
        <is>
          <t>1978-01-01</t>
        </is>
      </c>
      <c r="B29" s="50" t="n">
        <v>931.3</v>
      </c>
    </row>
    <row r="30">
      <c r="A30" s="50" t="inlineStr">
        <is>
          <t>1978-02-01</t>
        </is>
      </c>
      <c r="B30" s="50" t="n">
        <v>1071.4</v>
      </c>
    </row>
    <row r="31">
      <c r="A31" s="50" t="inlineStr">
        <is>
          <t>1978-03-01</t>
        </is>
      </c>
      <c r="B31" s="50" t="n">
        <v>1480.6</v>
      </c>
    </row>
    <row r="32">
      <c r="A32" s="50" t="inlineStr">
        <is>
          <t>1978-04-01</t>
        </is>
      </c>
      <c r="B32" s="50" t="n">
        <v>1406.5</v>
      </c>
    </row>
    <row r="33">
      <c r="A33" s="50" t="inlineStr">
        <is>
          <t>1978-05-01</t>
        </is>
      </c>
      <c r="B33" s="50" t="n">
        <v>1557.6</v>
      </c>
    </row>
    <row r="34">
      <c r="A34" s="50" t="inlineStr">
        <is>
          <t>1978-06-01</t>
        </is>
      </c>
      <c r="B34" s="50" t="n">
        <v>1549.4</v>
      </c>
    </row>
    <row r="35">
      <c r="A35" s="50" t="inlineStr">
        <is>
          <t>1978-07-01</t>
        </is>
      </c>
      <c r="B35" s="50" t="n">
        <v>1289.2</v>
      </c>
    </row>
    <row r="36">
      <c r="A36" s="50" t="inlineStr">
        <is>
          <t>1978-08-01</t>
        </is>
      </c>
      <c r="B36" s="50" t="n">
        <v>1317.1</v>
      </c>
    </row>
    <row r="37">
      <c r="A37" s="50" t="inlineStr">
        <is>
          <t>1978-09-01</t>
        </is>
      </c>
      <c r="B37" s="50" t="n">
        <v>1103.5</v>
      </c>
    </row>
    <row r="38">
      <c r="A38" s="50" t="inlineStr">
        <is>
          <t>1978-10-01</t>
        </is>
      </c>
      <c r="B38" s="50" t="n">
        <v>1397</v>
      </c>
    </row>
    <row r="39">
      <c r="A39" s="50" t="inlineStr">
        <is>
          <t>1978-11-01</t>
        </is>
      </c>
      <c r="B39" s="50" t="n">
        <v>1248.7</v>
      </c>
    </row>
    <row r="40">
      <c r="A40" s="50" t="inlineStr">
        <is>
          <t>1978-12-01</t>
        </is>
      </c>
      <c r="B40" s="50" t="n">
        <v>1068.5</v>
      </c>
    </row>
    <row r="41">
      <c r="A41" s="50" t="inlineStr">
        <is>
          <t>1979-01-01</t>
        </is>
      </c>
      <c r="B41" s="50" t="n">
        <v>1077.5</v>
      </c>
    </row>
    <row r="42">
      <c r="A42" s="50" t="inlineStr">
        <is>
          <t>1979-02-01</t>
        </is>
      </c>
      <c r="B42" s="50" t="n">
        <v>1148.7</v>
      </c>
    </row>
    <row r="43">
      <c r="A43" s="50" t="inlineStr">
        <is>
          <t>1979-03-01</t>
        </is>
      </c>
      <c r="B43" s="50" t="n">
        <v>1483.8</v>
      </c>
    </row>
    <row r="44">
      <c r="A44" s="50" t="inlineStr">
        <is>
          <t>1979-04-01</t>
        </is>
      </c>
      <c r="B44" s="50" t="n">
        <v>1304.6</v>
      </c>
    </row>
    <row r="45">
      <c r="A45" s="50" t="inlineStr">
        <is>
          <t>1979-05-01</t>
        </is>
      </c>
      <c r="B45" s="50" t="n">
        <v>1373</v>
      </c>
    </row>
    <row r="46">
      <c r="A46" s="50" t="inlineStr">
        <is>
          <t>1979-06-01</t>
        </is>
      </c>
      <c r="B46" s="50" t="n">
        <v>1183.8</v>
      </c>
    </row>
    <row r="47">
      <c r="A47" s="50" t="inlineStr">
        <is>
          <t>1979-07-01</t>
        </is>
      </c>
      <c r="B47" s="50" t="n">
        <v>1164.4</v>
      </c>
    </row>
    <row r="48">
      <c r="A48" s="50" t="inlineStr">
        <is>
          <t>1979-08-01</t>
        </is>
      </c>
      <c r="B48" s="50" t="n">
        <v>1207.2</v>
      </c>
    </row>
    <row r="49">
      <c r="A49" s="50" t="inlineStr">
        <is>
          <t>1979-09-01</t>
        </is>
      </c>
      <c r="B49" s="50" t="n">
        <v>1029.6</v>
      </c>
    </row>
    <row r="50">
      <c r="A50" s="50" t="inlineStr">
        <is>
          <t>1979-10-01</t>
        </is>
      </c>
      <c r="B50" s="50" t="n">
        <v>1197.6</v>
      </c>
    </row>
    <row r="51">
      <c r="A51" s="50" t="inlineStr">
        <is>
          <t>1979-11-01</t>
        </is>
      </c>
      <c r="B51" s="50" t="n">
        <v>1018.6</v>
      </c>
    </row>
    <row r="52">
      <c r="A52" s="50" t="inlineStr">
        <is>
          <t>1979-12-01</t>
        </is>
      </c>
      <c r="B52" s="50" t="n">
        <v>959.7</v>
      </c>
    </row>
    <row r="53">
      <c r="A53" s="50" t="inlineStr">
        <is>
          <t>1980-01-01</t>
        </is>
      </c>
      <c r="B53" s="50" t="n">
        <v>1042</v>
      </c>
    </row>
    <row r="54">
      <c r="A54" s="50" t="inlineStr">
        <is>
          <t>1980-02-01</t>
        </is>
      </c>
      <c r="B54" s="50" t="n">
        <v>1038.7</v>
      </c>
    </row>
    <row r="55">
      <c r="A55" s="50" t="inlineStr">
        <is>
          <t>1980-03-01</t>
        </is>
      </c>
      <c r="B55" s="50" t="n">
        <v>1141.9</v>
      </c>
    </row>
    <row r="56">
      <c r="A56" s="50" t="inlineStr">
        <is>
          <t>1980-04-01</t>
        </is>
      </c>
      <c r="B56" s="50" t="n">
        <v>946.6</v>
      </c>
    </row>
    <row r="57">
      <c r="A57" s="50" t="inlineStr">
        <is>
          <t>1980-05-01</t>
        </is>
      </c>
      <c r="B57" s="50" t="n">
        <v>893.8</v>
      </c>
    </row>
    <row r="58">
      <c r="A58" s="50" t="inlineStr">
        <is>
          <t>1980-06-01</t>
        </is>
      </c>
      <c r="B58" s="50" t="n">
        <v>932.7</v>
      </c>
    </row>
    <row r="59">
      <c r="A59" s="50" t="inlineStr">
        <is>
          <t>1980-07-01</t>
        </is>
      </c>
      <c r="B59" s="50" t="n">
        <v>1006.6</v>
      </c>
    </row>
    <row r="60">
      <c r="A60" s="50" t="inlineStr">
        <is>
          <t>1980-08-01</t>
        </is>
      </c>
      <c r="B60" s="50" t="n">
        <v>884.2</v>
      </c>
    </row>
    <row r="61">
      <c r="A61" s="50" t="inlineStr">
        <is>
          <t>1980-09-01</t>
        </is>
      </c>
      <c r="B61" s="50" t="n">
        <v>847.4</v>
      </c>
    </row>
    <row r="62">
      <c r="A62" s="50" t="inlineStr">
        <is>
          <t>1980-10-01</t>
        </is>
      </c>
      <c r="B62" s="50" t="n">
        <v>1043.4</v>
      </c>
    </row>
    <row r="63">
      <c r="A63" s="50" t="inlineStr">
        <is>
          <t>1980-11-01</t>
        </is>
      </c>
      <c r="B63" s="50" t="n">
        <v>870.5</v>
      </c>
    </row>
    <row r="64">
      <c r="A64" s="50" t="inlineStr">
        <is>
          <t>1980-12-01</t>
        </is>
      </c>
      <c r="B64" s="50" t="n">
        <v>821.4</v>
      </c>
    </row>
    <row r="65">
      <c r="A65" s="50" t="inlineStr">
        <is>
          <t>1981-01-01</t>
        </is>
      </c>
      <c r="B65" s="50" t="n">
        <v>814.3</v>
      </c>
    </row>
    <row r="66">
      <c r="A66" s="50" t="inlineStr">
        <is>
          <t>1981-02-01</t>
        </is>
      </c>
      <c r="B66" s="50" t="n">
        <v>949.2</v>
      </c>
    </row>
    <row r="67">
      <c r="A67" s="50" t="inlineStr">
        <is>
          <t>1981-03-01</t>
        </is>
      </c>
      <c r="B67" s="50" t="n">
        <v>1178.8</v>
      </c>
    </row>
    <row r="68">
      <c r="A68" s="50" t="inlineStr">
        <is>
          <t>1981-04-01</t>
        </is>
      </c>
      <c r="B68" s="50" t="n">
        <v>962.9</v>
      </c>
    </row>
    <row r="69">
      <c r="A69" s="50" t="inlineStr">
        <is>
          <t>1981-05-01</t>
        </is>
      </c>
      <c r="B69" s="50" t="n">
        <v>933.1</v>
      </c>
    </row>
    <row r="70">
      <c r="A70" s="50" t="inlineStr">
        <is>
          <t>1981-06-01</t>
        </is>
      </c>
      <c r="B70" s="50" t="n">
        <v>942.7</v>
      </c>
    </row>
    <row r="71">
      <c r="A71" s="50" t="inlineStr">
        <is>
          <t>1981-07-01</t>
        </is>
      </c>
      <c r="B71" s="50" t="n">
        <v>896.9</v>
      </c>
    </row>
    <row r="72">
      <c r="A72" s="50" t="inlineStr">
        <is>
          <t>1981-08-01</t>
        </is>
      </c>
      <c r="B72" s="50" t="n">
        <v>1009</v>
      </c>
    </row>
    <row r="73">
      <c r="A73" s="50" t="inlineStr">
        <is>
          <t>1981-09-01</t>
        </is>
      </c>
      <c r="B73" s="50" t="n">
        <v>864.8</v>
      </c>
    </row>
    <row r="74">
      <c r="A74" s="50" t="inlineStr">
        <is>
          <t>1981-10-01</t>
        </is>
      </c>
      <c r="B74" s="50" t="n">
        <v>822</v>
      </c>
    </row>
    <row r="75">
      <c r="A75" s="50" t="inlineStr">
        <is>
          <t>1981-11-01</t>
        </is>
      </c>
      <c r="B75" s="50" t="n">
        <v>743</v>
      </c>
    </row>
    <row r="76">
      <c r="A76" s="50" t="inlineStr">
        <is>
          <t>1981-12-01</t>
        </is>
      </c>
      <c r="B76" s="50" t="n">
        <v>673.2</v>
      </c>
    </row>
    <row r="77">
      <c r="A77" s="50" t="inlineStr">
        <is>
          <t>1982-01-01</t>
        </is>
      </c>
      <c r="B77" s="50" t="n">
        <v>714.4</v>
      </c>
    </row>
    <row r="78">
      <c r="A78" s="50" t="inlineStr">
        <is>
          <t>1982-02-01</t>
        </is>
      </c>
      <c r="B78" s="50" t="n">
        <v>840.5</v>
      </c>
    </row>
    <row r="79">
      <c r="A79" s="50" t="inlineStr">
        <is>
          <t>1982-03-01</t>
        </is>
      </c>
      <c r="B79" s="50" t="n">
        <v>1057.3</v>
      </c>
    </row>
    <row r="80">
      <c r="A80" s="50" t="inlineStr">
        <is>
          <t>1982-04-01</t>
        </is>
      </c>
      <c r="B80" s="50" t="n">
        <v>877.2</v>
      </c>
    </row>
    <row r="81">
      <c r="A81" s="50" t="inlineStr">
        <is>
          <t>1982-05-01</t>
        </is>
      </c>
      <c r="B81" s="50" t="n">
        <v>1020.2</v>
      </c>
    </row>
    <row r="82">
      <c r="A82" s="50" t="inlineStr">
        <is>
          <t>1982-06-01</t>
        </is>
      </c>
      <c r="B82" s="50" t="n">
        <v>868.4</v>
      </c>
    </row>
    <row r="83">
      <c r="A83" s="50" t="inlineStr">
        <is>
          <t>1982-07-01</t>
        </is>
      </c>
      <c r="B83" s="50" t="n">
        <v>827.4</v>
      </c>
    </row>
    <row r="84">
      <c r="A84" s="50" t="inlineStr">
        <is>
          <t>1982-08-01</t>
        </is>
      </c>
      <c r="B84" s="50" t="n">
        <v>794</v>
      </c>
    </row>
    <row r="85">
      <c r="A85" s="50" t="inlineStr">
        <is>
          <t>1982-09-01</t>
        </is>
      </c>
      <c r="B85" s="50" t="n">
        <v>891.1</v>
      </c>
    </row>
    <row r="86">
      <c r="A86" s="50" t="inlineStr">
        <is>
          <t>1982-10-01</t>
        </is>
      </c>
      <c r="B86" s="50" t="n">
        <v>840.9</v>
      </c>
    </row>
    <row r="87">
      <c r="A87" s="50" t="inlineStr">
        <is>
          <t>1982-11-01</t>
        </is>
      </c>
      <c r="B87" s="50" t="n">
        <v>971.5</v>
      </c>
    </row>
    <row r="88">
      <c r="A88" s="50" t="inlineStr">
        <is>
          <t>1982-12-01</t>
        </is>
      </c>
      <c r="B88" s="50" t="n">
        <v>839.3</v>
      </c>
    </row>
    <row r="89">
      <c r="A89" s="50" t="inlineStr">
        <is>
          <t>1983-01-01</t>
        </is>
      </c>
      <c r="B89" s="50" t="n">
        <v>789.3</v>
      </c>
    </row>
    <row r="90">
      <c r="A90" s="50" t="inlineStr">
        <is>
          <t>1983-02-01</t>
        </is>
      </c>
      <c r="B90" s="50" t="n">
        <v>821.6</v>
      </c>
    </row>
    <row r="91">
      <c r="A91" s="50" t="inlineStr">
        <is>
          <t>1983-03-01</t>
        </is>
      </c>
      <c r="B91" s="50" t="n">
        <v>1102</v>
      </c>
    </row>
    <row r="92">
      <c r="A92" s="50" t="inlineStr">
        <is>
          <t>1983-04-01</t>
        </is>
      </c>
      <c r="B92" s="50" t="n">
        <v>1012.3</v>
      </c>
    </row>
    <row r="93">
      <c r="A93" s="50" t="inlineStr">
        <is>
          <t>1983-05-01</t>
        </is>
      </c>
      <c r="B93" s="50" t="n">
        <v>1109.9</v>
      </c>
    </row>
    <row r="94">
      <c r="A94" s="50" t="inlineStr">
        <is>
          <t>1983-06-01</t>
        </is>
      </c>
      <c r="B94" s="50" t="n">
        <v>1205.4</v>
      </c>
    </row>
    <row r="95">
      <c r="A95" s="50" t="inlineStr">
        <is>
          <t>1983-07-01</t>
        </is>
      </c>
      <c r="B95" s="50" t="n">
        <v>1051.7</v>
      </c>
    </row>
    <row r="96">
      <c r="A96" s="50" t="inlineStr">
        <is>
          <t>1983-08-01</t>
        </is>
      </c>
      <c r="B96" s="50" t="n">
        <v>993.1</v>
      </c>
    </row>
    <row r="97">
      <c r="A97" s="50" t="inlineStr">
        <is>
          <t>1983-09-01</t>
        </is>
      </c>
      <c r="B97" s="50" t="n">
        <v>980.4</v>
      </c>
    </row>
    <row r="98">
      <c r="A98" s="50" t="inlineStr">
        <is>
          <t>1983-10-01</t>
        </is>
      </c>
      <c r="B98" s="50" t="n">
        <v>1126</v>
      </c>
    </row>
    <row r="99">
      <c r="A99" s="50" t="inlineStr">
        <is>
          <t>1983-11-01</t>
        </is>
      </c>
      <c r="B99" s="50" t="n">
        <v>1050.2</v>
      </c>
    </row>
    <row r="100">
      <c r="A100" s="50" t="inlineStr">
        <is>
          <t>1983-12-01</t>
        </is>
      </c>
      <c r="B100" s="50" t="n">
        <v>1054</v>
      </c>
    </row>
    <row r="101">
      <c r="A101" s="50" t="inlineStr">
        <is>
          <t>1984-01-01</t>
        </is>
      </c>
      <c r="B101" s="50" t="n">
        <v>1056.9</v>
      </c>
    </row>
    <row r="102">
      <c r="A102" s="50" t="inlineStr">
        <is>
          <t>1984-02-01</t>
        </is>
      </c>
      <c r="B102" s="50" t="n">
        <v>1158.9</v>
      </c>
    </row>
    <row r="103">
      <c r="A103" s="50" t="inlineStr">
        <is>
          <t>1984-03-01</t>
        </is>
      </c>
      <c r="B103" s="50" t="n">
        <v>1351.5</v>
      </c>
    </row>
    <row r="104">
      <c r="A104" s="50" t="inlineStr">
        <is>
          <t>1984-04-01</t>
        </is>
      </c>
      <c r="B104" s="50" t="n">
        <v>1245.8</v>
      </c>
    </row>
    <row r="105">
      <c r="A105" s="50" t="inlineStr">
        <is>
          <t>1984-05-01</t>
        </is>
      </c>
      <c r="B105" s="50" t="n">
        <v>1451.7</v>
      </c>
    </row>
    <row r="106">
      <c r="A106" s="50" t="inlineStr">
        <is>
          <t>1984-06-01</t>
        </is>
      </c>
      <c r="B106" s="50" t="n">
        <v>1315.9</v>
      </c>
    </row>
    <row r="107">
      <c r="A107" s="50" t="inlineStr">
        <is>
          <t>1984-07-01</t>
        </is>
      </c>
      <c r="B107" s="50" t="n">
        <v>1237.2</v>
      </c>
    </row>
    <row r="108">
      <c r="A108" s="50" t="inlineStr">
        <is>
          <t>1984-08-01</t>
        </is>
      </c>
      <c r="B108" s="50" t="n">
        <v>1129.6</v>
      </c>
    </row>
    <row r="109">
      <c r="A109" s="50" t="inlineStr">
        <is>
          <t>1984-09-01</t>
        </is>
      </c>
      <c r="B109" s="50" t="n">
        <v>1053.4</v>
      </c>
    </row>
    <row r="110">
      <c r="A110" s="50" t="inlineStr">
        <is>
          <t>1984-10-01</t>
        </is>
      </c>
      <c r="B110" s="50" t="n">
        <v>1266.5</v>
      </c>
    </row>
    <row r="111">
      <c r="A111" s="50" t="inlineStr">
        <is>
          <t>1984-11-01</t>
        </is>
      </c>
      <c r="B111" s="50" t="n">
        <v>1141.1</v>
      </c>
    </row>
    <row r="112">
      <c r="A112" s="50" t="inlineStr">
        <is>
          <t>1984-12-01</t>
        </is>
      </c>
      <c r="B112" s="50" t="n">
        <v>1074.8</v>
      </c>
    </row>
    <row r="113">
      <c r="A113" s="50" t="inlineStr">
        <is>
          <t>1985-01-01</t>
        </is>
      </c>
      <c r="B113" s="50" t="n">
        <v>1196.6</v>
      </c>
    </row>
    <row r="114">
      <c r="A114" s="50" t="inlineStr">
        <is>
          <t>1985-02-01</t>
        </is>
      </c>
      <c r="B114" s="50" t="n">
        <v>1210.6</v>
      </c>
    </row>
    <row r="115">
      <c r="A115" s="50" t="inlineStr">
        <is>
          <t>1985-03-01</t>
        </is>
      </c>
      <c r="B115" s="50" t="n">
        <v>1391</v>
      </c>
    </row>
    <row r="116">
      <c r="A116" s="50" t="inlineStr">
        <is>
          <t>1985-04-01</t>
        </is>
      </c>
      <c r="B116" s="50" t="n">
        <v>1380.3</v>
      </c>
    </row>
    <row r="117">
      <c r="A117" s="50" t="inlineStr">
        <is>
          <t>1985-05-01</t>
        </is>
      </c>
      <c r="B117" s="50" t="n">
        <v>1498.9</v>
      </c>
    </row>
    <row r="118">
      <c r="A118" s="50" t="inlineStr">
        <is>
          <t>1985-06-01</t>
        </is>
      </c>
      <c r="B118" s="50" t="n">
        <v>1332.9</v>
      </c>
    </row>
    <row r="119">
      <c r="A119" s="50" t="inlineStr">
        <is>
          <t>1985-07-01</t>
        </is>
      </c>
      <c r="B119" s="50" t="n">
        <v>1337.6</v>
      </c>
    </row>
    <row r="120">
      <c r="A120" s="50" t="inlineStr">
        <is>
          <t>1985-08-01</t>
        </is>
      </c>
      <c r="B120" s="50" t="n">
        <v>1345.8</v>
      </c>
    </row>
    <row r="121">
      <c r="A121" s="50" t="inlineStr">
        <is>
          <t>1985-09-01</t>
        </is>
      </c>
      <c r="B121" s="50" t="n">
        <v>1463.5</v>
      </c>
    </row>
    <row r="122">
      <c r="A122" s="50" t="inlineStr">
        <is>
          <t>1985-10-01</t>
        </is>
      </c>
      <c r="B122" s="50" t="n">
        <v>1243.2</v>
      </c>
    </row>
    <row r="123">
      <c r="A123" s="50" t="inlineStr">
        <is>
          <t>1985-11-01</t>
        </is>
      </c>
      <c r="B123" s="50" t="n">
        <v>1120.9</v>
      </c>
    </row>
    <row r="124">
      <c r="A124" s="50" t="inlineStr">
        <is>
          <t>1985-12-01</t>
        </is>
      </c>
      <c r="B124" s="50" t="n">
        <v>1198.8</v>
      </c>
    </row>
    <row r="125">
      <c r="A125" s="50" t="inlineStr">
        <is>
          <t>1986-01-01</t>
        </is>
      </c>
      <c r="B125" s="50" t="n">
        <v>1213.8</v>
      </c>
    </row>
    <row r="126">
      <c r="A126" s="50" t="inlineStr">
        <is>
          <t>1986-02-01</t>
        </is>
      </c>
      <c r="B126" s="50" t="n">
        <v>1182.2</v>
      </c>
    </row>
    <row r="127">
      <c r="A127" s="50" t="inlineStr">
        <is>
          <t>1986-03-01</t>
        </is>
      </c>
      <c r="B127" s="50" t="n">
        <v>1297.6</v>
      </c>
    </row>
    <row r="128">
      <c r="A128" s="50" t="inlineStr">
        <is>
          <t>1986-04-01</t>
        </is>
      </c>
      <c r="B128" s="50" t="n">
        <v>1390.1</v>
      </c>
    </row>
    <row r="129">
      <c r="A129" s="50" t="inlineStr">
        <is>
          <t>1986-05-01</t>
        </is>
      </c>
      <c r="B129" s="50" t="n">
        <v>1530.3</v>
      </c>
    </row>
    <row r="130">
      <c r="A130" s="50" t="inlineStr">
        <is>
          <t>1986-06-01</t>
        </is>
      </c>
      <c r="B130" s="50" t="n">
        <v>1426.5</v>
      </c>
    </row>
    <row r="131">
      <c r="A131" s="50" t="inlineStr">
        <is>
          <t>1986-07-01</t>
        </is>
      </c>
      <c r="B131" s="50" t="n">
        <v>1378</v>
      </c>
    </row>
    <row r="132">
      <c r="A132" s="50" t="inlineStr">
        <is>
          <t>1986-08-01</t>
        </is>
      </c>
      <c r="B132" s="50" t="n">
        <v>1344.1</v>
      </c>
    </row>
    <row r="133">
      <c r="A133" s="50" t="inlineStr">
        <is>
          <t>1986-09-01</t>
        </is>
      </c>
      <c r="B133" s="50" t="n">
        <v>1733.6</v>
      </c>
    </row>
    <row r="134">
      <c r="A134" s="50" t="inlineStr">
        <is>
          <t>1986-10-01</t>
        </is>
      </c>
      <c r="B134" s="50" t="n">
        <v>1270.6</v>
      </c>
    </row>
    <row r="135">
      <c r="A135" s="50" t="inlineStr">
        <is>
          <t>1986-11-01</t>
        </is>
      </c>
      <c r="B135" s="50" t="n">
        <v>1119.9</v>
      </c>
    </row>
    <row r="136">
      <c r="A136" s="50" t="inlineStr">
        <is>
          <t>1986-12-01</t>
        </is>
      </c>
      <c r="B136" s="50" t="n">
        <v>1431.1</v>
      </c>
    </row>
    <row r="137">
      <c r="A137" s="50" t="inlineStr">
        <is>
          <t>1987-01-01</t>
        </is>
      </c>
      <c r="B137" s="50" t="n">
        <v>918.9</v>
      </c>
    </row>
    <row r="138">
      <c r="A138" s="50" t="inlineStr">
        <is>
          <t>1987-02-01</t>
        </is>
      </c>
      <c r="B138" s="50" t="n">
        <v>1148.4</v>
      </c>
    </row>
    <row r="139">
      <c r="A139" s="50" t="inlineStr">
        <is>
          <t>1987-03-01</t>
        </is>
      </c>
      <c r="B139" s="50" t="n">
        <v>1381.7</v>
      </c>
    </row>
    <row r="140">
      <c r="A140" s="50" t="inlineStr">
        <is>
          <t>1987-04-01</t>
        </is>
      </c>
      <c r="B140" s="50" t="n">
        <v>1385.3</v>
      </c>
    </row>
    <row r="141">
      <c r="A141" s="50" t="inlineStr">
        <is>
          <t>1987-05-01</t>
        </is>
      </c>
      <c r="B141" s="50" t="n">
        <v>1298.5</v>
      </c>
    </row>
    <row r="142">
      <c r="A142" s="50" t="inlineStr">
        <is>
          <t>1987-06-01</t>
        </is>
      </c>
      <c r="B142" s="50" t="n">
        <v>1419.6</v>
      </c>
    </row>
    <row r="143">
      <c r="A143" s="50" t="inlineStr">
        <is>
          <t>1987-07-01</t>
        </is>
      </c>
      <c r="B143" s="50" t="n">
        <v>1355.8</v>
      </c>
    </row>
    <row r="144">
      <c r="A144" s="50" t="inlineStr">
        <is>
          <t>1987-08-01</t>
        </is>
      </c>
      <c r="B144" s="50" t="n">
        <v>1400.6</v>
      </c>
    </row>
    <row r="145">
      <c r="A145" s="50" t="inlineStr">
        <is>
          <t>1987-09-01</t>
        </is>
      </c>
      <c r="B145" s="50" t="n">
        <v>1300.5</v>
      </c>
    </row>
    <row r="146">
      <c r="A146" s="50" t="inlineStr">
        <is>
          <t>1987-10-01</t>
        </is>
      </c>
      <c r="B146" s="50" t="n">
        <v>1193.2</v>
      </c>
    </row>
    <row r="147">
      <c r="A147" s="50" t="inlineStr">
        <is>
          <t>1987-11-01</t>
        </is>
      </c>
      <c r="B147" s="50" t="n">
        <v>1110.7</v>
      </c>
    </row>
    <row r="148">
      <c r="A148" s="50" t="inlineStr">
        <is>
          <t>1987-12-01</t>
        </is>
      </c>
      <c r="B148" s="50" t="n">
        <v>1249.2</v>
      </c>
    </row>
    <row r="149">
      <c r="A149" s="50" t="inlineStr">
        <is>
          <t>1988-01-01</t>
        </is>
      </c>
      <c r="B149" s="50" t="n">
        <v>1122.5</v>
      </c>
    </row>
    <row r="150">
      <c r="A150" s="50" t="inlineStr">
        <is>
          <t>1988-02-01</t>
        </is>
      </c>
      <c r="B150" s="50" t="n">
        <v>1308.8</v>
      </c>
    </row>
    <row r="151">
      <c r="A151" s="50" t="inlineStr">
        <is>
          <t>1988-03-01</t>
        </is>
      </c>
      <c r="B151" s="50" t="n">
        <v>1505</v>
      </c>
    </row>
    <row r="152">
      <c r="A152" s="50" t="inlineStr">
        <is>
          <t>1988-04-01</t>
        </is>
      </c>
      <c r="B152" s="50" t="n">
        <v>1333.5</v>
      </c>
    </row>
    <row r="153">
      <c r="A153" s="50" t="inlineStr">
        <is>
          <t>1988-05-01</t>
        </is>
      </c>
      <c r="B153" s="50" t="n">
        <v>1455.4</v>
      </c>
    </row>
    <row r="154">
      <c r="A154" s="50" t="inlineStr">
        <is>
          <t>1988-06-01</t>
        </is>
      </c>
      <c r="B154" s="50" t="n">
        <v>1483.1</v>
      </c>
    </row>
    <row r="155">
      <c r="A155" s="50" t="inlineStr">
        <is>
          <t>1988-07-01</t>
        </is>
      </c>
      <c r="B155" s="50" t="n">
        <v>1302.8</v>
      </c>
    </row>
    <row r="156">
      <c r="A156" s="50" t="inlineStr">
        <is>
          <t>1988-08-01</t>
        </is>
      </c>
      <c r="B156" s="50" t="n">
        <v>1317</v>
      </c>
    </row>
    <row r="157">
      <c r="A157" s="50" t="inlineStr">
        <is>
          <t>1988-09-01</t>
        </is>
      </c>
      <c r="B157" s="50" t="n">
        <v>1223.2</v>
      </c>
    </row>
    <row r="158">
      <c r="A158" s="50" t="inlineStr">
        <is>
          <t>1988-10-01</t>
        </is>
      </c>
      <c r="B158" s="50" t="n">
        <v>1249.9</v>
      </c>
    </row>
    <row r="159">
      <c r="A159" s="50" t="inlineStr">
        <is>
          <t>1988-11-01</t>
        </is>
      </c>
      <c r="B159" s="50" t="n">
        <v>1191.1</v>
      </c>
    </row>
    <row r="160">
      <c r="A160" s="50" t="inlineStr">
        <is>
          <t>1988-12-01</t>
        </is>
      </c>
      <c r="B160" s="50" t="n">
        <v>1285.2</v>
      </c>
    </row>
    <row r="161">
      <c r="A161" s="50" t="inlineStr">
        <is>
          <t>1989-01-01</t>
        </is>
      </c>
      <c r="B161" s="50" t="n">
        <v>1084.2</v>
      </c>
    </row>
    <row r="162">
      <c r="A162" s="50" t="inlineStr">
        <is>
          <t>1989-02-01</t>
        </is>
      </c>
      <c r="B162" s="50" t="n">
        <v>1127.3</v>
      </c>
    </row>
    <row r="163">
      <c r="A163" s="50" t="inlineStr">
        <is>
          <t>1989-03-01</t>
        </is>
      </c>
      <c r="B163" s="50" t="n">
        <v>1337.6</v>
      </c>
    </row>
    <row r="164">
      <c r="A164" s="50" t="inlineStr">
        <is>
          <t>1989-04-01</t>
        </is>
      </c>
      <c r="B164" s="50" t="n">
        <v>1354.8</v>
      </c>
    </row>
    <row r="165">
      <c r="A165" s="50" t="inlineStr">
        <is>
          <t>1989-05-01</t>
        </is>
      </c>
      <c r="B165" s="50" t="n">
        <v>1438.4</v>
      </c>
    </row>
    <row r="166">
      <c r="A166" s="50" t="inlineStr">
        <is>
          <t>1989-06-01</t>
        </is>
      </c>
      <c r="B166" s="50" t="n">
        <v>1329.2</v>
      </c>
    </row>
    <row r="167">
      <c r="A167" s="50" t="inlineStr">
        <is>
          <t>1989-07-01</t>
        </is>
      </c>
      <c r="B167" s="50" t="n">
        <v>1279.1</v>
      </c>
    </row>
    <row r="168">
      <c r="A168" s="50" t="inlineStr">
        <is>
          <t>1989-08-01</t>
        </is>
      </c>
      <c r="B168" s="50" t="n">
        <v>1441.9</v>
      </c>
    </row>
    <row r="169">
      <c r="A169" s="50" t="inlineStr">
        <is>
          <t>1989-09-01</t>
        </is>
      </c>
      <c r="B169" s="50" t="n">
        <v>1263.8</v>
      </c>
    </row>
    <row r="170">
      <c r="A170" s="50" t="inlineStr">
        <is>
          <t>1989-10-01</t>
        </is>
      </c>
      <c r="B170" s="50" t="n">
        <v>1116.9</v>
      </c>
    </row>
    <row r="171">
      <c r="A171" s="50" t="inlineStr">
        <is>
          <t>1989-11-01</t>
        </is>
      </c>
      <c r="B171" s="50" t="n">
        <v>1047.6</v>
      </c>
    </row>
    <row r="172">
      <c r="A172" s="50" t="inlineStr">
        <is>
          <t>1989-12-01</t>
        </is>
      </c>
      <c r="B172" s="50" t="n">
        <v>1011.9</v>
      </c>
    </row>
    <row r="173">
      <c r="A173" s="50" t="inlineStr">
        <is>
          <t>1990-01-01</t>
        </is>
      </c>
      <c r="B173" s="50" t="n">
        <v>1161.3</v>
      </c>
    </row>
    <row r="174">
      <c r="A174" s="50" t="inlineStr">
        <is>
          <t>1990-02-01</t>
        </is>
      </c>
      <c r="B174" s="50" t="n">
        <v>1073.4</v>
      </c>
    </row>
    <row r="175">
      <c r="A175" s="50" t="inlineStr">
        <is>
          <t>1990-03-01</t>
        </is>
      </c>
      <c r="B175" s="50" t="n">
        <v>1295.2</v>
      </c>
    </row>
    <row r="176">
      <c r="A176" s="50" t="inlineStr">
        <is>
          <t>1990-04-01</t>
        </is>
      </c>
      <c r="B176" s="50" t="n">
        <v>1226.3</v>
      </c>
    </row>
    <row r="177">
      <c r="A177" s="50" t="inlineStr">
        <is>
          <t>1990-05-01</t>
        </is>
      </c>
      <c r="B177" s="50" t="n">
        <v>1332.1</v>
      </c>
    </row>
    <row r="178">
      <c r="A178" s="50" t="inlineStr">
        <is>
          <t>1990-06-01</t>
        </is>
      </c>
      <c r="B178" s="50" t="n">
        <v>1306.1</v>
      </c>
    </row>
    <row r="179">
      <c r="A179" s="50" t="inlineStr">
        <is>
          <t>1990-07-01</t>
        </is>
      </c>
      <c r="B179" s="50" t="n">
        <v>1244.4</v>
      </c>
    </row>
    <row r="180">
      <c r="A180" s="50" t="inlineStr">
        <is>
          <t>1990-08-01</t>
        </is>
      </c>
      <c r="B180" s="50" t="n">
        <v>1196.9</v>
      </c>
    </row>
    <row r="181">
      <c r="A181" s="50" t="inlineStr">
        <is>
          <t>1990-09-01</t>
        </is>
      </c>
      <c r="B181" s="50" t="n">
        <v>1144.8</v>
      </c>
    </row>
    <row r="182">
      <c r="A182" s="50" t="inlineStr">
        <is>
          <t>1990-10-01</t>
        </is>
      </c>
      <c r="B182" s="50" t="n">
        <v>1169</v>
      </c>
    </row>
    <row r="183">
      <c r="A183" s="50" t="inlineStr">
        <is>
          <t>1990-11-01</t>
        </is>
      </c>
      <c r="B183" s="50" t="n">
        <v>1000.5</v>
      </c>
    </row>
    <row r="184">
      <c r="A184" s="50" t="inlineStr">
        <is>
          <t>1990-12-01</t>
        </is>
      </c>
      <c r="B184" s="50" t="n">
        <v>987.2</v>
      </c>
    </row>
    <row r="185">
      <c r="A185" s="50" t="inlineStr">
        <is>
          <t>1991-01-01</t>
        </is>
      </c>
      <c r="B185" s="50" t="n">
        <v>839.3</v>
      </c>
    </row>
    <row r="186">
      <c r="A186" s="50" t="inlineStr">
        <is>
          <t>1991-02-01</t>
        </is>
      </c>
      <c r="B186" s="50" t="n">
        <v>927.5</v>
      </c>
    </row>
    <row r="187">
      <c r="A187" s="50" t="inlineStr">
        <is>
          <t>1991-03-01</t>
        </is>
      </c>
      <c r="B187" s="50" t="n">
        <v>1103.1</v>
      </c>
    </row>
    <row r="188">
      <c r="A188" s="50" t="inlineStr">
        <is>
          <t>1991-04-01</t>
        </is>
      </c>
      <c r="B188" s="50" t="n">
        <v>1059.6</v>
      </c>
    </row>
    <row r="189">
      <c r="A189" s="50" t="inlineStr">
        <is>
          <t>1991-05-01</t>
        </is>
      </c>
      <c r="B189" s="50" t="n">
        <v>1174</v>
      </c>
    </row>
    <row r="190">
      <c r="A190" s="50" t="inlineStr">
        <is>
          <t>1991-06-01</t>
        </is>
      </c>
      <c r="B190" s="50" t="n">
        <v>1175.3</v>
      </c>
    </row>
    <row r="191">
      <c r="A191" s="50" t="inlineStr">
        <is>
          <t>1991-07-01</t>
        </is>
      </c>
      <c r="B191" s="50" t="n">
        <v>1185.2</v>
      </c>
    </row>
    <row r="192">
      <c r="A192" s="50" t="inlineStr">
        <is>
          <t>1991-08-01</t>
        </is>
      </c>
      <c r="B192" s="50" t="n">
        <v>1063</v>
      </c>
    </row>
    <row r="193">
      <c r="A193" s="50" t="inlineStr">
        <is>
          <t>1991-09-01</t>
        </is>
      </c>
      <c r="B193" s="50" t="n">
        <v>1062.2</v>
      </c>
    </row>
    <row r="194">
      <c r="A194" s="50" t="inlineStr">
        <is>
          <t>1991-10-01</t>
        </is>
      </c>
      <c r="B194" s="50" t="n">
        <v>1047.6</v>
      </c>
    </row>
    <row r="195">
      <c r="A195" s="50" t="inlineStr">
        <is>
          <t>1991-11-01</t>
        </is>
      </c>
      <c r="B195" s="50" t="n">
        <v>932.1</v>
      </c>
    </row>
    <row r="196">
      <c r="A196" s="50" t="inlineStr">
        <is>
          <t>1991-12-01</t>
        </is>
      </c>
      <c r="B196" s="50" t="n">
        <v>961.5</v>
      </c>
    </row>
    <row r="197">
      <c r="A197" s="50" t="inlineStr">
        <is>
          <t>1992-01-01</t>
        </is>
      </c>
      <c r="B197" s="50" t="n">
        <v>867.8</v>
      </c>
    </row>
    <row r="198">
      <c r="A198" s="50" t="inlineStr">
        <is>
          <t>1992-02-01</t>
        </is>
      </c>
      <c r="B198" s="50" t="n">
        <v>988.5</v>
      </c>
    </row>
    <row r="199">
      <c r="A199" s="50" t="inlineStr">
        <is>
          <t>1992-03-01</t>
        </is>
      </c>
      <c r="B199" s="50" t="n">
        <v>1128.4</v>
      </c>
    </row>
    <row r="200">
      <c r="A200" s="50" t="inlineStr">
        <is>
          <t>1992-04-01</t>
        </is>
      </c>
      <c r="B200" s="50" t="n">
        <v>1144.9</v>
      </c>
    </row>
    <row r="201">
      <c r="A201" s="50" t="inlineStr">
        <is>
          <t>1992-05-01</t>
        </is>
      </c>
      <c r="B201" s="50" t="n">
        <v>1169.7</v>
      </c>
    </row>
    <row r="202">
      <c r="A202" s="50" t="inlineStr">
        <is>
          <t>1992-06-01</t>
        </is>
      </c>
      <c r="B202" s="50" t="n">
        <v>1297</v>
      </c>
    </row>
    <row r="203">
      <c r="A203" s="50" t="inlineStr">
        <is>
          <t>1992-07-01</t>
        </is>
      </c>
      <c r="B203" s="50" t="n">
        <v>1158.2</v>
      </c>
    </row>
    <row r="204">
      <c r="A204" s="50" t="inlineStr">
        <is>
          <t>1992-08-01</t>
        </is>
      </c>
      <c r="B204" s="50" t="n">
        <v>1065.2</v>
      </c>
    </row>
    <row r="205">
      <c r="A205" s="50" t="inlineStr">
        <is>
          <t>1992-09-01</t>
        </is>
      </c>
      <c r="B205" s="50" t="n">
        <v>1095.4</v>
      </c>
    </row>
    <row r="206">
      <c r="A206" s="50" t="inlineStr">
        <is>
          <t>1992-10-01</t>
        </is>
      </c>
      <c r="B206" s="50" t="n">
        <v>1132.2</v>
      </c>
    </row>
    <row r="207">
      <c r="A207" s="50" t="inlineStr">
        <is>
          <t>1992-11-01</t>
        </is>
      </c>
      <c r="B207" s="50" t="n">
        <v>988.6</v>
      </c>
    </row>
    <row r="208">
      <c r="A208" s="50" t="inlineStr">
        <is>
          <t>1992-12-01</t>
        </is>
      </c>
      <c r="B208" s="50" t="n">
        <v>1070.7</v>
      </c>
    </row>
    <row r="209">
      <c r="A209" s="50" t="inlineStr">
        <is>
          <t>1993-01-01</t>
        </is>
      </c>
      <c r="B209" s="50" t="n">
        <v>915.3</v>
      </c>
    </row>
    <row r="210">
      <c r="A210" s="50" t="inlineStr">
        <is>
          <t>1993-02-01</t>
        </is>
      </c>
      <c r="B210" s="50" t="n">
        <v>976.1</v>
      </c>
    </row>
    <row r="211">
      <c r="A211" s="50" t="inlineStr">
        <is>
          <t>1993-03-01</t>
        </is>
      </c>
      <c r="B211" s="50" t="n">
        <v>1228.9</v>
      </c>
    </row>
    <row r="212">
      <c r="A212" s="50" t="inlineStr">
        <is>
          <t>1993-04-01</t>
        </is>
      </c>
      <c r="B212" s="50" t="n">
        <v>1273.5</v>
      </c>
    </row>
    <row r="213">
      <c r="A213" s="50" t="inlineStr">
        <is>
          <t>1993-05-01</t>
        </is>
      </c>
      <c r="B213" s="50" t="n">
        <v>1342.2</v>
      </c>
    </row>
    <row r="214">
      <c r="A214" s="50" t="inlineStr">
        <is>
          <t>1993-06-01</t>
        </is>
      </c>
      <c r="B214" s="50" t="n">
        <v>1383.1</v>
      </c>
    </row>
    <row r="215">
      <c r="A215" s="50" t="inlineStr">
        <is>
          <t>1993-07-01</t>
        </is>
      </c>
      <c r="B215" s="50" t="n">
        <v>1266.9</v>
      </c>
    </row>
    <row r="216">
      <c r="A216" s="50" t="inlineStr">
        <is>
          <t>1993-08-01</t>
        </is>
      </c>
      <c r="B216" s="50" t="n">
        <v>1158.8</v>
      </c>
    </row>
    <row r="217">
      <c r="A217" s="50" t="inlineStr">
        <is>
          <t>1993-09-01</t>
        </is>
      </c>
      <c r="B217" s="50" t="n">
        <v>1164.6</v>
      </c>
    </row>
    <row r="218">
      <c r="A218" s="50" t="inlineStr">
        <is>
          <t>1993-10-01</t>
        </is>
      </c>
      <c r="B218" s="50" t="n">
        <v>1182.5</v>
      </c>
    </row>
    <row r="219">
      <c r="A219" s="50" t="inlineStr">
        <is>
          <t>1993-11-01</t>
        </is>
      </c>
      <c r="B219" s="50" t="n">
        <v>1140.9</v>
      </c>
    </row>
    <row r="220">
      <c r="A220" s="50" t="inlineStr">
        <is>
          <t>1993-12-01</t>
        </is>
      </c>
      <c r="B220" s="50" t="n">
        <v>1152.7</v>
      </c>
    </row>
    <row r="221">
      <c r="A221" s="50" t="inlineStr">
        <is>
          <t>1994-01-01</t>
        </is>
      </c>
      <c r="B221" s="50" t="n">
        <v>1045.5</v>
      </c>
    </row>
    <row r="222">
      <c r="A222" s="50" t="inlineStr">
        <is>
          <t>1994-02-01</t>
        </is>
      </c>
      <c r="B222" s="50" t="n">
        <v>1170.9</v>
      </c>
    </row>
    <row r="223">
      <c r="A223" s="50" t="inlineStr">
        <is>
          <t>1994-03-01</t>
        </is>
      </c>
      <c r="B223" s="50" t="n">
        <v>1472.2</v>
      </c>
    </row>
    <row r="224">
      <c r="A224" s="50" t="inlineStr">
        <is>
          <t>1994-04-01</t>
        </is>
      </c>
      <c r="B224" s="50" t="n">
        <v>1337.9</v>
      </c>
    </row>
    <row r="225">
      <c r="A225" s="50" t="inlineStr">
        <is>
          <t>1994-05-01</t>
        </is>
      </c>
      <c r="B225" s="50" t="n">
        <v>1382.1</v>
      </c>
    </row>
    <row r="226">
      <c r="A226" s="50" t="inlineStr">
        <is>
          <t>1994-06-01</t>
        </is>
      </c>
      <c r="B226" s="50" t="n">
        <v>1479.6</v>
      </c>
    </row>
    <row r="227">
      <c r="A227" s="50" t="inlineStr">
        <is>
          <t>1994-07-01</t>
        </is>
      </c>
      <c r="B227" s="50" t="n">
        <v>1219.5</v>
      </c>
    </row>
    <row r="228">
      <c r="A228" s="50" t="inlineStr">
        <is>
          <t>1994-08-01</t>
        </is>
      </c>
      <c r="B228" s="50" t="n">
        <v>1329.3</v>
      </c>
    </row>
    <row r="229">
      <c r="A229" s="50" t="inlineStr">
        <is>
          <t>1994-09-01</t>
        </is>
      </c>
      <c r="B229" s="50" t="n">
        <v>1252.1</v>
      </c>
    </row>
    <row r="230">
      <c r="A230" s="50" t="inlineStr">
        <is>
          <t>1994-10-01</t>
        </is>
      </c>
      <c r="B230" s="50" t="n">
        <v>1291.8</v>
      </c>
    </row>
    <row r="231">
      <c r="A231" s="50" t="inlineStr">
        <is>
          <t>1994-11-01</t>
        </is>
      </c>
      <c r="B231" s="50" t="n">
        <v>1197.9</v>
      </c>
    </row>
    <row r="232">
      <c r="A232" s="50" t="inlineStr">
        <is>
          <t>1994-12-01</t>
        </is>
      </c>
      <c r="B232" s="50" t="n">
        <v>1218.9</v>
      </c>
    </row>
    <row r="233">
      <c r="A233" s="50" t="inlineStr">
        <is>
          <t>1995-01-01</t>
        </is>
      </c>
      <c r="B233" s="50" t="n">
        <v>1031.5</v>
      </c>
    </row>
    <row r="234">
      <c r="A234" s="50" t="inlineStr">
        <is>
          <t>1995-02-01</t>
        </is>
      </c>
      <c r="B234" s="50" t="n">
        <v>1128.7</v>
      </c>
    </row>
    <row r="235">
      <c r="A235" s="50" t="inlineStr">
        <is>
          <t>1995-03-01</t>
        </is>
      </c>
      <c r="B235" s="50" t="n">
        <v>1403.3</v>
      </c>
    </row>
    <row r="236">
      <c r="A236" s="50" t="inlineStr">
        <is>
          <t>1995-04-01</t>
        </is>
      </c>
      <c r="B236" s="50" t="n">
        <v>1216</v>
      </c>
    </row>
    <row r="237">
      <c r="A237" s="50" t="inlineStr">
        <is>
          <t>1995-05-01</t>
        </is>
      </c>
      <c r="B237" s="50" t="n">
        <v>1427.5</v>
      </c>
    </row>
    <row r="238">
      <c r="A238" s="50" t="inlineStr">
        <is>
          <t>1995-06-01</t>
        </is>
      </c>
      <c r="B238" s="50" t="n">
        <v>1477.2</v>
      </c>
    </row>
    <row r="239">
      <c r="A239" s="50" t="inlineStr">
        <is>
          <t>1995-07-01</t>
        </is>
      </c>
      <c r="B239" s="50" t="n">
        <v>1255.3</v>
      </c>
    </row>
    <row r="240">
      <c r="A240" s="50" t="inlineStr">
        <is>
          <t>1995-08-01</t>
        </is>
      </c>
      <c r="B240" s="50" t="n">
        <v>1365.2</v>
      </c>
    </row>
    <row r="241">
      <c r="A241" s="50" t="inlineStr">
        <is>
          <t>1995-09-01</t>
        </is>
      </c>
      <c r="B241" s="50" t="n">
        <v>1214.4</v>
      </c>
    </row>
    <row r="242">
      <c r="A242" s="50" t="inlineStr">
        <is>
          <t>1995-10-01</t>
        </is>
      </c>
      <c r="B242" s="50" t="n">
        <v>1226</v>
      </c>
    </row>
    <row r="243">
      <c r="A243" s="50" t="inlineStr">
        <is>
          <t>1995-11-01</t>
        </is>
      </c>
      <c r="B243" s="50" t="n">
        <v>1169.1</v>
      </c>
    </row>
    <row r="244">
      <c r="A244" s="50" t="inlineStr">
        <is>
          <t>1995-12-01</t>
        </is>
      </c>
      <c r="B244" s="50" t="n">
        <v>1202.6</v>
      </c>
    </row>
    <row r="245">
      <c r="A245" s="50" t="inlineStr">
        <is>
          <t>1996-01-01</t>
        </is>
      </c>
      <c r="B245" s="50" t="n">
        <v>1050.6</v>
      </c>
    </row>
    <row r="246">
      <c r="A246" s="50" t="inlineStr">
        <is>
          <t>1996-02-01</t>
        </is>
      </c>
      <c r="B246" s="50" t="n">
        <v>1237.9</v>
      </c>
    </row>
    <row r="247">
      <c r="A247" s="50" t="inlineStr">
        <is>
          <t>1996-03-01</t>
        </is>
      </c>
      <c r="B247" s="50" t="n">
        <v>1404.4</v>
      </c>
    </row>
    <row r="248">
      <c r="A248" s="50" t="inlineStr">
        <is>
          <t>1996-04-01</t>
        </is>
      </c>
      <c r="B248" s="50" t="n">
        <v>1359.3</v>
      </c>
    </row>
    <row r="249">
      <c r="A249" s="50" t="inlineStr">
        <is>
          <t>1996-05-01</t>
        </is>
      </c>
      <c r="B249" s="50" t="n">
        <v>1522.9</v>
      </c>
    </row>
    <row r="250">
      <c r="A250" s="50" t="inlineStr">
        <is>
          <t>1996-06-01</t>
        </is>
      </c>
      <c r="B250" s="50" t="n">
        <v>1404.2</v>
      </c>
    </row>
    <row r="251">
      <c r="A251" s="50" t="inlineStr">
        <is>
          <t>1996-07-01</t>
        </is>
      </c>
      <c r="B251" s="50" t="n">
        <v>1317.3</v>
      </c>
    </row>
    <row r="252">
      <c r="A252" s="50" t="inlineStr">
        <is>
          <t>1996-08-01</t>
        </is>
      </c>
      <c r="B252" s="50" t="n">
        <v>1333.4</v>
      </c>
    </row>
    <row r="253">
      <c r="A253" s="50" t="inlineStr">
        <is>
          <t>1996-09-01</t>
        </is>
      </c>
      <c r="B253" s="50" t="n">
        <v>1231.4</v>
      </c>
    </row>
    <row r="254">
      <c r="A254" s="50" t="inlineStr">
        <is>
          <t>1996-10-01</t>
        </is>
      </c>
      <c r="B254" s="50" t="n">
        <v>1296.6</v>
      </c>
    </row>
    <row r="255">
      <c r="A255" s="50" t="inlineStr">
        <is>
          <t>1996-11-01</t>
        </is>
      </c>
      <c r="B255" s="50" t="n">
        <v>1146.4</v>
      </c>
    </row>
    <row r="256">
      <c r="A256" s="50" t="inlineStr">
        <is>
          <t>1996-12-01</t>
        </is>
      </c>
      <c r="B256" s="50" t="n">
        <v>1151.8</v>
      </c>
    </row>
    <row r="257">
      <c r="A257" s="50" t="inlineStr">
        <is>
          <t>1997-01-01</t>
        </is>
      </c>
      <c r="B257" s="50" t="n">
        <v>1114.6</v>
      </c>
    </row>
    <row r="258">
      <c r="A258" s="50" t="inlineStr">
        <is>
          <t>1997-02-01</t>
        </is>
      </c>
      <c r="B258" s="50" t="n">
        <v>1177.4</v>
      </c>
    </row>
    <row r="259">
      <c r="A259" s="50" t="inlineStr">
        <is>
          <t>1997-03-01</t>
        </is>
      </c>
      <c r="B259" s="50" t="n">
        <v>1425.9</v>
      </c>
    </row>
    <row r="260">
      <c r="A260" s="50" t="inlineStr">
        <is>
          <t>1997-04-01</t>
        </is>
      </c>
      <c r="B260" s="50" t="n">
        <v>1310.3</v>
      </c>
    </row>
    <row r="261">
      <c r="A261" s="50" t="inlineStr">
        <is>
          <t>1997-05-01</t>
        </is>
      </c>
      <c r="B261" s="50" t="n">
        <v>1435.8</v>
      </c>
    </row>
    <row r="262">
      <c r="A262" s="50" t="inlineStr">
        <is>
          <t>1997-06-01</t>
        </is>
      </c>
      <c r="B262" s="50" t="n">
        <v>1355</v>
      </c>
    </row>
    <row r="263">
      <c r="A263" s="50" t="inlineStr">
        <is>
          <t>1997-07-01</t>
        </is>
      </c>
      <c r="B263" s="50" t="n">
        <v>1376.6</v>
      </c>
    </row>
    <row r="264">
      <c r="A264" s="50" t="inlineStr">
        <is>
          <t>1997-08-01</t>
        </is>
      </c>
      <c r="B264" s="50" t="n">
        <v>1348.2</v>
      </c>
    </row>
    <row r="265">
      <c r="A265" s="50" t="inlineStr">
        <is>
          <t>1997-09-01</t>
        </is>
      </c>
      <c r="B265" s="50" t="n">
        <v>1238.5</v>
      </c>
    </row>
    <row r="266">
      <c r="A266" s="50" t="inlineStr">
        <is>
          <t>1997-10-01</t>
        </is>
      </c>
      <c r="B266" s="50" t="n">
        <v>1282</v>
      </c>
    </row>
    <row r="267">
      <c r="A267" s="50" t="inlineStr">
        <is>
          <t>1997-11-01</t>
        </is>
      </c>
      <c r="B267" s="50" t="n">
        <v>1146.1</v>
      </c>
    </row>
    <row r="268">
      <c r="A268" s="50" t="inlineStr">
        <is>
          <t>1997-12-01</t>
        </is>
      </c>
      <c r="B268" s="50" t="n">
        <v>1287.7</v>
      </c>
    </row>
    <row r="269">
      <c r="A269" s="50" t="inlineStr">
        <is>
          <t>1998-01-01</t>
        </is>
      </c>
      <c r="B269" s="50" t="n">
        <v>1044.1</v>
      </c>
    </row>
    <row r="270">
      <c r="A270" s="50" t="inlineStr">
        <is>
          <t>1998-02-01</t>
        </is>
      </c>
      <c r="B270" s="50" t="n">
        <v>1173</v>
      </c>
    </row>
    <row r="271">
      <c r="A271" s="50" t="inlineStr">
        <is>
          <t>1998-03-01</t>
        </is>
      </c>
      <c r="B271" s="50" t="n">
        <v>1405.5</v>
      </c>
    </row>
    <row r="272">
      <c r="A272" s="50" t="inlineStr">
        <is>
          <t>1998-04-01</t>
        </is>
      </c>
      <c r="B272" s="50" t="n">
        <v>1390.9</v>
      </c>
    </row>
    <row r="273">
      <c r="A273" s="50" t="inlineStr">
        <is>
          <t>1998-05-01</t>
        </is>
      </c>
      <c r="B273" s="50" t="n">
        <v>1543.9</v>
      </c>
    </row>
    <row r="274">
      <c r="A274" s="50" t="inlineStr">
        <is>
          <t>1998-06-01</t>
        </is>
      </c>
      <c r="B274" s="50" t="n">
        <v>1606.6</v>
      </c>
    </row>
    <row r="275">
      <c r="A275" s="50" t="inlineStr">
        <is>
          <t>1998-07-01</t>
        </is>
      </c>
      <c r="B275" s="50" t="n">
        <v>1264.9</v>
      </c>
    </row>
    <row r="276">
      <c r="A276" s="50" t="inlineStr">
        <is>
          <t>1998-08-01</t>
        </is>
      </c>
      <c r="B276" s="50" t="n">
        <v>1265.1</v>
      </c>
    </row>
    <row r="277">
      <c r="A277" s="50" t="inlineStr">
        <is>
          <t>1998-09-01</t>
        </is>
      </c>
      <c r="B277" s="50" t="n">
        <v>1314.4</v>
      </c>
    </row>
    <row r="278">
      <c r="A278" s="50" t="inlineStr">
        <is>
          <t>1998-10-01</t>
        </is>
      </c>
      <c r="B278" s="50" t="n">
        <v>1407.5</v>
      </c>
    </row>
    <row r="279">
      <c r="A279" s="50" t="inlineStr">
        <is>
          <t>1998-11-01</t>
        </is>
      </c>
      <c r="B279" s="50" t="n">
        <v>1176.4</v>
      </c>
    </row>
    <row r="280">
      <c r="A280" s="50" t="inlineStr">
        <is>
          <t>1998-12-01</t>
        </is>
      </c>
      <c r="B280" s="50" t="n">
        <v>1375</v>
      </c>
    </row>
    <row r="281">
      <c r="A281" s="50" t="inlineStr">
        <is>
          <t>1999-01-01</t>
        </is>
      </c>
      <c r="B281" s="50" t="n">
        <v>1123.7</v>
      </c>
    </row>
    <row r="282">
      <c r="A282" s="50" t="inlineStr">
        <is>
          <t>1999-02-01</t>
        </is>
      </c>
      <c r="B282" s="50" t="n">
        <v>1325.7</v>
      </c>
    </row>
    <row r="283">
      <c r="A283" s="50" t="inlineStr">
        <is>
          <t>1999-03-01</t>
        </is>
      </c>
      <c r="B283" s="50" t="n">
        <v>1580.2</v>
      </c>
    </row>
    <row r="284">
      <c r="A284" s="50" t="inlineStr">
        <is>
          <t>1999-04-01</t>
        </is>
      </c>
      <c r="B284" s="50" t="n">
        <v>1451.7</v>
      </c>
    </row>
    <row r="285">
      <c r="A285" s="50" t="inlineStr">
        <is>
          <t>1999-05-01</t>
        </is>
      </c>
      <c r="B285" s="50" t="n">
        <v>1632.6</v>
      </c>
    </row>
    <row r="286">
      <c r="A286" s="50" t="inlineStr">
        <is>
          <t>1999-06-01</t>
        </is>
      </c>
      <c r="B286" s="50" t="n">
        <v>1651.4</v>
      </c>
    </row>
    <row r="287">
      <c r="A287" s="50" t="inlineStr">
        <is>
          <t>1999-07-01</t>
        </is>
      </c>
      <c r="B287" s="50" t="n">
        <v>1529</v>
      </c>
    </row>
    <row r="288">
      <c r="A288" s="50" t="inlineStr">
        <is>
          <t>1999-08-01</t>
        </is>
      </c>
      <c r="B288" s="50" t="n">
        <v>1523.6</v>
      </c>
    </row>
    <row r="289">
      <c r="A289" s="50" t="inlineStr">
        <is>
          <t>1999-09-01</t>
        </is>
      </c>
      <c r="B289" s="50" t="n">
        <v>1442.5</v>
      </c>
    </row>
    <row r="290">
      <c r="A290" s="50" t="inlineStr">
        <is>
          <t>1999-10-01</t>
        </is>
      </c>
      <c r="B290" s="50" t="n">
        <v>1396.8</v>
      </c>
    </row>
    <row r="291">
      <c r="A291" s="50" t="inlineStr">
        <is>
          <t>1999-11-01</t>
        </is>
      </c>
      <c r="B291" s="50" t="n">
        <v>1317.2</v>
      </c>
    </row>
    <row r="292">
      <c r="A292" s="50" t="inlineStr">
        <is>
          <t>1999-12-01</t>
        </is>
      </c>
      <c r="B292" s="50" t="n">
        <v>1440.6</v>
      </c>
    </row>
    <row r="293">
      <c r="A293" s="50" t="inlineStr">
        <is>
          <t>2000-01-01</t>
        </is>
      </c>
      <c r="B293" s="50" t="n">
        <v>1239.3</v>
      </c>
    </row>
    <row r="294">
      <c r="A294" s="50" t="inlineStr">
        <is>
          <t>2000-02-01</t>
        </is>
      </c>
      <c r="B294" s="50" t="n">
        <v>1539.3</v>
      </c>
    </row>
    <row r="295">
      <c r="A295" s="50" t="inlineStr">
        <is>
          <t>2000-03-01</t>
        </is>
      </c>
      <c r="B295" s="50" t="n">
        <v>1713</v>
      </c>
    </row>
    <row r="296">
      <c r="A296" s="50" t="inlineStr">
        <is>
          <t>2000-04-01</t>
        </is>
      </c>
      <c r="B296" s="50" t="n">
        <v>1538.9</v>
      </c>
    </row>
    <row r="297">
      <c r="A297" s="50" t="inlineStr">
        <is>
          <t>2000-05-01</t>
        </is>
      </c>
      <c r="B297" s="50" t="n">
        <v>1664.9</v>
      </c>
    </row>
    <row r="298">
      <c r="A298" s="50" t="inlineStr">
        <is>
          <t>2000-06-01</t>
        </is>
      </c>
      <c r="B298" s="50" t="n">
        <v>1662.7</v>
      </c>
    </row>
    <row r="299">
      <c r="A299" s="50" t="inlineStr">
        <is>
          <t>2000-07-01</t>
        </is>
      </c>
      <c r="B299" s="50" t="n">
        <v>1468.6</v>
      </c>
    </row>
    <row r="300">
      <c r="A300" s="50" t="inlineStr">
        <is>
          <t>2000-08-01</t>
        </is>
      </c>
      <c r="B300" s="50" t="n">
        <v>1578.8</v>
      </c>
    </row>
    <row r="301">
      <c r="A301" s="50" t="inlineStr">
        <is>
          <t>2000-09-01</t>
        </is>
      </c>
      <c r="B301" s="50" t="n">
        <v>1506.3</v>
      </c>
    </row>
    <row r="302">
      <c r="A302" s="50" t="inlineStr">
        <is>
          <t>2000-10-01</t>
        </is>
      </c>
      <c r="B302" s="50" t="n">
        <v>1367.7</v>
      </c>
    </row>
    <row r="303">
      <c r="A303" s="50" t="inlineStr">
        <is>
          <t>2000-11-01</t>
        </is>
      </c>
      <c r="B303" s="50" t="n">
        <v>1260.9</v>
      </c>
    </row>
    <row r="304">
      <c r="A304" s="50" t="inlineStr">
        <is>
          <t>2000-12-01</t>
        </is>
      </c>
      <c r="B304" s="50" t="n">
        <v>1271.2</v>
      </c>
    </row>
    <row r="305">
      <c r="A305" s="50" t="inlineStr">
        <is>
          <t>2001-01-01</t>
        </is>
      </c>
      <c r="B305" s="50" t="n">
        <v>1196.3</v>
      </c>
    </row>
    <row r="306">
      <c r="A306" s="50" t="inlineStr">
        <is>
          <t>2001-02-01</t>
        </is>
      </c>
      <c r="B306" s="50" t="n">
        <v>1381.5</v>
      </c>
    </row>
    <row r="307">
      <c r="A307" s="50" t="inlineStr">
        <is>
          <t>2001-03-01</t>
        </is>
      </c>
      <c r="B307" s="50" t="n">
        <v>1627.8</v>
      </c>
    </row>
    <row r="308">
      <c r="A308" s="50" t="inlineStr">
        <is>
          <t>2001-04-01</t>
        </is>
      </c>
      <c r="B308" s="50" t="n">
        <v>1377</v>
      </c>
    </row>
    <row r="309">
      <c r="A309" s="50" t="inlineStr">
        <is>
          <t>2001-05-01</t>
        </is>
      </c>
      <c r="B309" s="50" t="n">
        <v>1635.2</v>
      </c>
    </row>
    <row r="310">
      <c r="A310" s="50" t="inlineStr">
        <is>
          <t>2001-06-01</t>
        </is>
      </c>
      <c r="B310" s="50" t="n">
        <v>1652.2</v>
      </c>
    </row>
    <row r="311">
      <c r="A311" s="50" t="inlineStr">
        <is>
          <t>2001-07-01</t>
        </is>
      </c>
      <c r="B311" s="50" t="n">
        <v>1374.6</v>
      </c>
    </row>
    <row r="312">
      <c r="A312" s="50" t="inlineStr">
        <is>
          <t>2001-08-01</t>
        </is>
      </c>
      <c r="B312" s="50" t="n">
        <v>1478.2</v>
      </c>
    </row>
    <row r="313">
      <c r="A313" s="50" t="inlineStr">
        <is>
          <t>2001-09-01</t>
        </is>
      </c>
      <c r="B313" s="50" t="n">
        <v>1312.5</v>
      </c>
    </row>
    <row r="314">
      <c r="A314" s="50" t="inlineStr">
        <is>
          <t>2001-10-01</t>
        </is>
      </c>
      <c r="B314" s="50" t="n">
        <v>1753.2</v>
      </c>
    </row>
    <row r="315">
      <c r="A315" s="50" t="inlineStr">
        <is>
          <t>2001-11-01</t>
        </is>
      </c>
      <c r="B315" s="50" t="n">
        <v>1347.9</v>
      </c>
    </row>
    <row r="316">
      <c r="A316" s="50" t="inlineStr">
        <is>
          <t>2001-12-01</t>
        </is>
      </c>
      <c r="B316" s="50" t="n">
        <v>1336.1</v>
      </c>
    </row>
    <row r="317">
      <c r="A317" s="50" t="inlineStr">
        <is>
          <t>2002-01-01</t>
        </is>
      </c>
      <c r="B317" s="50" t="n">
        <v>1129.999</v>
      </c>
    </row>
    <row r="318">
      <c r="A318" s="50" t="inlineStr">
        <is>
          <t>2002-02-01</t>
        </is>
      </c>
      <c r="B318" s="50" t="n">
        <v>1328.755</v>
      </c>
    </row>
    <row r="319">
      <c r="A319" s="50" t="inlineStr">
        <is>
          <t>2002-03-01</t>
        </is>
      </c>
      <c r="B319" s="50" t="n">
        <v>1541.215</v>
      </c>
    </row>
    <row r="320">
      <c r="A320" s="50" t="inlineStr">
        <is>
          <t>2002-04-01</t>
        </is>
      </c>
      <c r="B320" s="50" t="n">
        <v>1471.801</v>
      </c>
    </row>
    <row r="321">
      <c r="A321" s="50" t="inlineStr">
        <is>
          <t>2002-05-01</t>
        </is>
      </c>
      <c r="B321" s="50" t="n">
        <v>1538.496</v>
      </c>
    </row>
    <row r="322">
      <c r="A322" s="50" t="inlineStr">
        <is>
          <t>2002-06-01</t>
        </is>
      </c>
      <c r="B322" s="50" t="n">
        <v>1563.938</v>
      </c>
    </row>
    <row r="323">
      <c r="A323" s="50" t="inlineStr">
        <is>
          <t>2002-07-01</t>
        </is>
      </c>
      <c r="B323" s="50" t="n">
        <v>1551.996</v>
      </c>
    </row>
    <row r="324">
      <c r="A324" s="50" t="inlineStr">
        <is>
          <t>2002-08-01</t>
        </is>
      </c>
      <c r="B324" s="50" t="n">
        <v>1734.956</v>
      </c>
    </row>
    <row r="325">
      <c r="A325" s="50" t="inlineStr">
        <is>
          <t>2002-09-01</t>
        </is>
      </c>
      <c r="B325" s="50" t="n">
        <v>1250.986</v>
      </c>
    </row>
    <row r="326">
      <c r="A326" s="50" t="inlineStr">
        <is>
          <t>2002-10-01</t>
        </is>
      </c>
      <c r="B326" s="50" t="n">
        <v>1331.09</v>
      </c>
    </row>
    <row r="327">
      <c r="A327" s="50" t="inlineStr">
        <is>
          <t>2002-11-01</t>
        </is>
      </c>
      <c r="B327" s="50" t="n">
        <v>1227.557</v>
      </c>
    </row>
    <row r="328">
      <c r="A328" s="50" t="inlineStr">
        <is>
          <t>2002-12-01</t>
        </is>
      </c>
      <c r="B328" s="50" t="n">
        <v>1467.708</v>
      </c>
    </row>
    <row r="329">
      <c r="A329" s="50" t="inlineStr">
        <is>
          <t>2003-01-01</t>
        </is>
      </c>
      <c r="B329" s="50" t="n">
        <v>1108.279</v>
      </c>
    </row>
    <row r="330">
      <c r="A330" s="50" t="inlineStr">
        <is>
          <t>2003-02-01</t>
        </is>
      </c>
      <c r="B330" s="50" t="n">
        <v>1237.619</v>
      </c>
    </row>
    <row r="331">
      <c r="A331" s="50" t="inlineStr">
        <is>
          <t>2003-03-01</t>
        </is>
      </c>
      <c r="B331" s="50" t="n">
        <v>1474.819</v>
      </c>
    </row>
    <row r="332">
      <c r="A332" s="50" t="inlineStr">
        <is>
          <t>2003-04-01</t>
        </is>
      </c>
      <c r="B332" s="50" t="n">
        <v>1436.733</v>
      </c>
    </row>
    <row r="333">
      <c r="A333" s="50" t="inlineStr">
        <is>
          <t>2003-05-01</t>
        </is>
      </c>
      <c r="B333" s="50" t="n">
        <v>1601.145</v>
      </c>
    </row>
    <row r="334">
      <c r="A334" s="50" t="inlineStr">
        <is>
          <t>2003-06-01</t>
        </is>
      </c>
      <c r="B334" s="50" t="n">
        <v>1502.328</v>
      </c>
    </row>
    <row r="335">
      <c r="A335" s="50" t="inlineStr">
        <is>
          <t>2003-07-01</t>
        </is>
      </c>
      <c r="B335" s="50" t="n">
        <v>1538.781</v>
      </c>
    </row>
    <row r="336">
      <c r="A336" s="50" t="inlineStr">
        <is>
          <t>2003-08-01</t>
        </is>
      </c>
      <c r="B336" s="50" t="n">
        <v>1656.167</v>
      </c>
    </row>
    <row r="337">
      <c r="A337" s="50" t="inlineStr">
        <is>
          <t>2003-09-01</t>
        </is>
      </c>
      <c r="B337" s="50" t="n">
        <v>1329.499</v>
      </c>
    </row>
    <row r="338">
      <c r="A338" s="50" t="inlineStr">
        <is>
          <t>2003-10-01</t>
        </is>
      </c>
      <c r="B338" s="50" t="n">
        <v>1333.497</v>
      </c>
    </row>
    <row r="339">
      <c r="A339" s="50" t="inlineStr">
        <is>
          <t>2003-11-01</t>
        </is>
      </c>
      <c r="B339" s="50" t="n">
        <v>1285.36</v>
      </c>
    </row>
    <row r="340">
      <c r="A340" s="50" t="inlineStr">
        <is>
          <t>2003-12-01</t>
        </is>
      </c>
      <c r="B340" s="50" t="n">
        <v>1463.264</v>
      </c>
    </row>
    <row r="341">
      <c r="A341" s="50" t="inlineStr">
        <is>
          <t>2004-01-01</t>
        </is>
      </c>
      <c r="B341" s="50" t="n">
        <v>1149.668</v>
      </c>
    </row>
    <row r="342">
      <c r="A342" s="50" t="inlineStr">
        <is>
          <t>2004-02-01</t>
        </is>
      </c>
      <c r="B342" s="50" t="n">
        <v>1303.718</v>
      </c>
    </row>
    <row r="343">
      <c r="A343" s="50" t="inlineStr">
        <is>
          <t>2004-03-01</t>
        </is>
      </c>
      <c r="B343" s="50" t="n">
        <v>1540.321</v>
      </c>
    </row>
    <row r="344">
      <c r="A344" s="50" t="inlineStr">
        <is>
          <t>2004-04-01</t>
        </is>
      </c>
      <c r="B344" s="50" t="n">
        <v>1455.643</v>
      </c>
    </row>
    <row r="345">
      <c r="A345" s="50" t="inlineStr">
        <is>
          <t>2004-05-01</t>
        </is>
      </c>
      <c r="B345" s="50" t="n">
        <v>1660.854</v>
      </c>
    </row>
    <row r="346">
      <c r="A346" s="50" t="inlineStr">
        <is>
          <t>2004-06-01</t>
        </is>
      </c>
      <c r="B346" s="50" t="n">
        <v>1480.758</v>
      </c>
    </row>
    <row r="347">
      <c r="A347" s="50" t="inlineStr">
        <is>
          <t>2004-07-01</t>
        </is>
      </c>
      <c r="B347" s="50" t="n">
        <v>1589.173</v>
      </c>
    </row>
    <row r="348">
      <c r="A348" s="50" t="inlineStr">
        <is>
          <t>2004-08-01</t>
        </is>
      </c>
      <c r="B348" s="50" t="n">
        <v>1463.409</v>
      </c>
    </row>
    <row r="349">
      <c r="A349" s="50" t="inlineStr">
        <is>
          <t>2004-09-01</t>
        </is>
      </c>
      <c r="B349" s="50" t="n">
        <v>1470.081</v>
      </c>
    </row>
    <row r="350">
      <c r="A350" s="50" t="inlineStr">
        <is>
          <t>2004-10-01</t>
        </is>
      </c>
      <c r="B350" s="50" t="n">
        <v>1370.093</v>
      </c>
    </row>
    <row r="351">
      <c r="A351" s="50" t="inlineStr">
        <is>
          <t>2004-11-01</t>
        </is>
      </c>
      <c r="B351" s="50" t="n">
        <v>1231.197</v>
      </c>
    </row>
    <row r="352">
      <c r="A352" s="50" t="inlineStr">
        <is>
          <t>2004-12-01</t>
        </is>
      </c>
      <c r="B352" s="50" t="n">
        <v>1583.603</v>
      </c>
    </row>
    <row r="353">
      <c r="A353" s="50" t="inlineStr">
        <is>
          <t>2005-01-01</t>
        </is>
      </c>
      <c r="B353" s="50" t="n">
        <v>1095.851</v>
      </c>
    </row>
    <row r="354">
      <c r="A354" s="50" t="inlineStr">
        <is>
          <t>2005-02-01</t>
        </is>
      </c>
      <c r="B354" s="50" t="n">
        <v>1286.074</v>
      </c>
    </row>
    <row r="355">
      <c r="A355" s="50" t="inlineStr">
        <is>
          <t>2005-03-01</t>
        </is>
      </c>
      <c r="B355" s="50" t="n">
        <v>1615.983</v>
      </c>
    </row>
    <row r="356">
      <c r="A356" s="50" t="inlineStr">
        <is>
          <t>2005-04-01</t>
        </is>
      </c>
      <c r="B356" s="50" t="n">
        <v>1542.051</v>
      </c>
    </row>
    <row r="357">
      <c r="A357" s="50" t="inlineStr">
        <is>
          <t>2005-05-01</t>
        </is>
      </c>
      <c r="B357" s="50" t="n">
        <v>1537.321</v>
      </c>
    </row>
    <row r="358">
      <c r="A358" s="50" t="inlineStr">
        <is>
          <t>2005-06-01</t>
        </is>
      </c>
      <c r="B358" s="50" t="n">
        <v>1720.006</v>
      </c>
    </row>
    <row r="359">
      <c r="A359" s="50" t="inlineStr">
        <is>
          <t>2005-07-01</t>
        </is>
      </c>
      <c r="B359" s="50" t="n">
        <v>1845.713</v>
      </c>
    </row>
    <row r="360">
      <c r="A360" s="50" t="inlineStr">
        <is>
          <t>2005-08-01</t>
        </is>
      </c>
      <c r="B360" s="50" t="n">
        <v>1524.158</v>
      </c>
    </row>
    <row r="361">
      <c r="A361" s="50" t="inlineStr">
        <is>
          <t>2005-09-01</t>
        </is>
      </c>
      <c r="B361" s="50" t="n">
        <v>1366.93</v>
      </c>
    </row>
    <row r="362">
      <c r="A362" s="50" t="inlineStr">
        <is>
          <t>2005-10-01</t>
        </is>
      </c>
      <c r="B362" s="50" t="n">
        <v>1184.16</v>
      </c>
    </row>
    <row r="363">
      <c r="A363" s="50" t="inlineStr">
        <is>
          <t>2005-11-01</t>
        </is>
      </c>
      <c r="B363" s="50" t="n">
        <v>1200.786</v>
      </c>
    </row>
    <row r="364">
      <c r="A364" s="50" t="inlineStr">
        <is>
          <t>2005-12-01</t>
        </is>
      </c>
      <c r="B364" s="50" t="n">
        <v>1525.713</v>
      </c>
    </row>
    <row r="365">
      <c r="A365" s="50" t="inlineStr">
        <is>
          <t>2006-01-01</t>
        </is>
      </c>
      <c r="B365" s="50" t="n">
        <v>1176.162</v>
      </c>
    </row>
    <row r="366">
      <c r="A366" s="50" t="inlineStr">
        <is>
          <t>2006-02-01</t>
        </is>
      </c>
      <c r="B366" s="50" t="n">
        <v>1298.13</v>
      </c>
    </row>
    <row r="367">
      <c r="A367" s="50" t="inlineStr">
        <is>
          <t>2006-03-01</t>
        </is>
      </c>
      <c r="B367" s="50" t="n">
        <v>1576.647</v>
      </c>
    </row>
    <row r="368">
      <c r="A368" s="50" t="inlineStr">
        <is>
          <t>2006-04-01</t>
        </is>
      </c>
      <c r="B368" s="50" t="n">
        <v>1489.804</v>
      </c>
    </row>
    <row r="369">
      <c r="A369" s="50" t="inlineStr">
        <is>
          <t>2006-05-01</t>
        </is>
      </c>
      <c r="B369" s="50" t="n">
        <v>1533.712</v>
      </c>
    </row>
    <row r="370">
      <c r="A370" s="50" t="inlineStr">
        <is>
          <t>2006-06-01</t>
        </is>
      </c>
      <c r="B370" s="50" t="n">
        <v>1545.268</v>
      </c>
    </row>
    <row r="371">
      <c r="A371" s="50" t="inlineStr">
        <is>
          <t>2006-07-01</t>
        </is>
      </c>
      <c r="B371" s="50" t="n">
        <v>1531.114</v>
      </c>
    </row>
    <row r="372">
      <c r="A372" s="50" t="inlineStr">
        <is>
          <t>2006-08-01</t>
        </is>
      </c>
      <c r="B372" s="50" t="n">
        <v>1530.014</v>
      </c>
    </row>
    <row r="373">
      <c r="A373" s="50" t="inlineStr">
        <is>
          <t>2006-09-01</t>
        </is>
      </c>
      <c r="B373" s="50" t="n">
        <v>1394.215</v>
      </c>
    </row>
    <row r="374">
      <c r="A374" s="50" t="inlineStr">
        <is>
          <t>2006-10-01</t>
        </is>
      </c>
      <c r="B374" s="50" t="n">
        <v>1260.626</v>
      </c>
    </row>
    <row r="375">
      <c r="A375" s="50" t="inlineStr">
        <is>
          <t>2006-11-01</t>
        </is>
      </c>
      <c r="B375" s="50" t="n">
        <v>1236.584</v>
      </c>
    </row>
    <row r="376">
      <c r="A376" s="50" t="inlineStr">
        <is>
          <t>2006-12-01</t>
        </is>
      </c>
      <c r="B376" s="50" t="n">
        <v>1476.413</v>
      </c>
    </row>
    <row r="377">
      <c r="A377" s="50" t="inlineStr">
        <is>
          <t>2007-01-01</t>
        </is>
      </c>
      <c r="B377" s="50" t="n">
        <v>1124.216</v>
      </c>
    </row>
    <row r="378">
      <c r="A378" s="50" t="inlineStr">
        <is>
          <t>2007-02-01</t>
        </is>
      </c>
      <c r="B378" s="50" t="n">
        <v>1285.136</v>
      </c>
    </row>
    <row r="379">
      <c r="A379" s="50" t="inlineStr">
        <is>
          <t>2007-03-01</t>
        </is>
      </c>
      <c r="B379" s="50" t="n">
        <v>1574.877</v>
      </c>
    </row>
    <row r="380">
      <c r="A380" s="50" t="inlineStr">
        <is>
          <t>2007-04-01</t>
        </is>
      </c>
      <c r="B380" s="50" t="n">
        <v>1365.965</v>
      </c>
    </row>
    <row r="381">
      <c r="A381" s="50" t="inlineStr">
        <is>
          <t>2007-05-01</t>
        </is>
      </c>
      <c r="B381" s="50" t="n">
        <v>1590.262</v>
      </c>
    </row>
    <row r="382">
      <c r="A382" s="50" t="inlineStr">
        <is>
          <t>2007-06-01</t>
        </is>
      </c>
      <c r="B382" s="50" t="n">
        <v>1481.21</v>
      </c>
    </row>
    <row r="383">
      <c r="A383" s="50" t="inlineStr">
        <is>
          <t>2007-07-01</t>
        </is>
      </c>
      <c r="B383" s="50" t="n">
        <v>1331.024</v>
      </c>
    </row>
    <row r="384">
      <c r="A384" s="50" t="inlineStr">
        <is>
          <t>2007-08-01</t>
        </is>
      </c>
      <c r="B384" s="50" t="n">
        <v>1500.386</v>
      </c>
    </row>
    <row r="385">
      <c r="A385" s="50" t="inlineStr">
        <is>
          <t>2007-09-01</t>
        </is>
      </c>
      <c r="B385" s="50" t="n">
        <v>1335.814</v>
      </c>
    </row>
    <row r="386">
      <c r="A386" s="50" t="inlineStr">
        <is>
          <t>2007-10-01</t>
        </is>
      </c>
      <c r="B386" s="50" t="n">
        <v>1256.533</v>
      </c>
    </row>
    <row r="387">
      <c r="A387" s="50" t="inlineStr">
        <is>
          <t>2007-11-01</t>
        </is>
      </c>
      <c r="B387" s="50" t="n">
        <v>1200.511</v>
      </c>
    </row>
    <row r="388">
      <c r="A388" s="50" t="inlineStr">
        <is>
          <t>2007-12-01</t>
        </is>
      </c>
      <c r="B388" s="50" t="n">
        <v>1414.147</v>
      </c>
    </row>
    <row r="389">
      <c r="A389" s="50" t="inlineStr">
        <is>
          <t>2008-01-01</t>
        </is>
      </c>
      <c r="B389" s="50" t="n">
        <v>1063.408</v>
      </c>
    </row>
    <row r="390">
      <c r="A390" s="50" t="inlineStr">
        <is>
          <t>2008-02-01</t>
        </is>
      </c>
      <c r="B390" s="50" t="n">
        <v>1196.431</v>
      </c>
    </row>
    <row r="391">
      <c r="A391" s="50" t="inlineStr">
        <is>
          <t>2008-03-01</t>
        </is>
      </c>
      <c r="B391" s="50" t="n">
        <v>1378.605</v>
      </c>
    </row>
    <row r="392">
      <c r="A392" s="50" t="inlineStr">
        <is>
          <t>2008-04-01</t>
        </is>
      </c>
      <c r="B392" s="50" t="n">
        <v>1272.999</v>
      </c>
    </row>
    <row r="393">
      <c r="A393" s="50" t="inlineStr">
        <is>
          <t>2008-05-01</t>
        </is>
      </c>
      <c r="B393" s="50" t="n">
        <v>1420.485</v>
      </c>
    </row>
    <row r="394">
      <c r="A394" s="50" t="inlineStr">
        <is>
          <t>2008-06-01</t>
        </is>
      </c>
      <c r="B394" s="50" t="n">
        <v>1212.54</v>
      </c>
    </row>
    <row r="395">
      <c r="A395" s="50" t="inlineStr">
        <is>
          <t>2008-07-01</t>
        </is>
      </c>
      <c r="B395" s="50" t="n">
        <v>1156.003</v>
      </c>
    </row>
    <row r="396">
      <c r="A396" s="50" t="inlineStr">
        <is>
          <t>2008-08-01</t>
        </is>
      </c>
      <c r="B396" s="50" t="n">
        <v>1269.113</v>
      </c>
    </row>
    <row r="397">
      <c r="A397" s="50" t="inlineStr">
        <is>
          <t>2008-09-01</t>
        </is>
      </c>
      <c r="B397" s="50" t="n">
        <v>984.592</v>
      </c>
    </row>
    <row r="398">
      <c r="A398" s="50" t="inlineStr">
        <is>
          <t>2008-10-01</t>
        </is>
      </c>
      <c r="B398" s="50" t="n">
        <v>859.026</v>
      </c>
    </row>
    <row r="399">
      <c r="A399" s="50" t="inlineStr">
        <is>
          <t>2008-11-01</t>
        </is>
      </c>
      <c r="B399" s="50" t="n">
        <v>763.936</v>
      </c>
    </row>
    <row r="400">
      <c r="A400" s="50" t="inlineStr">
        <is>
          <t>2008-12-01</t>
        </is>
      </c>
      <c r="B400" s="50" t="n">
        <v>916.12</v>
      </c>
    </row>
    <row r="401">
      <c r="A401" s="50" t="inlineStr">
        <is>
          <t>2009-01-01</t>
        </is>
      </c>
      <c r="B401" s="50" t="n">
        <v>670.466</v>
      </c>
    </row>
    <row r="402">
      <c r="A402" s="50" t="inlineStr">
        <is>
          <t>2009-02-01</t>
        </is>
      </c>
      <c r="B402" s="50" t="n">
        <v>701.635</v>
      </c>
    </row>
    <row r="403">
      <c r="A403" s="50" t="inlineStr">
        <is>
          <t>2009-03-01</t>
        </is>
      </c>
      <c r="B403" s="50" t="n">
        <v>872.848</v>
      </c>
    </row>
    <row r="404">
      <c r="A404" s="50" t="inlineStr">
        <is>
          <t>2009-04-01</t>
        </is>
      </c>
      <c r="B404" s="50" t="n">
        <v>832.588</v>
      </c>
    </row>
    <row r="405">
      <c r="A405" s="50" t="inlineStr">
        <is>
          <t>2009-05-01</t>
        </is>
      </c>
      <c r="B405" s="50" t="n">
        <v>938.41</v>
      </c>
    </row>
    <row r="406">
      <c r="A406" s="50" t="inlineStr">
        <is>
          <t>2009-06-01</t>
        </is>
      </c>
      <c r="B406" s="50" t="n">
        <v>874.874</v>
      </c>
    </row>
    <row r="407">
      <c r="A407" s="50" t="inlineStr">
        <is>
          <t>2009-07-01</t>
        </is>
      </c>
      <c r="B407" s="50" t="n">
        <v>1011.769</v>
      </c>
    </row>
    <row r="408">
      <c r="A408" s="50" t="inlineStr">
        <is>
          <t>2009-08-01</t>
        </is>
      </c>
      <c r="B408" s="50" t="n">
        <v>1274.678</v>
      </c>
    </row>
    <row r="409">
      <c r="A409" s="50" t="inlineStr">
        <is>
          <t>2009-09-01</t>
        </is>
      </c>
      <c r="B409" s="50" t="n">
        <v>759.633</v>
      </c>
    </row>
    <row r="410">
      <c r="A410" s="50" t="inlineStr">
        <is>
          <t>2009-10-01</t>
        </is>
      </c>
      <c r="B410" s="50" t="n">
        <v>853.942</v>
      </c>
    </row>
    <row r="411">
      <c r="A411" s="50" t="inlineStr">
        <is>
          <t>2009-11-01</t>
        </is>
      </c>
      <c r="B411" s="50" t="n">
        <v>761.865</v>
      </c>
    </row>
    <row r="412">
      <c r="A412" s="50" t="inlineStr">
        <is>
          <t>2009-12-01</t>
        </is>
      </c>
      <c r="B412" s="50" t="n">
        <v>1049.27</v>
      </c>
    </row>
    <row r="413">
      <c r="A413" s="50" t="inlineStr">
        <is>
          <t>2010-01-01</t>
        </is>
      </c>
      <c r="B413" s="50" t="n">
        <v>712.4690000000001</v>
      </c>
    </row>
    <row r="414">
      <c r="A414" s="50" t="inlineStr">
        <is>
          <t>2010-02-01</t>
        </is>
      </c>
      <c r="B414" s="50" t="n">
        <v>793.362</v>
      </c>
    </row>
    <row r="415">
      <c r="A415" s="50" t="inlineStr">
        <is>
          <t>2010-03-01</t>
        </is>
      </c>
      <c r="B415" s="50" t="n">
        <v>1083.953</v>
      </c>
    </row>
    <row r="416">
      <c r="A416" s="50" t="inlineStr">
        <is>
          <t>2010-04-01</t>
        </is>
      </c>
      <c r="B416" s="50" t="n">
        <v>997.3339999999999</v>
      </c>
    </row>
    <row r="417">
      <c r="A417" s="50" t="inlineStr">
        <is>
          <t>2010-05-01</t>
        </is>
      </c>
      <c r="B417" s="50" t="n">
        <v>1117.57</v>
      </c>
    </row>
    <row r="418">
      <c r="A418" s="50" t="inlineStr">
        <is>
          <t>2010-06-01</t>
        </is>
      </c>
      <c r="B418" s="50" t="n">
        <v>1000.455</v>
      </c>
    </row>
    <row r="419">
      <c r="A419" s="50" t="inlineStr">
        <is>
          <t>2010-07-01</t>
        </is>
      </c>
      <c r="B419" s="50" t="n">
        <v>1065.748</v>
      </c>
    </row>
    <row r="420">
      <c r="A420" s="50" t="inlineStr">
        <is>
          <t>2010-08-01</t>
        </is>
      </c>
      <c r="B420" s="50" t="n">
        <v>1011.564</v>
      </c>
    </row>
    <row r="421">
      <c r="A421" s="50" t="inlineStr">
        <is>
          <t>2010-09-01</t>
        </is>
      </c>
      <c r="B421" s="50" t="n">
        <v>973.954</v>
      </c>
    </row>
    <row r="422">
      <c r="A422" s="50" t="inlineStr">
        <is>
          <t>2010-10-01</t>
        </is>
      </c>
      <c r="B422" s="50" t="n">
        <v>965.135</v>
      </c>
    </row>
    <row r="423">
      <c r="A423" s="50" t="inlineStr">
        <is>
          <t>2010-11-01</t>
        </is>
      </c>
      <c r="B423" s="50" t="n">
        <v>888.085</v>
      </c>
    </row>
    <row r="424">
      <c r="A424" s="50" t="inlineStr">
        <is>
          <t>2010-12-01</t>
        </is>
      </c>
      <c r="B424" s="50" t="n">
        <v>1162.897</v>
      </c>
    </row>
    <row r="425">
      <c r="A425" s="50" t="inlineStr">
        <is>
          <t>2011-01-01</t>
        </is>
      </c>
      <c r="B425" s="50" t="n">
        <v>836.366</v>
      </c>
    </row>
    <row r="426">
      <c r="A426" s="50" t="inlineStr">
        <is>
          <t>2011-02-01</t>
        </is>
      </c>
      <c r="B426" s="50" t="n">
        <v>1007.082</v>
      </c>
    </row>
    <row r="427">
      <c r="A427" s="50" t="inlineStr">
        <is>
          <t>2011-03-01</t>
        </is>
      </c>
      <c r="B427" s="50" t="n">
        <v>1276.843</v>
      </c>
    </row>
    <row r="428">
      <c r="A428" s="50" t="inlineStr">
        <is>
          <t>2011-04-01</t>
        </is>
      </c>
      <c r="B428" s="50" t="n">
        <v>1173.52</v>
      </c>
    </row>
    <row r="429">
      <c r="A429" s="50" t="inlineStr">
        <is>
          <t>2011-05-01</t>
        </is>
      </c>
      <c r="B429" s="50" t="n">
        <v>1081.272</v>
      </c>
    </row>
    <row r="430">
      <c r="A430" s="50" t="inlineStr">
        <is>
          <t>2011-06-01</t>
        </is>
      </c>
      <c r="B430" s="50" t="n">
        <v>1071.229</v>
      </c>
    </row>
    <row r="431">
      <c r="A431" s="50" t="inlineStr">
        <is>
          <t>2011-07-01</t>
        </is>
      </c>
      <c r="B431" s="50" t="n">
        <v>1086.064</v>
      </c>
    </row>
    <row r="432">
      <c r="A432" s="50" t="inlineStr">
        <is>
          <t>2011-08-01</t>
        </is>
      </c>
      <c r="B432" s="50" t="n">
        <v>1094.479</v>
      </c>
    </row>
    <row r="433">
      <c r="A433" s="50" t="inlineStr">
        <is>
          <t>2011-09-01</t>
        </is>
      </c>
      <c r="B433" s="50" t="n">
        <v>1076.037</v>
      </c>
    </row>
    <row r="434">
      <c r="A434" s="50" t="inlineStr">
        <is>
          <t>2011-10-01</t>
        </is>
      </c>
      <c r="B434" s="50" t="n">
        <v>1048.258</v>
      </c>
    </row>
    <row r="435">
      <c r="A435" s="50" t="inlineStr">
        <is>
          <t>2011-11-01</t>
        </is>
      </c>
      <c r="B435" s="50" t="n">
        <v>1028.774</v>
      </c>
    </row>
    <row r="436">
      <c r="A436" s="50" t="inlineStr">
        <is>
          <t>2011-12-01</t>
        </is>
      </c>
      <c r="B436" s="50" t="n">
        <v>1268.462</v>
      </c>
    </row>
    <row r="437">
      <c r="A437" s="50" t="inlineStr">
        <is>
          <t>2012-01-01</t>
        </is>
      </c>
      <c r="B437" s="50" t="n">
        <v>938.17</v>
      </c>
    </row>
    <row r="438">
      <c r="A438" s="50" t="inlineStr">
        <is>
          <t>2012-02-01</t>
        </is>
      </c>
      <c r="B438" s="50" t="n">
        <v>1175.82</v>
      </c>
    </row>
    <row r="439">
      <c r="A439" s="50" t="inlineStr">
        <is>
          <t>2012-03-01</t>
        </is>
      </c>
      <c r="B439" s="50" t="n">
        <v>1434.004</v>
      </c>
    </row>
    <row r="440">
      <c r="A440" s="50" t="inlineStr">
        <is>
          <t>2012-04-01</t>
        </is>
      </c>
      <c r="B440" s="50" t="n">
        <v>1204.471</v>
      </c>
    </row>
    <row r="441">
      <c r="A441" s="50" t="inlineStr">
        <is>
          <t>2012-05-01</t>
        </is>
      </c>
      <c r="B441" s="50" t="n">
        <v>1369.493</v>
      </c>
    </row>
    <row r="442">
      <c r="A442" s="50" t="inlineStr">
        <is>
          <t>2012-06-01</t>
        </is>
      </c>
      <c r="B442" s="50" t="n">
        <v>1310.158</v>
      </c>
    </row>
    <row r="443">
      <c r="A443" s="50" t="inlineStr">
        <is>
          <t>2012-07-01</t>
        </is>
      </c>
      <c r="B443" s="50" t="n">
        <v>1171.809</v>
      </c>
    </row>
    <row r="444">
      <c r="A444" s="50" t="inlineStr">
        <is>
          <t>2012-08-01</t>
        </is>
      </c>
      <c r="B444" s="50" t="n">
        <v>1305.342</v>
      </c>
    </row>
    <row r="445">
      <c r="A445" s="50" t="inlineStr">
        <is>
          <t>2012-09-01</t>
        </is>
      </c>
      <c r="B445" s="50" t="n">
        <v>1206.182</v>
      </c>
    </row>
    <row r="446">
      <c r="A446" s="50" t="inlineStr">
        <is>
          <t>2012-10-01</t>
        </is>
      </c>
      <c r="B446" s="50" t="n">
        <v>1119.148</v>
      </c>
    </row>
    <row r="447">
      <c r="A447" s="50" t="inlineStr">
        <is>
          <t>2012-11-01</t>
        </is>
      </c>
      <c r="B447" s="50" t="n">
        <v>1169.803</v>
      </c>
    </row>
    <row r="448">
      <c r="A448" s="50" t="inlineStr">
        <is>
          <t>2012-12-01</t>
        </is>
      </c>
      <c r="B448" s="50" t="n">
        <v>1375.084</v>
      </c>
    </row>
    <row r="449">
      <c r="A449" s="50" t="inlineStr">
        <is>
          <t>2013-01-01</t>
        </is>
      </c>
      <c r="B449" s="50" t="n">
        <v>1065.798</v>
      </c>
    </row>
    <row r="450">
      <c r="A450" s="50" t="inlineStr">
        <is>
          <t>2013-02-01</t>
        </is>
      </c>
      <c r="B450" s="50" t="n">
        <v>1217.858</v>
      </c>
    </row>
    <row r="451">
      <c r="A451" s="50" t="inlineStr">
        <is>
          <t>2013-03-01</t>
        </is>
      </c>
      <c r="B451" s="50" t="n">
        <v>1479.427</v>
      </c>
    </row>
    <row r="452">
      <c r="A452" s="50" t="inlineStr">
        <is>
          <t>2013-04-01</t>
        </is>
      </c>
      <c r="B452" s="50" t="n">
        <v>1313.768</v>
      </c>
    </row>
    <row r="453">
      <c r="A453" s="50" t="inlineStr">
        <is>
          <t>2013-05-01</t>
        </is>
      </c>
      <c r="B453" s="50" t="n">
        <v>1473.275</v>
      </c>
    </row>
    <row r="454">
      <c r="A454" s="50" t="inlineStr">
        <is>
          <t>2013-06-01</t>
        </is>
      </c>
      <c r="B454" s="50" t="n">
        <v>1425.802</v>
      </c>
    </row>
    <row r="455">
      <c r="A455" s="50" t="inlineStr">
        <is>
          <t>2013-07-01</t>
        </is>
      </c>
      <c r="B455" s="50" t="n">
        <v>1335.833</v>
      </c>
    </row>
    <row r="456">
      <c r="A456" s="50" t="inlineStr">
        <is>
          <t>2013-08-01</t>
        </is>
      </c>
      <c r="B456" s="50" t="n">
        <v>1527.483</v>
      </c>
    </row>
    <row r="457">
      <c r="A457" s="50" t="inlineStr">
        <is>
          <t>2013-09-01</t>
        </is>
      </c>
      <c r="B457" s="50" t="n">
        <v>1152.814</v>
      </c>
    </row>
    <row r="458">
      <c r="A458" s="50" t="inlineStr">
        <is>
          <t>2013-10-01</t>
        </is>
      </c>
      <c r="B458" s="50" t="n">
        <v>1235.532</v>
      </c>
    </row>
    <row r="459">
      <c r="A459" s="50" t="inlineStr">
        <is>
          <t>2013-11-01</t>
        </is>
      </c>
      <c r="B459" s="50" t="n">
        <v>1271.446</v>
      </c>
    </row>
    <row r="460">
      <c r="A460" s="50" t="inlineStr">
        <is>
          <t>2013-12-01</t>
        </is>
      </c>
      <c r="B460" s="50" t="n">
        <v>1383.676</v>
      </c>
    </row>
    <row r="461">
      <c r="A461" s="50" t="inlineStr">
        <is>
          <t>2014-01-01</t>
        </is>
      </c>
      <c r="B461" s="50" t="n">
        <v>1043.019</v>
      </c>
    </row>
    <row r="462">
      <c r="A462" s="50" t="inlineStr">
        <is>
          <t>2014-02-01</t>
        </is>
      </c>
      <c r="B462" s="50" t="n">
        <v>1221.37</v>
      </c>
    </row>
    <row r="463">
      <c r="A463" s="50" t="inlineStr">
        <is>
          <t>2014-03-01</t>
        </is>
      </c>
      <c r="B463" s="50" t="n">
        <v>1562.748</v>
      </c>
    </row>
    <row r="464">
      <c r="A464" s="50" t="inlineStr">
        <is>
          <t>2014-04-01</t>
        </is>
      </c>
      <c r="B464" s="50" t="n">
        <v>1408.232</v>
      </c>
    </row>
    <row r="465">
      <c r="A465" s="50" t="inlineStr">
        <is>
          <t>2014-05-01</t>
        </is>
      </c>
      <c r="B465" s="50" t="n">
        <v>1644.367</v>
      </c>
    </row>
    <row r="466">
      <c r="A466" s="50" t="inlineStr">
        <is>
          <t>2014-06-01</t>
        </is>
      </c>
      <c r="B466" s="50" t="n">
        <v>1451.814</v>
      </c>
    </row>
    <row r="467">
      <c r="A467" s="50" t="inlineStr">
        <is>
          <t>2014-07-01</t>
        </is>
      </c>
      <c r="B467" s="50" t="n">
        <v>1473.962</v>
      </c>
    </row>
    <row r="468">
      <c r="A468" s="50" t="inlineStr">
        <is>
          <t>2014-08-01</t>
        </is>
      </c>
      <c r="B468" s="50" t="n">
        <v>1607.315</v>
      </c>
    </row>
    <row r="469">
      <c r="A469" s="50" t="inlineStr">
        <is>
          <t>2014-09-01</t>
        </is>
      </c>
      <c r="B469" s="50" t="n">
        <v>1272.036</v>
      </c>
    </row>
    <row r="470">
      <c r="A470" s="50" t="inlineStr">
        <is>
          <t>2014-10-01</t>
        </is>
      </c>
      <c r="B470" s="50" t="n">
        <v>1312.329</v>
      </c>
    </row>
    <row r="471">
      <c r="A471" s="50" t="inlineStr">
        <is>
          <t>2014-11-01</t>
        </is>
      </c>
      <c r="B471" s="50" t="n">
        <v>1324.117</v>
      </c>
    </row>
    <row r="472">
      <c r="A472" s="50" t="inlineStr">
        <is>
          <t>2014-12-01</t>
        </is>
      </c>
      <c r="B472" s="50" t="n">
        <v>1538.534</v>
      </c>
    </row>
    <row r="473">
      <c r="A473" s="50" t="inlineStr">
        <is>
          <t>2015-01-01</t>
        </is>
      </c>
      <c r="B473" s="50" t="n">
        <v>1178.448</v>
      </c>
    </row>
    <row r="474">
      <c r="A474" s="50" t="inlineStr">
        <is>
          <t>2015-02-01</t>
        </is>
      </c>
      <c r="B474" s="50" t="n">
        <v>1285.772</v>
      </c>
    </row>
    <row r="475">
      <c r="A475" s="50" t="inlineStr">
        <is>
          <t>2015-03-01</t>
        </is>
      </c>
      <c r="B475" s="50" t="n">
        <v>1580.393</v>
      </c>
    </row>
    <row r="476">
      <c r="A476" s="50" t="inlineStr">
        <is>
          <t>2015-04-01</t>
        </is>
      </c>
      <c r="B476" s="50" t="n">
        <v>1480.427</v>
      </c>
    </row>
    <row r="477">
      <c r="A477" s="50" t="inlineStr">
        <is>
          <t>2015-05-01</t>
        </is>
      </c>
      <c r="B477" s="50" t="n">
        <v>1669.661</v>
      </c>
    </row>
    <row r="478">
      <c r="A478" s="50" t="inlineStr">
        <is>
          <t>2015-06-01</t>
        </is>
      </c>
      <c r="B478" s="50" t="n">
        <v>1519.734</v>
      </c>
    </row>
    <row r="479">
      <c r="A479" s="50" t="inlineStr">
        <is>
          <t>2015-07-01</t>
        </is>
      </c>
      <c r="B479" s="50" t="n">
        <v>1547.741</v>
      </c>
    </row>
    <row r="480">
      <c r="A480" s="50" t="inlineStr">
        <is>
          <t>2015-08-01</t>
        </is>
      </c>
      <c r="B480" s="50" t="n">
        <v>1599.332</v>
      </c>
    </row>
    <row r="481">
      <c r="A481" s="50" t="inlineStr">
        <is>
          <t>2015-09-01</t>
        </is>
      </c>
      <c r="B481" s="50" t="n">
        <v>1476.009</v>
      </c>
    </row>
    <row r="482">
      <c r="A482" s="50" t="inlineStr">
        <is>
          <t>2015-10-01</t>
        </is>
      </c>
      <c r="B482" s="50" t="n">
        <v>1487.551</v>
      </c>
    </row>
    <row r="483">
      <c r="A483" s="50" t="inlineStr">
        <is>
          <t>2015-11-01</t>
        </is>
      </c>
      <c r="B483" s="50" t="n">
        <v>1359.864</v>
      </c>
    </row>
    <row r="484">
      <c r="A484" s="50" t="inlineStr">
        <is>
          <t>2015-12-01</t>
        </is>
      </c>
      <c r="B484" s="50" t="n">
        <v>1672.392</v>
      </c>
    </row>
    <row r="485">
      <c r="A485" s="50" t="inlineStr">
        <is>
          <t>2016-01-01</t>
        </is>
      </c>
      <c r="B485" s="50" t="n">
        <v>1189.3</v>
      </c>
    </row>
    <row r="486">
      <c r="A486" s="50" t="inlineStr">
        <is>
          <t>2016-02-01</t>
        </is>
      </c>
      <c r="B486" s="50" t="n">
        <v>1375</v>
      </c>
    </row>
    <row r="487">
      <c r="A487" s="50" t="inlineStr">
        <is>
          <t>2016-03-01</t>
        </is>
      </c>
      <c r="B487" s="50" t="n">
        <v>1615.066</v>
      </c>
    </row>
    <row r="488">
      <c r="A488" s="50" t="inlineStr">
        <is>
          <t>2016-04-01</t>
        </is>
      </c>
      <c r="B488" s="50" t="n">
        <v>1525.166</v>
      </c>
    </row>
    <row r="489">
      <c r="A489" s="50" t="inlineStr">
        <is>
          <t>2016-05-01</t>
        </is>
      </c>
      <c r="B489" s="50" t="n">
        <v>1553.604</v>
      </c>
    </row>
    <row r="490">
      <c r="A490" s="50" t="inlineStr">
        <is>
          <t>2016-06-01</t>
        </is>
      </c>
      <c r="B490" s="50" t="n">
        <v>1549.801</v>
      </c>
    </row>
    <row r="491">
      <c r="A491" s="50" t="inlineStr">
        <is>
          <t>2016-07-01</t>
        </is>
      </c>
      <c r="B491" s="50" t="n">
        <v>1547.629</v>
      </c>
    </row>
    <row r="492">
      <c r="A492" s="50" t="inlineStr">
        <is>
          <t>2016-08-01</t>
        </is>
      </c>
      <c r="B492" s="50" t="n">
        <v>1540.748</v>
      </c>
    </row>
    <row r="493">
      <c r="A493" s="50" t="inlineStr">
        <is>
          <t>2016-09-01</t>
        </is>
      </c>
      <c r="B493" s="50" t="n">
        <v>1463.25</v>
      </c>
    </row>
    <row r="494">
      <c r="A494" s="50" t="inlineStr">
        <is>
          <t>2016-10-01</t>
        </is>
      </c>
      <c r="B494" s="50" t="n">
        <v>1398.361</v>
      </c>
    </row>
    <row r="495">
      <c r="A495" s="50" t="inlineStr">
        <is>
          <t>2016-11-01</t>
        </is>
      </c>
      <c r="B495" s="50" t="n">
        <v>1400.755</v>
      </c>
    </row>
    <row r="496">
      <c r="A496" s="50" t="inlineStr">
        <is>
          <t>2016-12-01</t>
        </is>
      </c>
      <c r="B496" s="50" t="n">
        <v>1719.627</v>
      </c>
    </row>
    <row r="497">
      <c r="A497" s="50" t="inlineStr">
        <is>
          <t>2017-01-01</t>
        </is>
      </c>
      <c r="B497" s="50" t="n">
        <v>1165.212</v>
      </c>
    </row>
    <row r="498">
      <c r="A498" s="50" t="inlineStr">
        <is>
          <t>2017-02-01</t>
        </is>
      </c>
      <c r="B498" s="50" t="n">
        <v>1353.163</v>
      </c>
    </row>
    <row r="499">
      <c r="A499" s="50" t="inlineStr">
        <is>
          <t>2017-03-01</t>
        </is>
      </c>
      <c r="B499" s="50" t="n">
        <v>1583.986</v>
      </c>
    </row>
    <row r="500">
      <c r="A500" s="50" t="inlineStr">
        <is>
          <t>2017-04-01</t>
        </is>
      </c>
      <c r="B500" s="50" t="n">
        <v>1450.982</v>
      </c>
    </row>
    <row r="501">
      <c r="A501" s="50" t="inlineStr">
        <is>
          <t>2017-05-01</t>
        </is>
      </c>
      <c r="B501" s="50" t="n">
        <v>1545.127</v>
      </c>
    </row>
    <row r="502">
      <c r="A502" s="50" t="inlineStr">
        <is>
          <t>2017-06-01</t>
        </is>
      </c>
      <c r="B502" s="50" t="n">
        <v>1503.708</v>
      </c>
    </row>
    <row r="503">
      <c r="A503" s="50" t="inlineStr">
        <is>
          <t>2017-07-01</t>
        </is>
      </c>
      <c r="B503" s="50" t="n">
        <v>1442.074</v>
      </c>
    </row>
    <row r="504">
      <c r="A504" s="50" t="inlineStr">
        <is>
          <t>2017-08-01</t>
        </is>
      </c>
      <c r="B504" s="50" t="n">
        <v>1513.174</v>
      </c>
    </row>
    <row r="505">
      <c r="A505" s="50" t="inlineStr">
        <is>
          <t>2017-09-01</t>
        </is>
      </c>
      <c r="B505" s="50" t="n">
        <v>1554.253</v>
      </c>
    </row>
    <row r="506">
      <c r="A506" s="50" t="inlineStr">
        <is>
          <t>2017-10-01</t>
        </is>
      </c>
      <c r="B506" s="50" t="n">
        <v>1386.79</v>
      </c>
    </row>
    <row r="507">
      <c r="A507" s="50" t="inlineStr">
        <is>
          <t>2017-11-01</t>
        </is>
      </c>
      <c r="B507" s="50" t="n">
        <v>1425.669</v>
      </c>
    </row>
    <row r="508">
      <c r="A508" s="50" t="inlineStr">
        <is>
          <t>2017-12-01</t>
        </is>
      </c>
      <c r="B508" s="50" t="n">
        <v>1640.989</v>
      </c>
    </row>
    <row r="509">
      <c r="A509" s="50" t="inlineStr">
        <is>
          <t>2018-01-01</t>
        </is>
      </c>
      <c r="B509" s="50" t="n">
        <v>1182.612</v>
      </c>
    </row>
    <row r="510">
      <c r="A510" s="50" t="inlineStr">
        <is>
          <t>2018-02-01</t>
        </is>
      </c>
      <c r="B510" s="50" t="n">
        <v>1329.071</v>
      </c>
    </row>
    <row r="511">
      <c r="A511" s="50" t="inlineStr">
        <is>
          <t>2018-03-01</t>
        </is>
      </c>
      <c r="B511" s="50" t="n">
        <v>1688.494</v>
      </c>
    </row>
    <row r="512">
      <c r="A512" s="50" t="inlineStr">
        <is>
          <t>2018-04-01</t>
        </is>
      </c>
      <c r="B512" s="50" t="n">
        <v>1392.164</v>
      </c>
    </row>
    <row r="513">
      <c r="A513" s="50" t="inlineStr">
        <is>
          <t>2018-05-01</t>
        </is>
      </c>
      <c r="B513" s="50" t="n">
        <v>1627.509</v>
      </c>
    </row>
    <row r="514">
      <c r="A514" s="50" t="inlineStr">
        <is>
          <t>2018-06-01</t>
        </is>
      </c>
      <c r="B514" s="50" t="n">
        <v>1587.643</v>
      </c>
    </row>
    <row r="515">
      <c r="A515" s="50" t="inlineStr">
        <is>
          <t>2018-07-01</t>
        </is>
      </c>
      <c r="B515" s="50" t="n">
        <v>1404.041</v>
      </c>
    </row>
    <row r="516">
      <c r="A516" s="50" t="inlineStr">
        <is>
          <t>2018-08-01</t>
        </is>
      </c>
      <c r="B516" s="50" t="n">
        <v>1528.37</v>
      </c>
    </row>
    <row r="517">
      <c r="A517" s="50" t="inlineStr">
        <is>
          <t>2018-09-01</t>
        </is>
      </c>
      <c r="B517" s="50" t="n">
        <v>1475.854</v>
      </c>
    </row>
    <row r="518">
      <c r="A518" s="50" t="inlineStr">
        <is>
          <t>2018-10-01</t>
        </is>
      </c>
      <c r="B518" s="50" t="n">
        <v>1406.915</v>
      </c>
    </row>
    <row r="519">
      <c r="A519" s="50" t="inlineStr">
        <is>
          <t>2018-11-01</t>
        </is>
      </c>
      <c r="B519" s="50" t="n">
        <v>1423.054</v>
      </c>
    </row>
    <row r="520">
      <c r="A520" s="50" t="inlineStr">
        <is>
          <t>2018-12-01</t>
        </is>
      </c>
      <c r="B520" s="50" t="n">
        <v>1667.077</v>
      </c>
    </row>
    <row r="521">
      <c r="A521" s="50" t="inlineStr">
        <is>
          <t>2019-01-01</t>
        </is>
      </c>
      <c r="B521" s="50" t="n">
        <v>1172.004</v>
      </c>
    </row>
    <row r="522">
      <c r="A522" s="50" t="inlineStr">
        <is>
          <t>2019-02-01</t>
        </is>
      </c>
      <c r="B522" s="50" t="n">
        <v>1288.921</v>
      </c>
    </row>
    <row r="523">
      <c r="A523" s="50" t="inlineStr">
        <is>
          <t>2019-03-01</t>
        </is>
      </c>
      <c r="B523" s="50" t="n">
        <v>1643.423</v>
      </c>
    </row>
    <row r="524">
      <c r="A524" s="50" t="inlineStr">
        <is>
          <t>2019-04-01</t>
        </is>
      </c>
      <c r="B524" s="50" t="n">
        <v>1373.379</v>
      </c>
    </row>
    <row r="525">
      <c r="A525" s="50" t="inlineStr">
        <is>
          <t>2019-05-01</t>
        </is>
      </c>
      <c r="B525" s="50" t="n">
        <v>1628.757</v>
      </c>
    </row>
    <row r="526">
      <c r="A526" s="50" t="inlineStr">
        <is>
          <t>2019-06-01</t>
        </is>
      </c>
      <c r="B526" s="50" t="n">
        <v>1555.493</v>
      </c>
    </row>
    <row r="527">
      <c r="A527" s="50" t="inlineStr">
        <is>
          <t>2019-07-01</t>
        </is>
      </c>
      <c r="B527" s="50" t="n">
        <v>1444.447</v>
      </c>
    </row>
    <row r="528">
      <c r="A528" s="50" t="inlineStr">
        <is>
          <t>2019-08-01</t>
        </is>
      </c>
      <c r="B528" s="50" t="n">
        <v>1685.949</v>
      </c>
    </row>
    <row r="529">
      <c r="A529" s="50" t="inlineStr">
        <is>
          <t>2019-09-01</t>
        </is>
      </c>
      <c r="B529" s="50" t="n">
        <v>1316.202</v>
      </c>
    </row>
    <row r="530">
      <c r="A530" s="50" t="inlineStr">
        <is>
          <t>2019-10-01</t>
        </is>
      </c>
      <c r="B530" s="50" t="n">
        <v>1381.028</v>
      </c>
    </row>
    <row r="531">
      <c r="A531" s="50" t="inlineStr">
        <is>
          <t>2019-11-01</t>
        </is>
      </c>
      <c r="B531" s="50" t="n">
        <v>1439.322</v>
      </c>
    </row>
    <row r="532">
      <c r="A532" s="50" t="inlineStr">
        <is>
          <t>2019-12-01</t>
        </is>
      </c>
      <c r="B532" s="50" t="n">
        <v>1559.229</v>
      </c>
    </row>
    <row r="533">
      <c r="A533" s="50" t="inlineStr">
        <is>
          <t>2020-01-01</t>
        </is>
      </c>
      <c r="B533" s="50" t="n">
        <v>1168.457</v>
      </c>
    </row>
    <row r="534">
      <c r="A534" s="50" t="inlineStr">
        <is>
          <t>2020-02-01</t>
        </is>
      </c>
      <c r="B534" s="50" t="n">
        <v>1383.714</v>
      </c>
    </row>
    <row r="535">
      <c r="A535" s="50" t="inlineStr">
        <is>
          <t>2020-03-01</t>
        </is>
      </c>
      <c r="B535" s="50" t="n">
        <v>1023.317</v>
      </c>
    </row>
    <row r="536">
      <c r="A536" s="50" t="inlineStr">
        <is>
          <t>2020-04-01</t>
        </is>
      </c>
      <c r="B536" s="50" t="n">
        <v>743.276</v>
      </c>
    </row>
    <row r="537">
      <c r="A537" s="50" t="inlineStr">
        <is>
          <t>2020-05-01</t>
        </is>
      </c>
      <c r="B537" s="50" t="n">
        <v>1142.705</v>
      </c>
    </row>
    <row r="538">
      <c r="A538" s="50" t="inlineStr">
        <is>
          <t>2020-06-01</t>
        </is>
      </c>
      <c r="B538" s="50" t="n">
        <v>1131.39</v>
      </c>
    </row>
    <row r="539">
      <c r="A539" s="50" t="inlineStr">
        <is>
          <t>2020-07-01</t>
        </is>
      </c>
      <c r="B539" s="50" t="n">
        <v>1268.455</v>
      </c>
    </row>
    <row r="540">
      <c r="A540" s="50" t="inlineStr">
        <is>
          <t>2020-08-01</t>
        </is>
      </c>
      <c r="B540" s="50" t="n">
        <v>1354.397</v>
      </c>
    </row>
    <row r="541">
      <c r="A541" s="50" t="inlineStr">
        <is>
          <t>2020-09-01</t>
        </is>
      </c>
      <c r="B541" s="50" t="n">
        <v>1379.676</v>
      </c>
    </row>
    <row r="542">
      <c r="A542" s="50" t="inlineStr">
        <is>
          <t>2020-10-01</t>
        </is>
      </c>
      <c r="B542" s="50" t="n">
        <v>1399.305</v>
      </c>
    </row>
    <row r="543">
      <c r="A543" s="50" t="inlineStr">
        <is>
          <t>2020-11-01</t>
        </is>
      </c>
      <c r="B543" s="50" t="n">
        <v>1235.258</v>
      </c>
    </row>
    <row r="544">
      <c r="A544" s="50" t="inlineStr">
        <is>
          <t>2020-12-01</t>
        </is>
      </c>
      <c r="B544" s="50" t="n">
        <v>1651.406</v>
      </c>
    </row>
    <row r="545">
      <c r="A545" s="50" t="inlineStr">
        <is>
          <t>2021-01-01</t>
        </is>
      </c>
      <c r="B545" s="50" t="n">
        <v>1141.709</v>
      </c>
    </row>
    <row r="546">
      <c r="A546" s="50" t="inlineStr">
        <is>
          <t>2021-02-01</t>
        </is>
      </c>
      <c r="B546" s="50" t="n">
        <v>1226.714</v>
      </c>
    </row>
    <row r="547">
      <c r="A547" s="50" t="inlineStr">
        <is>
          <t>2021-03-01</t>
        </is>
      </c>
      <c r="B547" s="50" t="n">
        <v>1642.749</v>
      </c>
    </row>
    <row r="548">
      <c r="A548" s="50" t="inlineStr">
        <is>
          <t>2021-04-01</t>
        </is>
      </c>
      <c r="B548" s="50" t="n">
        <v>1557.152</v>
      </c>
    </row>
    <row r="549">
      <c r="A549" s="50" t="inlineStr">
        <is>
          <t>2021-05-01</t>
        </is>
      </c>
      <c r="B549" s="50" t="n">
        <v>1608.628</v>
      </c>
    </row>
    <row r="550">
      <c r="A550" s="50" t="inlineStr">
        <is>
          <t>2021-06-01</t>
        </is>
      </c>
      <c r="B550" s="50" t="n">
        <v>1342.999</v>
      </c>
    </row>
    <row r="551">
      <c r="A551" s="50" t="inlineStr">
        <is>
          <t>2021-07-01</t>
        </is>
      </c>
      <c r="B551" s="50" t="n">
        <v>1316.697</v>
      </c>
    </row>
    <row r="552">
      <c r="A552" s="50" t="inlineStr">
        <is>
          <t>2021-08-01</t>
        </is>
      </c>
      <c r="B552" s="50" t="n">
        <v>1128.965</v>
      </c>
    </row>
    <row r="553">
      <c r="A553" s="50" t="inlineStr">
        <is>
          <t>2021-09-01</t>
        </is>
      </c>
      <c r="B553" s="50" t="n">
        <v>1052.965</v>
      </c>
    </row>
    <row r="554">
      <c r="A554" s="50" t="inlineStr">
        <is>
          <t>2021-10-01</t>
        </is>
      </c>
      <c r="B554" s="50" t="n">
        <v>1089.348</v>
      </c>
    </row>
    <row r="555">
      <c r="A555" s="50" t="inlineStr">
        <is>
          <t>2021-11-01</t>
        </is>
      </c>
      <c r="B555" s="50" t="n">
        <v>1049.604</v>
      </c>
    </row>
    <row r="556">
      <c r="A556" s="50" t="inlineStr">
        <is>
          <t>2021-12-01</t>
        </is>
      </c>
      <c r="B556" s="50" t="n">
        <v>1250.985</v>
      </c>
    </row>
    <row r="557">
      <c r="A557" s="50" t="inlineStr">
        <is>
          <t>2022-01-01</t>
        </is>
      </c>
      <c r="B557" s="50" t="n">
        <v>1022.334</v>
      </c>
    </row>
    <row r="558">
      <c r="A558" s="50" t="inlineStr">
        <is>
          <t>2022-02-01</t>
        </is>
      </c>
      <c r="B558" s="50" t="n">
        <v>1077.808</v>
      </c>
    </row>
    <row r="559">
      <c r="A559" s="50" t="inlineStr">
        <is>
          <t>2022-03-01</t>
        </is>
      </c>
      <c r="B559" s="50" t="n">
        <v>1299.226</v>
      </c>
    </row>
    <row r="560">
      <c r="A560" s="50" t="inlineStr">
        <is>
          <t>2022-04-01</t>
        </is>
      </c>
      <c r="B560" s="50" t="n">
        <v>1271.888</v>
      </c>
    </row>
    <row r="561">
      <c r="A561" s="50" t="inlineStr">
        <is>
          <t>2022-05-01</t>
        </is>
      </c>
      <c r="B561" s="50" t="n">
        <v>1145.623</v>
      </c>
    </row>
    <row r="562">
      <c r="A562" s="50" t="inlineStr">
        <is>
          <t>2022-06-01</t>
        </is>
      </c>
      <c r="B562" s="50" t="n">
        <v>1184.437</v>
      </c>
    </row>
    <row r="563">
      <c r="A563" s="50" t="inlineStr">
        <is>
          <t>2022-07-01</t>
        </is>
      </c>
      <c r="B563" s="50" t="n">
        <v>1164.691</v>
      </c>
    </row>
    <row r="564">
      <c r="A564" s="50" t="inlineStr">
        <is>
          <t>2022-08-01</t>
        </is>
      </c>
      <c r="B564" s="50" t="n">
        <v>1178.066</v>
      </c>
    </row>
    <row r="565">
      <c r="A565" s="50" t="inlineStr">
        <is>
          <t>2022-09-01</t>
        </is>
      </c>
      <c r="B565" s="50" t="n">
        <v>1166.015</v>
      </c>
    </row>
    <row r="566">
      <c r="A566" s="50" t="inlineStr">
        <is>
          <t>2022-10-01</t>
        </is>
      </c>
      <c r="B566" s="50" t="n">
        <v>1224.679</v>
      </c>
    </row>
    <row r="567">
      <c r="A567" s="50" t="inlineStr">
        <is>
          <t>2022-11-01</t>
        </is>
      </c>
      <c r="B567" s="50" t="n">
        <v>1176.556</v>
      </c>
    </row>
    <row r="568">
      <c r="A568" s="50" t="inlineStr">
        <is>
          <t>2022-12-01</t>
        </is>
      </c>
      <c r="B568" s="50" t="n">
        <v>1319.001</v>
      </c>
    </row>
    <row r="569">
      <c r="A569" s="50" t="inlineStr">
        <is>
          <t>2023-01-01</t>
        </is>
      </c>
      <c r="B569" s="50" t="n">
        <v>1083.376</v>
      </c>
    </row>
    <row r="570">
      <c r="A570" s="50" t="inlineStr">
        <is>
          <t>2023-02-01</t>
        </is>
      </c>
      <c r="B570" s="50" t="n">
        <v>1175.628</v>
      </c>
    </row>
    <row r="571">
      <c r="A571" s="50" t="inlineStr">
        <is>
          <t>2023-03-01</t>
        </is>
      </c>
      <c r="B571" s="50" t="n">
        <v>1419.662</v>
      </c>
    </row>
    <row r="572">
      <c r="A572" s="50" t="inlineStr">
        <is>
          <t>2023-04-01</t>
        </is>
      </c>
      <c r="B572" s="50" t="n">
        <v>1399.712</v>
      </c>
    </row>
    <row r="573">
      <c r="A573" s="50" t="inlineStr">
        <is>
          <t>2023-05-01</t>
        </is>
      </c>
      <c r="B573" s="50" t="n">
        <v>1409.601</v>
      </c>
    </row>
    <row r="574">
      <c r="A574" s="50" t="inlineStr">
        <is>
          <t>2023-06-01</t>
        </is>
      </c>
      <c r="B574" s="50" t="n">
        <v>1415.002</v>
      </c>
    </row>
    <row r="575">
      <c r="A575" s="50" t="inlineStr">
        <is>
          <t>2023-07-01</t>
        </is>
      </c>
      <c r="B575" s="50" t="n">
        <v>1339.904</v>
      </c>
    </row>
    <row r="576">
      <c r="A576" s="50" t="inlineStr">
        <is>
          <t>2023-08-01</t>
        </is>
      </c>
      <c r="B576" s="50" t="n">
        <v>1364.968</v>
      </c>
    </row>
    <row r="577">
      <c r="A577" s="50" t="inlineStr">
        <is>
          <t>2023-09-01</t>
        </is>
      </c>
      <c r="B577" s="50" t="n">
        <v>1383.381</v>
      </c>
    </row>
    <row r="578">
      <c r="A578" s="50" t="inlineStr">
        <is>
          <t>2023-10-01</t>
        </is>
      </c>
      <c r="B578" s="50" t="n">
        <v>1239.497</v>
      </c>
    </row>
    <row r="579">
      <c r="A579" s="50" t="inlineStr">
        <is>
          <t>2023-11-01</t>
        </is>
      </c>
      <c r="B579" s="50" t="n">
        <v>1273.488</v>
      </c>
    </row>
    <row r="580">
      <c r="A580" s="50" t="inlineStr">
        <is>
          <t>2023-12-01</t>
        </is>
      </c>
      <c r="B580" s="50" t="n">
        <v>1505.049</v>
      </c>
    </row>
    <row r="581">
      <c r="A581" s="50" t="inlineStr">
        <is>
          <t>2024-01-01</t>
        </is>
      </c>
      <c r="B581" s="50" t="n">
        <v>1106.813</v>
      </c>
    </row>
    <row r="582">
      <c r="A582" s="50" t="inlineStr">
        <is>
          <t>2024-02-01</t>
        </is>
      </c>
      <c r="B582" s="50" t="n">
        <v>1265.044</v>
      </c>
    </row>
    <row r="583">
      <c r="A583" s="50" t="inlineStr">
        <is>
          <t>2024-03-01</t>
        </is>
      </c>
      <c r="B583" s="50" t="n">
        <v>1471.038</v>
      </c>
    </row>
    <row r="584">
      <c r="A584" s="50" t="inlineStr">
        <is>
          <t>2024-04-01</t>
        </is>
      </c>
      <c r="B584" s="50" t="n">
        <v>1359.238</v>
      </c>
    </row>
    <row r="585">
      <c r="A585" s="50" t="inlineStr">
        <is>
          <t>2024-05-01</t>
        </is>
      </c>
      <c r="B585" s="50" t="n">
        <v>1472.636</v>
      </c>
    </row>
    <row r="586">
      <c r="A586" s="50" t="inlineStr">
        <is>
          <t>2024-06-01</t>
        </is>
      </c>
      <c r="B586" s="50" t="n">
        <v>1348.41</v>
      </c>
    </row>
    <row r="587">
      <c r="A587" s="50" t="inlineStr">
        <is>
          <t>2024-07-01</t>
        </is>
      </c>
      <c r="B587" s="50" t="n">
        <v>1328.935</v>
      </c>
    </row>
    <row r="588">
      <c r="A588" s="50" t="inlineStr">
        <is>
          <t>2024-08-01</t>
        </is>
      </c>
      <c r="B588" s="50" t="n">
        <v>1457.159</v>
      </c>
    </row>
    <row r="589">
      <c r="A589" s="50" t="inlineStr">
        <is>
          <t>2024-09-01</t>
        </is>
      </c>
      <c r="B589" s="50" t="n">
        <v>1213.436</v>
      </c>
    </row>
    <row r="590">
      <c r="A590" s="50" t="inlineStr">
        <is>
          <t>2024-10-01</t>
        </is>
      </c>
      <c r="B590" s="50" t="n">
        <v>1368.031</v>
      </c>
    </row>
    <row r="591">
      <c r="A591" s="50" t="inlineStr">
        <is>
          <t>2024-11-01</t>
        </is>
      </c>
      <c r="B591" s="50" t="n">
        <v>1403.806</v>
      </c>
    </row>
    <row r="592">
      <c r="A592" s="50" t="inlineStr">
        <is>
          <t>2024-12-01</t>
        </is>
      </c>
      <c r="B592" s="50" t="n">
        <v>1538.926</v>
      </c>
    </row>
    <row r="593">
      <c r="A593" s="50" t="inlineStr">
        <is>
          <t>2025-01-01</t>
        </is>
      </c>
      <c r="B593" s="50" t="n">
        <v>1141.587</v>
      </c>
    </row>
    <row r="594">
      <c r="A594" s="50" t="inlineStr">
        <is>
          <t>2025-02-01</t>
        </is>
      </c>
      <c r="B594" s="50" t="n">
        <v>1246.616</v>
      </c>
    </row>
    <row r="595">
      <c r="A595" s="50" t="inlineStr">
        <is>
          <t>2025-03-01</t>
        </is>
      </c>
      <c r="B595" s="50" t="n">
        <v>1631.637</v>
      </c>
    </row>
    <row r="596">
      <c r="A596" s="50" t="inlineStr">
        <is>
          <t>2025-04-01</t>
        </is>
      </c>
      <c r="B596" s="50" t="n">
        <v>1500.439</v>
      </c>
    </row>
    <row r="597">
      <c r="A597" s="50" t="inlineStr">
        <is>
          <t>2025-05-01</t>
        </is>
      </c>
      <c r="B597" s="50" t="n">
        <v>1498.362</v>
      </c>
    </row>
    <row r="598">
      <c r="A598" s="50" t="inlineStr">
        <is>
          <t>2025-06-01</t>
        </is>
      </c>
      <c r="B598" s="50" t="n">
        <v>1310.649</v>
      </c>
    </row>
    <row r="599">
      <c r="A599" s="50" t="inlineStr">
        <is>
          <t>2025-07-01</t>
        </is>
      </c>
      <c r="B599" s="50" t="n">
        <v>1425.72</v>
      </c>
    </row>
    <row r="600">
      <c r="A600" s="50" t="inlineStr">
        <is>
          <t>2025-08-01</t>
        </is>
      </c>
      <c r="B600" s="50" t="n">
        <v>1500.357</v>
      </c>
    </row>
    <row r="601">
      <c r="A601" s="50" t="inlineStr">
        <is>
          <t>2025-09-01</t>
        </is>
      </c>
      <c r="B601" s="50" t="n">
        <v>1299.164</v>
      </c>
    </row>
    <row r="602">
      <c r="A602" s="50" t="inlineStr">
        <is>
          <t>2025-10-01</t>
        </is>
      </c>
      <c r="B602" s="50" t="n">
        <v>1316.87</v>
      </c>
    </row>
    <row r="603">
      <c r="A603" s="50" t="inlineStr">
        <is>
          <t>2025-11-01</t>
        </is>
      </c>
      <c r="B603" s="50" t="n">
        <v>1305.179</v>
      </c>
    </row>
    <row r="604">
      <c r="A604" s="50" t="inlineStr">
        <is>
          <t>2025-12-01</t>
        </is>
      </c>
      <c r="B604" s="50" t="n">
        <v>1498.908</v>
      </c>
    </row>
    <row r="605">
      <c r="A605" s="50" t="inlineStr">
        <is>
          <t>2026-01-01</t>
        </is>
      </c>
      <c r="B605" s="50" t="n">
        <v>1116.698</v>
      </c>
    </row>
    <row r="606">
      <c r="A606" s="50" t="inlineStr">
        <is>
          <t>2026-02-01</t>
        </is>
      </c>
      <c r="B606" s="50" t="n">
        <v>1206.276</v>
      </c>
    </row>
    <row r="607">
      <c r="A607" s="50" t="inlineStr">
        <is>
          <t>2026-03-01</t>
        </is>
      </c>
      <c r="B607" s="50" t="n">
        <v>1430.895</v>
      </c>
    </row>
    <row r="608">
      <c r="A608" s="50" t="inlineStr">
        <is>
          <t>2026-04-01</t>
        </is>
      </c>
      <c r="B608" s="50" t="n">
        <v>1421.88</v>
      </c>
    </row>
    <row r="609">
      <c r="A609" s="50" t="inlineStr">
        <is>
          <t>2026-05-01</t>
        </is>
      </c>
      <c r="B609" s="50" t="n">
        <v>1522.64</v>
      </c>
    </row>
    <row r="610">
      <c r="A610" s="50" t="inlineStr">
        <is>
          <t>2026-06-01</t>
        </is>
      </c>
      <c r="B610" s="50" t="n">
        <v>1422.911</v>
      </c>
    </row>
    <row r="611">
      <c r="A611" s="50" t="inlineStr">
        <is>
          <t>2026-07-01</t>
        </is>
      </c>
      <c r="B611" s="50" t="n">
        <v>1400.974</v>
      </c>
    </row>
    <row r="612">
      <c r="A612" s="50" t="inlineStr">
        <is>
          <t>2026-08-01</t>
        </is>
      </c>
      <c r="B612" s="50" t="n">
        <v>1417.208</v>
      </c>
    </row>
  </sheetData>
  <mergeCells count="1">
    <mergeCell ref="A2:F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612"/>
  <sheetViews>
    <sheetView workbookViewId="0">
      <pane ySplit="4" topLeftCell="A5" activePane="bottomLeft" state="frozen"/>
      <selection pane="bottomLeft" activeCell="A1" sqref="A1"/>
    </sheetView>
  </sheetViews>
  <sheetFormatPr baseColWidth="8" defaultRowHeight="15"/>
  <cols>
    <col width="18" customWidth="1" min="1" max="1"/>
    <col width="11" customWidth="1" min="2" max="2"/>
  </cols>
  <sheetData>
    <row r="1">
      <c r="A1" s="1" t="inlineStr">
        <is>
          <t>fred_LTRUCKNSA.csv</t>
        </is>
      </c>
    </row>
    <row r="2" ht="42" customHeight="1">
      <c r="A2" s="6" t="inlineStr">
        <is>
          <t>FRED LTRUCKNSA: light weight vehicle sales, light trucks, thousands of units, monthly NSA (BEA). Fetched 2026-09-14.</t>
        </is>
      </c>
    </row>
    <row r="3">
      <c r="A3" s="2" t="inlineStr">
        <is>
          <t>data/csv/fred_LTRUCKNSA.csv · 608 rows · BLUE = raw data as committed; do not type over it — edit the CSV and rebuild.</t>
        </is>
      </c>
    </row>
    <row r="4">
      <c r="A4" s="7" t="inlineStr">
        <is>
          <t>observation_date</t>
        </is>
      </c>
      <c r="B4" s="7" t="inlineStr">
        <is>
          <t>LTRUCKNSA</t>
        </is>
      </c>
    </row>
    <row r="5">
      <c r="A5" s="50" t="inlineStr">
        <is>
          <t>1976-01-01</t>
        </is>
      </c>
      <c r="B5" s="50" t="n">
        <v>193.6</v>
      </c>
    </row>
    <row r="6">
      <c r="A6" s="50" t="inlineStr">
        <is>
          <t>1976-02-01</t>
        </is>
      </c>
      <c r="B6" s="50" t="n">
        <v>225.6</v>
      </c>
    </row>
    <row r="7">
      <c r="A7" s="50" t="inlineStr">
        <is>
          <t>1976-03-01</t>
        </is>
      </c>
      <c r="B7" s="50" t="n">
        <v>281</v>
      </c>
    </row>
    <row r="8">
      <c r="A8" s="50" t="inlineStr">
        <is>
          <t>1976-04-01</t>
        </is>
      </c>
      <c r="B8" s="50" t="n">
        <v>260.5</v>
      </c>
    </row>
    <row r="9">
      <c r="A9" s="50" t="inlineStr">
        <is>
          <t>1976-05-01</t>
        </is>
      </c>
      <c r="B9" s="50" t="n">
        <v>266.1</v>
      </c>
    </row>
    <row r="10">
      <c r="A10" s="50" t="inlineStr">
        <is>
          <t>1976-06-01</t>
        </is>
      </c>
      <c r="B10" s="50" t="n">
        <v>280.7</v>
      </c>
    </row>
    <row r="11">
      <c r="A11" s="50" t="inlineStr">
        <is>
          <t>1976-07-01</t>
        </is>
      </c>
      <c r="B11" s="50" t="n">
        <v>275.5</v>
      </c>
    </row>
    <row r="12">
      <c r="A12" s="50" t="inlineStr">
        <is>
          <t>1976-08-01</t>
        </is>
      </c>
      <c r="B12" s="50" t="n">
        <v>241.8</v>
      </c>
    </row>
    <row r="13">
      <c r="A13" s="50" t="inlineStr">
        <is>
          <t>1976-09-01</t>
        </is>
      </c>
      <c r="B13" s="50" t="n">
        <v>240.3</v>
      </c>
    </row>
    <row r="14">
      <c r="A14" s="50" t="inlineStr">
        <is>
          <t>1976-10-01</t>
        </is>
      </c>
      <c r="B14" s="50" t="n">
        <v>243.3</v>
      </c>
    </row>
    <row r="15">
      <c r="A15" s="50" t="inlineStr">
        <is>
          <t>1976-11-01</t>
        </is>
      </c>
      <c r="B15" s="50" t="n">
        <v>229.7</v>
      </c>
    </row>
    <row r="16">
      <c r="A16" s="50" t="inlineStr">
        <is>
          <t>1976-12-01</t>
        </is>
      </c>
      <c r="B16" s="50" t="n">
        <v>237.7</v>
      </c>
    </row>
    <row r="17">
      <c r="A17" s="50" t="inlineStr">
        <is>
          <t>1977-01-01</t>
        </is>
      </c>
      <c r="B17" s="50" t="n">
        <v>228.8</v>
      </c>
    </row>
    <row r="18">
      <c r="A18" s="50" t="inlineStr">
        <is>
          <t>1977-02-01</t>
        </is>
      </c>
      <c r="B18" s="50" t="n">
        <v>266.4</v>
      </c>
    </row>
    <row r="19">
      <c r="A19" s="50" t="inlineStr">
        <is>
          <t>1977-03-01</t>
        </is>
      </c>
      <c r="B19" s="50" t="n">
        <v>345</v>
      </c>
    </row>
    <row r="20">
      <c r="A20" s="50" t="inlineStr">
        <is>
          <t>1977-04-01</t>
        </is>
      </c>
      <c r="B20" s="50" t="n">
        <v>304</v>
      </c>
    </row>
    <row r="21">
      <c r="A21" s="50" t="inlineStr">
        <is>
          <t>1977-05-01</t>
        </is>
      </c>
      <c r="B21" s="50" t="n">
        <v>303.2</v>
      </c>
    </row>
    <row r="22">
      <c r="A22" s="50" t="inlineStr">
        <is>
          <t>1977-06-01</t>
        </is>
      </c>
      <c r="B22" s="50" t="n">
        <v>320.3</v>
      </c>
    </row>
    <row r="23">
      <c r="A23" s="50" t="inlineStr">
        <is>
          <t>1977-07-01</t>
        </is>
      </c>
      <c r="B23" s="50" t="n">
        <v>269.5</v>
      </c>
    </row>
    <row r="24">
      <c r="A24" s="50" t="inlineStr">
        <is>
          <t>1977-08-01</t>
        </is>
      </c>
      <c r="B24" s="50" t="n">
        <v>281.7</v>
      </c>
    </row>
    <row r="25">
      <c r="A25" s="50" t="inlineStr">
        <is>
          <t>1977-09-01</t>
        </is>
      </c>
      <c r="B25" s="50" t="n">
        <v>255.9</v>
      </c>
    </row>
    <row r="26">
      <c r="A26" s="50" t="inlineStr">
        <is>
          <t>1977-10-01</t>
        </is>
      </c>
      <c r="B26" s="50" t="n">
        <v>303.3</v>
      </c>
    </row>
    <row r="27">
      <c r="A27" s="50" t="inlineStr">
        <is>
          <t>1977-11-01</t>
        </is>
      </c>
      <c r="B27" s="50" t="n">
        <v>283.4</v>
      </c>
    </row>
    <row r="28">
      <c r="A28" s="50" t="inlineStr">
        <is>
          <t>1977-12-01</t>
        </is>
      </c>
      <c r="B28" s="50" t="n">
        <v>274.4</v>
      </c>
    </row>
    <row r="29">
      <c r="A29" s="50" t="inlineStr">
        <is>
          <t>1978-01-01</t>
        </is>
      </c>
      <c r="B29" s="50" t="n">
        <v>226.6</v>
      </c>
    </row>
    <row r="30">
      <c r="A30" s="50" t="inlineStr">
        <is>
          <t>1978-02-01</t>
        </is>
      </c>
      <c r="B30" s="50" t="n">
        <v>274.8</v>
      </c>
    </row>
    <row r="31">
      <c r="A31" s="50" t="inlineStr">
        <is>
          <t>1978-03-01</t>
        </is>
      </c>
      <c r="B31" s="50" t="n">
        <v>372.6</v>
      </c>
    </row>
    <row r="32">
      <c r="A32" s="50" t="inlineStr">
        <is>
          <t>1978-04-01</t>
        </is>
      </c>
      <c r="B32" s="50" t="n">
        <v>339.6</v>
      </c>
    </row>
    <row r="33">
      <c r="A33" s="50" t="inlineStr">
        <is>
          <t>1978-05-01</t>
        </is>
      </c>
      <c r="B33" s="50" t="n">
        <v>373.1</v>
      </c>
    </row>
    <row r="34">
      <c r="A34" s="50" t="inlineStr">
        <is>
          <t>1978-06-01</t>
        </is>
      </c>
      <c r="B34" s="50" t="n">
        <v>386.3</v>
      </c>
    </row>
    <row r="35">
      <c r="A35" s="50" t="inlineStr">
        <is>
          <t>1978-07-01</t>
        </is>
      </c>
      <c r="B35" s="50" t="n">
        <v>335</v>
      </c>
    </row>
    <row r="36">
      <c r="A36" s="50" t="inlineStr">
        <is>
          <t>1978-08-01</t>
        </is>
      </c>
      <c r="B36" s="50" t="n">
        <v>339.3</v>
      </c>
    </row>
    <row r="37">
      <c r="A37" s="50" t="inlineStr">
        <is>
          <t>1978-09-01</t>
        </is>
      </c>
      <c r="B37" s="50" t="n">
        <v>247.7</v>
      </c>
    </row>
    <row r="38">
      <c r="A38" s="50" t="inlineStr">
        <is>
          <t>1978-10-01</t>
        </is>
      </c>
      <c r="B38" s="50" t="n">
        <v>332.8</v>
      </c>
    </row>
    <row r="39">
      <c r="A39" s="50" t="inlineStr">
        <is>
          <t>1978-11-01</t>
        </is>
      </c>
      <c r="B39" s="50" t="n">
        <v>318</v>
      </c>
    </row>
    <row r="40">
      <c r="A40" s="50" t="inlineStr">
        <is>
          <t>1978-12-01</t>
        </is>
      </c>
      <c r="B40" s="50" t="n">
        <v>271.2</v>
      </c>
    </row>
    <row r="41">
      <c r="A41" s="50" t="inlineStr">
        <is>
          <t>1979-01-01</t>
        </is>
      </c>
      <c r="B41" s="50" t="n">
        <v>272.2</v>
      </c>
    </row>
    <row r="42">
      <c r="A42" s="50" t="inlineStr">
        <is>
          <t>1979-02-01</t>
        </is>
      </c>
      <c r="B42" s="50" t="n">
        <v>283.7</v>
      </c>
    </row>
    <row r="43">
      <c r="A43" s="50" t="inlineStr">
        <is>
          <t>1979-03-01</t>
        </is>
      </c>
      <c r="B43" s="50" t="n">
        <v>338.1</v>
      </c>
    </row>
    <row r="44">
      <c r="A44" s="50" t="inlineStr">
        <is>
          <t>1979-04-01</t>
        </is>
      </c>
      <c r="B44" s="50" t="n">
        <v>290.1</v>
      </c>
    </row>
    <row r="45">
      <c r="A45" s="50" t="inlineStr">
        <is>
          <t>1979-05-01</t>
        </is>
      </c>
      <c r="B45" s="50" t="n">
        <v>294.7</v>
      </c>
    </row>
    <row r="46">
      <c r="A46" s="50" t="inlineStr">
        <is>
          <t>1979-06-01</t>
        </is>
      </c>
      <c r="B46" s="50" t="n">
        <v>255.3</v>
      </c>
    </row>
    <row r="47">
      <c r="A47" s="50" t="inlineStr">
        <is>
          <t>1979-07-01</t>
        </is>
      </c>
      <c r="B47" s="50" t="n">
        <v>251.4</v>
      </c>
    </row>
    <row r="48">
      <c r="A48" s="50" t="inlineStr">
        <is>
          <t>1979-08-01</t>
        </is>
      </c>
      <c r="B48" s="50" t="n">
        <v>268</v>
      </c>
    </row>
    <row r="49">
      <c r="A49" s="50" t="inlineStr">
        <is>
          <t>1979-09-01</t>
        </is>
      </c>
      <c r="B49" s="50" t="n">
        <v>235.8</v>
      </c>
    </row>
    <row r="50">
      <c r="A50" s="50" t="inlineStr">
        <is>
          <t>1979-10-01</t>
        </is>
      </c>
      <c r="B50" s="50" t="n">
        <v>271.8</v>
      </c>
    </row>
    <row r="51">
      <c r="A51" s="50" t="inlineStr">
        <is>
          <t>1979-11-01</t>
        </is>
      </c>
      <c r="B51" s="50" t="n">
        <v>226.8</v>
      </c>
    </row>
    <row r="52">
      <c r="A52" s="50" t="inlineStr">
        <is>
          <t>1979-12-01</t>
        </is>
      </c>
      <c r="B52" s="50" t="n">
        <v>211.7</v>
      </c>
    </row>
    <row r="53">
      <c r="A53" s="50" t="inlineStr">
        <is>
          <t>1980-01-01</t>
        </is>
      </c>
      <c r="B53" s="50" t="n">
        <v>212</v>
      </c>
    </row>
    <row r="54">
      <c r="A54" s="50" t="inlineStr">
        <is>
          <t>1980-02-01</t>
        </is>
      </c>
      <c r="B54" s="50" t="n">
        <v>203.9</v>
      </c>
    </row>
    <row r="55">
      <c r="A55" s="50" t="inlineStr">
        <is>
          <t>1980-03-01</t>
        </is>
      </c>
      <c r="B55" s="50" t="n">
        <v>220.9</v>
      </c>
    </row>
    <row r="56">
      <c r="A56" s="50" t="inlineStr">
        <is>
          <t>1980-04-01</t>
        </is>
      </c>
      <c r="B56" s="50" t="n">
        <v>181.2</v>
      </c>
    </row>
    <row r="57">
      <c r="A57" s="50" t="inlineStr">
        <is>
          <t>1980-05-01</t>
        </is>
      </c>
      <c r="B57" s="50" t="n">
        <v>177.1</v>
      </c>
    </row>
    <row r="58">
      <c r="A58" s="50" t="inlineStr">
        <is>
          <t>1980-06-01</t>
        </is>
      </c>
      <c r="B58" s="50" t="n">
        <v>207.6</v>
      </c>
    </row>
    <row r="59">
      <c r="A59" s="50" t="inlineStr">
        <is>
          <t>1980-07-01</t>
        </is>
      </c>
      <c r="B59" s="50" t="n">
        <v>206.8</v>
      </c>
    </row>
    <row r="60">
      <c r="A60" s="50" t="inlineStr">
        <is>
          <t>1980-08-01</t>
        </is>
      </c>
      <c r="B60" s="50" t="n">
        <v>173.6</v>
      </c>
    </row>
    <row r="61">
      <c r="A61" s="50" t="inlineStr">
        <is>
          <t>1980-09-01</t>
        </is>
      </c>
      <c r="B61" s="50" t="n">
        <v>149.4</v>
      </c>
    </row>
    <row r="62">
      <c r="A62" s="50" t="inlineStr">
        <is>
          <t>1980-10-01</t>
        </is>
      </c>
      <c r="B62" s="50" t="n">
        <v>171.8</v>
      </c>
    </row>
    <row r="63">
      <c r="A63" s="50" t="inlineStr">
        <is>
          <t>1980-11-01</t>
        </is>
      </c>
      <c r="B63" s="50" t="n">
        <v>156.8</v>
      </c>
    </row>
    <row r="64">
      <c r="A64" s="50" t="inlineStr">
        <is>
          <t>1980-12-01</t>
        </is>
      </c>
      <c r="B64" s="50" t="n">
        <v>154.6</v>
      </c>
    </row>
    <row r="65">
      <c r="A65" s="50" t="inlineStr">
        <is>
          <t>1981-01-01</t>
        </is>
      </c>
      <c r="B65" s="50" t="n">
        <v>147.9</v>
      </c>
    </row>
    <row r="66">
      <c r="A66" s="50" t="inlineStr">
        <is>
          <t>1981-02-01</t>
        </is>
      </c>
      <c r="B66" s="50" t="n">
        <v>168.3</v>
      </c>
    </row>
    <row r="67">
      <c r="A67" s="50" t="inlineStr">
        <is>
          <t>1981-03-01</t>
        </is>
      </c>
      <c r="B67" s="50" t="n">
        <v>194.2</v>
      </c>
    </row>
    <row r="68">
      <c r="A68" s="50" t="inlineStr">
        <is>
          <t>1981-04-01</t>
        </is>
      </c>
      <c r="B68" s="50" t="n">
        <v>186.2</v>
      </c>
    </row>
    <row r="69">
      <c r="A69" s="50" t="inlineStr">
        <is>
          <t>1981-05-01</t>
        </is>
      </c>
      <c r="B69" s="50" t="n">
        <v>181.1</v>
      </c>
    </row>
    <row r="70">
      <c r="A70" s="50" t="inlineStr">
        <is>
          <t>1981-06-01</t>
        </is>
      </c>
      <c r="B70" s="50" t="n">
        <v>200.4</v>
      </c>
    </row>
    <row r="71">
      <c r="A71" s="50" t="inlineStr">
        <is>
          <t>1981-07-01</t>
        </is>
      </c>
      <c r="B71" s="50" t="n">
        <v>168.6</v>
      </c>
    </row>
    <row r="72">
      <c r="A72" s="50" t="inlineStr">
        <is>
          <t>1981-08-01</t>
        </is>
      </c>
      <c r="B72" s="50" t="n">
        <v>189</v>
      </c>
    </row>
    <row r="73">
      <c r="A73" s="50" t="inlineStr">
        <is>
          <t>1981-09-01</t>
        </is>
      </c>
      <c r="B73" s="50" t="n">
        <v>159.4</v>
      </c>
    </row>
    <row r="74">
      <c r="A74" s="50" t="inlineStr">
        <is>
          <t>1981-10-01</t>
        </is>
      </c>
      <c r="B74" s="50" t="n">
        <v>154.9</v>
      </c>
    </row>
    <row r="75">
      <c r="A75" s="50" t="inlineStr">
        <is>
          <t>1981-11-01</t>
        </is>
      </c>
      <c r="B75" s="50" t="n">
        <v>145.7</v>
      </c>
    </row>
    <row r="76">
      <c r="A76" s="50" t="inlineStr">
        <is>
          <t>1981-12-01</t>
        </is>
      </c>
      <c r="B76" s="50" t="n">
        <v>133.6</v>
      </c>
    </row>
    <row r="77">
      <c r="A77" s="50" t="inlineStr">
        <is>
          <t>1982-01-01</t>
        </is>
      </c>
      <c r="B77" s="50" t="n">
        <v>163.7</v>
      </c>
    </row>
    <row r="78">
      <c r="A78" s="50" t="inlineStr">
        <is>
          <t>1982-02-01</t>
        </is>
      </c>
      <c r="B78" s="50" t="n">
        <v>193.8</v>
      </c>
    </row>
    <row r="79">
      <c r="A79" s="50" t="inlineStr">
        <is>
          <t>1982-03-01</t>
        </is>
      </c>
      <c r="B79" s="50" t="n">
        <v>262.4</v>
      </c>
    </row>
    <row r="80">
      <c r="A80" s="50" t="inlineStr">
        <is>
          <t>1982-04-01</t>
        </is>
      </c>
      <c r="B80" s="50" t="n">
        <v>189.4</v>
      </c>
    </row>
    <row r="81">
      <c r="A81" s="50" t="inlineStr">
        <is>
          <t>1982-05-01</t>
        </is>
      </c>
      <c r="B81" s="50" t="n">
        <v>228.9</v>
      </c>
    </row>
    <row r="82">
      <c r="A82" s="50" t="inlineStr">
        <is>
          <t>1982-06-01</t>
        </is>
      </c>
      <c r="B82" s="50" t="n">
        <v>200.3</v>
      </c>
    </row>
    <row r="83">
      <c r="A83" s="50" t="inlineStr">
        <is>
          <t>1982-07-01</t>
        </is>
      </c>
      <c r="B83" s="50" t="n">
        <v>181.4</v>
      </c>
    </row>
    <row r="84">
      <c r="A84" s="50" t="inlineStr">
        <is>
          <t>1982-08-01</t>
        </is>
      </c>
      <c r="B84" s="50" t="n">
        <v>171</v>
      </c>
    </row>
    <row r="85">
      <c r="A85" s="50" t="inlineStr">
        <is>
          <t>1982-09-01</t>
        </is>
      </c>
      <c r="B85" s="50" t="n">
        <v>205.2</v>
      </c>
    </row>
    <row r="86">
      <c r="A86" s="50" t="inlineStr">
        <is>
          <t>1982-10-01</t>
        </is>
      </c>
      <c r="B86" s="50" t="n">
        <v>171.5</v>
      </c>
    </row>
    <row r="87">
      <c r="A87" s="50" t="inlineStr">
        <is>
          <t>1982-11-01</t>
        </is>
      </c>
      <c r="B87" s="50" t="n">
        <v>217.6</v>
      </c>
    </row>
    <row r="88">
      <c r="A88" s="50" t="inlineStr">
        <is>
          <t>1982-12-01</t>
        </is>
      </c>
      <c r="B88" s="50" t="n">
        <v>192.7</v>
      </c>
    </row>
    <row r="89">
      <c r="A89" s="50" t="inlineStr">
        <is>
          <t>1983-01-01</t>
        </is>
      </c>
      <c r="B89" s="50" t="n">
        <v>180</v>
      </c>
    </row>
    <row r="90">
      <c r="A90" s="50" t="inlineStr">
        <is>
          <t>1983-02-01</t>
        </is>
      </c>
      <c r="B90" s="50" t="n">
        <v>182</v>
      </c>
    </row>
    <row r="91">
      <c r="A91" s="50" t="inlineStr">
        <is>
          <t>1983-03-01</t>
        </is>
      </c>
      <c r="B91" s="50" t="n">
        <v>263.2</v>
      </c>
    </row>
    <row r="92">
      <c r="A92" s="50" t="inlineStr">
        <is>
          <t>1983-04-01</t>
        </is>
      </c>
      <c r="B92" s="50" t="n">
        <v>235.2</v>
      </c>
    </row>
    <row r="93">
      <c r="A93" s="50" t="inlineStr">
        <is>
          <t>1983-05-01</t>
        </is>
      </c>
      <c r="B93" s="50" t="n">
        <v>259.4</v>
      </c>
    </row>
    <row r="94">
      <c r="A94" s="50" t="inlineStr">
        <is>
          <t>1983-06-01</t>
        </is>
      </c>
      <c r="B94" s="50" t="n">
        <v>285.7</v>
      </c>
    </row>
    <row r="95">
      <c r="A95" s="50" t="inlineStr">
        <is>
          <t>1983-07-01</t>
        </is>
      </c>
      <c r="B95" s="50" t="n">
        <v>243.3</v>
      </c>
    </row>
    <row r="96">
      <c r="A96" s="50" t="inlineStr">
        <is>
          <t>1983-08-01</t>
        </is>
      </c>
      <c r="B96" s="50" t="n">
        <v>235.7</v>
      </c>
    </row>
    <row r="97">
      <c r="A97" s="50" t="inlineStr">
        <is>
          <t>1983-09-01</t>
        </is>
      </c>
      <c r="B97" s="50" t="n">
        <v>258.9</v>
      </c>
    </row>
    <row r="98">
      <c r="A98" s="50" t="inlineStr">
        <is>
          <t>1983-10-01</t>
        </is>
      </c>
      <c r="B98" s="50" t="n">
        <v>247.9</v>
      </c>
    </row>
    <row r="99">
      <c r="A99" s="50" t="inlineStr">
        <is>
          <t>1983-11-01</t>
        </is>
      </c>
      <c r="B99" s="50" t="n">
        <v>253.9</v>
      </c>
    </row>
    <row r="100">
      <c r="A100" s="50" t="inlineStr">
        <is>
          <t>1983-12-01</t>
        </is>
      </c>
      <c r="B100" s="50" t="n">
        <v>283.3</v>
      </c>
    </row>
    <row r="101">
      <c r="A101" s="50" t="inlineStr">
        <is>
          <t>1984-01-01</t>
        </is>
      </c>
      <c r="B101" s="50" t="n">
        <v>262.5</v>
      </c>
    </row>
    <row r="102">
      <c r="A102" s="50" t="inlineStr">
        <is>
          <t>1984-02-01</t>
        </is>
      </c>
      <c r="B102" s="50" t="n">
        <v>298.9</v>
      </c>
    </row>
    <row r="103">
      <c r="A103" s="50" t="inlineStr">
        <is>
          <t>1984-03-01</t>
        </is>
      </c>
      <c r="B103" s="50" t="n">
        <v>365.8</v>
      </c>
    </row>
    <row r="104">
      <c r="A104" s="50" t="inlineStr">
        <is>
          <t>1984-04-01</t>
        </is>
      </c>
      <c r="B104" s="50" t="n">
        <v>326.5</v>
      </c>
    </row>
    <row r="105">
      <c r="A105" s="50" t="inlineStr">
        <is>
          <t>1984-05-01</t>
        </is>
      </c>
      <c r="B105" s="50" t="n">
        <v>379.5</v>
      </c>
    </row>
    <row r="106">
      <c r="A106" s="50" t="inlineStr">
        <is>
          <t>1984-06-01</t>
        </is>
      </c>
      <c r="B106" s="50" t="n">
        <v>338.3</v>
      </c>
    </row>
    <row r="107">
      <c r="A107" s="50" t="inlineStr">
        <is>
          <t>1984-07-01</t>
        </is>
      </c>
      <c r="B107" s="50" t="n">
        <v>320.4</v>
      </c>
    </row>
    <row r="108">
      <c r="A108" s="50" t="inlineStr">
        <is>
          <t>1984-08-01</t>
        </is>
      </c>
      <c r="B108" s="50" t="n">
        <v>291.7</v>
      </c>
    </row>
    <row r="109">
      <c r="A109" s="50" t="inlineStr">
        <is>
          <t>1984-09-01</t>
        </is>
      </c>
      <c r="B109" s="50" t="n">
        <v>285.4</v>
      </c>
    </row>
    <row r="110">
      <c r="A110" s="50" t="inlineStr">
        <is>
          <t>1984-10-01</t>
        </is>
      </c>
      <c r="B110" s="50" t="n">
        <v>338.7</v>
      </c>
    </row>
    <row r="111">
      <c r="A111" s="50" t="inlineStr">
        <is>
          <t>1984-11-01</t>
        </is>
      </c>
      <c r="B111" s="50" t="n">
        <v>316.3</v>
      </c>
    </row>
    <row r="112">
      <c r="A112" s="50" t="inlineStr">
        <is>
          <t>1984-12-01</t>
        </is>
      </c>
      <c r="B112" s="50" t="n">
        <v>290.9</v>
      </c>
    </row>
    <row r="113">
      <c r="A113" s="50" t="inlineStr">
        <is>
          <t>1985-01-01</t>
        </is>
      </c>
      <c r="B113" s="50" t="n">
        <v>344.1</v>
      </c>
    </row>
    <row r="114">
      <c r="A114" s="50" t="inlineStr">
        <is>
          <t>1985-02-01</t>
        </is>
      </c>
      <c r="B114" s="50" t="n">
        <v>356.9</v>
      </c>
    </row>
    <row r="115">
      <c r="A115" s="50" t="inlineStr">
        <is>
          <t>1985-03-01</t>
        </is>
      </c>
      <c r="B115" s="50" t="n">
        <v>399.2</v>
      </c>
    </row>
    <row r="116">
      <c r="A116" s="50" t="inlineStr">
        <is>
          <t>1985-04-01</t>
        </is>
      </c>
      <c r="B116" s="50" t="n">
        <v>369.6</v>
      </c>
    </row>
    <row r="117">
      <c r="A117" s="50" t="inlineStr">
        <is>
          <t>1985-05-01</t>
        </is>
      </c>
      <c r="B117" s="50" t="n">
        <v>404.4</v>
      </c>
    </row>
    <row r="118">
      <c r="A118" s="50" t="inlineStr">
        <is>
          <t>1985-06-01</t>
        </is>
      </c>
      <c r="B118" s="50" t="n">
        <v>387</v>
      </c>
    </row>
    <row r="119">
      <c r="A119" s="50" t="inlineStr">
        <is>
          <t>1985-07-01</t>
        </is>
      </c>
      <c r="B119" s="50" t="n">
        <v>420.2</v>
      </c>
    </row>
    <row r="120">
      <c r="A120" s="50" t="inlineStr">
        <is>
          <t>1985-08-01</t>
        </is>
      </c>
      <c r="B120" s="50" t="n">
        <v>327.6</v>
      </c>
    </row>
    <row r="121">
      <c r="A121" s="50" t="inlineStr">
        <is>
          <t>1985-09-01</t>
        </is>
      </c>
      <c r="B121" s="50" t="n">
        <v>374.4</v>
      </c>
    </row>
    <row r="122">
      <c r="A122" s="50" t="inlineStr">
        <is>
          <t>1985-10-01</t>
        </is>
      </c>
      <c r="B122" s="50" t="n">
        <v>357.9</v>
      </c>
    </row>
    <row r="123">
      <c r="A123" s="50" t="inlineStr">
        <is>
          <t>1985-11-01</t>
        </is>
      </c>
      <c r="B123" s="50" t="n">
        <v>342.6</v>
      </c>
    </row>
    <row r="124">
      <c r="A124" s="50" t="inlineStr">
        <is>
          <t>1985-12-01</t>
        </is>
      </c>
      <c r="B124" s="50" t="n">
        <v>362.8</v>
      </c>
    </row>
    <row r="125">
      <c r="A125" s="50" t="inlineStr">
        <is>
          <t>1986-01-01</t>
        </is>
      </c>
      <c r="B125" s="50" t="n">
        <v>326.2</v>
      </c>
    </row>
    <row r="126">
      <c r="A126" s="50" t="inlineStr">
        <is>
          <t>1986-02-01</t>
        </is>
      </c>
      <c r="B126" s="50" t="n">
        <v>335.1</v>
      </c>
    </row>
    <row r="127">
      <c r="A127" s="50" t="inlineStr">
        <is>
          <t>1986-03-01</t>
        </is>
      </c>
      <c r="B127" s="50" t="n">
        <v>380.7</v>
      </c>
    </row>
    <row r="128">
      <c r="A128" s="50" t="inlineStr">
        <is>
          <t>1986-04-01</t>
        </is>
      </c>
      <c r="B128" s="50" t="n">
        <v>395.5</v>
      </c>
    </row>
    <row r="129">
      <c r="A129" s="50" t="inlineStr">
        <is>
          <t>1986-05-01</t>
        </is>
      </c>
      <c r="B129" s="50" t="n">
        <v>438.6</v>
      </c>
    </row>
    <row r="130">
      <c r="A130" s="50" t="inlineStr">
        <is>
          <t>1986-06-01</t>
        </is>
      </c>
      <c r="B130" s="50" t="n">
        <v>403.4</v>
      </c>
    </row>
    <row r="131">
      <c r="A131" s="50" t="inlineStr">
        <is>
          <t>1986-07-01</t>
        </is>
      </c>
      <c r="B131" s="50" t="n">
        <v>404.3</v>
      </c>
    </row>
    <row r="132">
      <c r="A132" s="50" t="inlineStr">
        <is>
          <t>1986-08-01</t>
        </is>
      </c>
      <c r="B132" s="50" t="n">
        <v>373.5</v>
      </c>
    </row>
    <row r="133">
      <c r="A133" s="50" t="inlineStr">
        <is>
          <t>1986-09-01</t>
        </is>
      </c>
      <c r="B133" s="50" t="n">
        <v>497.4</v>
      </c>
    </row>
    <row r="134">
      <c r="A134" s="50" t="inlineStr">
        <is>
          <t>1986-10-01</t>
        </is>
      </c>
      <c r="B134" s="50" t="n">
        <v>343.8</v>
      </c>
    </row>
    <row r="135">
      <c r="A135" s="50" t="inlineStr">
        <is>
          <t>1986-11-01</t>
        </is>
      </c>
      <c r="B135" s="50" t="n">
        <v>322.1</v>
      </c>
    </row>
    <row r="136">
      <c r="A136" s="50" t="inlineStr">
        <is>
          <t>1986-12-01</t>
        </is>
      </c>
      <c r="B136" s="50" t="n">
        <v>418</v>
      </c>
    </row>
    <row r="137">
      <c r="A137" s="50" t="inlineStr">
        <is>
          <t>1987-01-01</t>
        </is>
      </c>
      <c r="B137" s="50" t="n">
        <v>278</v>
      </c>
    </row>
    <row r="138">
      <c r="A138" s="50" t="inlineStr">
        <is>
          <t>1987-02-01</t>
        </is>
      </c>
      <c r="B138" s="50" t="n">
        <v>354.2</v>
      </c>
    </row>
    <row r="139">
      <c r="A139" s="50" t="inlineStr">
        <is>
          <t>1987-03-01</t>
        </is>
      </c>
      <c r="B139" s="50" t="n">
        <v>429.9</v>
      </c>
    </row>
    <row r="140">
      <c r="A140" s="50" t="inlineStr">
        <is>
          <t>1987-04-01</t>
        </is>
      </c>
      <c r="B140" s="50" t="n">
        <v>426.9</v>
      </c>
    </row>
    <row r="141">
      <c r="A141" s="50" t="inlineStr">
        <is>
          <t>1987-05-01</t>
        </is>
      </c>
      <c r="B141" s="50" t="n">
        <v>412.6</v>
      </c>
    </row>
    <row r="142">
      <c r="A142" s="50" t="inlineStr">
        <is>
          <t>1987-06-01</t>
        </is>
      </c>
      <c r="B142" s="50" t="n">
        <v>459.4</v>
      </c>
    </row>
    <row r="143">
      <c r="A143" s="50" t="inlineStr">
        <is>
          <t>1987-07-01</t>
        </is>
      </c>
      <c r="B143" s="50" t="n">
        <v>425.2</v>
      </c>
    </row>
    <row r="144">
      <c r="A144" s="50" t="inlineStr">
        <is>
          <t>1987-08-01</t>
        </is>
      </c>
      <c r="B144" s="50" t="n">
        <v>417.2</v>
      </c>
    </row>
    <row r="145">
      <c r="A145" s="50" t="inlineStr">
        <is>
          <t>1987-09-01</t>
        </is>
      </c>
      <c r="B145" s="50" t="n">
        <v>378.7</v>
      </c>
    </row>
    <row r="146">
      <c r="A146" s="50" t="inlineStr">
        <is>
          <t>1987-10-01</t>
        </is>
      </c>
      <c r="B146" s="50" t="n">
        <v>373.8</v>
      </c>
    </row>
    <row r="147">
      <c r="A147" s="50" t="inlineStr">
        <is>
          <t>1987-11-01</t>
        </is>
      </c>
      <c r="B147" s="50" t="n">
        <v>358.9</v>
      </c>
    </row>
    <row r="148">
      <c r="A148" s="50" t="inlineStr">
        <is>
          <t>1987-12-01</t>
        </is>
      </c>
      <c r="B148" s="50" t="n">
        <v>389.4</v>
      </c>
    </row>
    <row r="149">
      <c r="A149" s="50" t="inlineStr">
        <is>
          <t>1988-01-01</t>
        </is>
      </c>
      <c r="B149" s="50" t="n">
        <v>343.7</v>
      </c>
    </row>
    <row r="150">
      <c r="A150" s="50" t="inlineStr">
        <is>
          <t>1988-02-01</t>
        </is>
      </c>
      <c r="B150" s="50" t="n">
        <v>402.4</v>
      </c>
    </row>
    <row r="151">
      <c r="A151" s="50" t="inlineStr">
        <is>
          <t>1988-03-01</t>
        </is>
      </c>
      <c r="B151" s="50" t="n">
        <v>475.7</v>
      </c>
    </row>
    <row r="152">
      <c r="A152" s="50" t="inlineStr">
        <is>
          <t>1988-04-01</t>
        </is>
      </c>
      <c r="B152" s="50" t="n">
        <v>407.9</v>
      </c>
    </row>
    <row r="153">
      <c r="A153" s="50" t="inlineStr">
        <is>
          <t>1988-05-01</t>
        </is>
      </c>
      <c r="B153" s="50" t="n">
        <v>459.6</v>
      </c>
    </row>
    <row r="154">
      <c r="A154" s="50" t="inlineStr">
        <is>
          <t>1988-06-01</t>
        </is>
      </c>
      <c r="B154" s="50" t="n">
        <v>450.8</v>
      </c>
    </row>
    <row r="155">
      <c r="A155" s="50" t="inlineStr">
        <is>
          <t>1988-07-01</t>
        </is>
      </c>
      <c r="B155" s="50" t="n">
        <v>418.7</v>
      </c>
    </row>
    <row r="156">
      <c r="A156" s="50" t="inlineStr">
        <is>
          <t>1988-08-01</t>
        </is>
      </c>
      <c r="B156" s="50" t="n">
        <v>412</v>
      </c>
    </row>
    <row r="157">
      <c r="A157" s="50" t="inlineStr">
        <is>
          <t>1988-09-01</t>
        </is>
      </c>
      <c r="B157" s="50" t="n">
        <v>373.1</v>
      </c>
    </row>
    <row r="158">
      <c r="A158" s="50" t="inlineStr">
        <is>
          <t>1988-10-01</t>
        </is>
      </c>
      <c r="B158" s="50" t="n">
        <v>390.7</v>
      </c>
    </row>
    <row r="159">
      <c r="A159" s="50" t="inlineStr">
        <is>
          <t>1988-11-01</t>
        </is>
      </c>
      <c r="B159" s="50" t="n">
        <v>378.4</v>
      </c>
    </row>
    <row r="160">
      <c r="A160" s="50" t="inlineStr">
        <is>
          <t>1988-12-01</t>
        </is>
      </c>
      <c r="B160" s="50" t="n">
        <v>384.6</v>
      </c>
    </row>
    <row r="161">
      <c r="A161" s="50" t="inlineStr">
        <is>
          <t>1989-01-01</t>
        </is>
      </c>
      <c r="B161" s="50" t="n">
        <v>346.9</v>
      </c>
    </row>
    <row r="162">
      <c r="A162" s="50" t="inlineStr">
        <is>
          <t>1989-02-01</t>
        </is>
      </c>
      <c r="B162" s="50" t="n">
        <v>358.5</v>
      </c>
    </row>
    <row r="163">
      <c r="A163" s="50" t="inlineStr">
        <is>
          <t>1989-03-01</t>
        </is>
      </c>
      <c r="B163" s="50" t="n">
        <v>430.7</v>
      </c>
    </row>
    <row r="164">
      <c r="A164" s="50" t="inlineStr">
        <is>
          <t>1989-04-01</t>
        </is>
      </c>
      <c r="B164" s="50" t="n">
        <v>421.5</v>
      </c>
    </row>
    <row r="165">
      <c r="A165" s="50" t="inlineStr">
        <is>
          <t>1989-05-01</t>
        </is>
      </c>
      <c r="B165" s="50" t="n">
        <v>445.9</v>
      </c>
    </row>
    <row r="166">
      <c r="A166" s="50" t="inlineStr">
        <is>
          <t>1989-06-01</t>
        </is>
      </c>
      <c r="B166" s="50" t="n">
        <v>411.7</v>
      </c>
    </row>
    <row r="167">
      <c r="A167" s="50" t="inlineStr">
        <is>
          <t>1989-07-01</t>
        </is>
      </c>
      <c r="B167" s="50" t="n">
        <v>415.1</v>
      </c>
    </row>
    <row r="168">
      <c r="A168" s="50" t="inlineStr">
        <is>
          <t>1989-08-01</t>
        </is>
      </c>
      <c r="B168" s="50" t="n">
        <v>451.5</v>
      </c>
    </row>
    <row r="169">
      <c r="A169" s="50" t="inlineStr">
        <is>
          <t>1989-09-01</t>
        </is>
      </c>
      <c r="B169" s="50" t="n">
        <v>409.7</v>
      </c>
    </row>
    <row r="170">
      <c r="A170" s="50" t="inlineStr">
        <is>
          <t>1989-10-01</t>
        </is>
      </c>
      <c r="B170" s="50" t="n">
        <v>350.5</v>
      </c>
    </row>
    <row r="171">
      <c r="A171" s="50" t="inlineStr">
        <is>
          <t>1989-11-01</t>
        </is>
      </c>
      <c r="B171" s="50" t="n">
        <v>353.6</v>
      </c>
    </row>
    <row r="172">
      <c r="A172" s="50" t="inlineStr">
        <is>
          <t>1989-12-01</t>
        </is>
      </c>
      <c r="B172" s="50" t="n">
        <v>348.3</v>
      </c>
    </row>
    <row r="173">
      <c r="A173" s="50" t="inlineStr">
        <is>
          <t>1990-01-01</t>
        </is>
      </c>
      <c r="B173" s="50" t="n">
        <v>396.2</v>
      </c>
    </row>
    <row r="174">
      <c r="A174" s="50" t="inlineStr">
        <is>
          <t>1990-02-01</t>
        </is>
      </c>
      <c r="B174" s="50" t="n">
        <v>335.5</v>
      </c>
    </row>
    <row r="175">
      <c r="A175" s="50" t="inlineStr">
        <is>
          <t>1990-03-01</t>
        </is>
      </c>
      <c r="B175" s="50" t="n">
        <v>419.6</v>
      </c>
    </row>
    <row r="176">
      <c r="A176" s="50" t="inlineStr">
        <is>
          <t>1990-04-01</t>
        </is>
      </c>
      <c r="B176" s="50" t="n">
        <v>399.4</v>
      </c>
    </row>
    <row r="177">
      <c r="A177" s="50" t="inlineStr">
        <is>
          <t>1990-05-01</t>
        </is>
      </c>
      <c r="B177" s="50" t="n">
        <v>435.1</v>
      </c>
    </row>
    <row r="178">
      <c r="A178" s="50" t="inlineStr">
        <is>
          <t>1990-06-01</t>
        </is>
      </c>
      <c r="B178" s="50" t="n">
        <v>424.1</v>
      </c>
    </row>
    <row r="179">
      <c r="A179" s="50" t="inlineStr">
        <is>
          <t>1990-07-01</t>
        </is>
      </c>
      <c r="B179" s="50" t="n">
        <v>415.1</v>
      </c>
    </row>
    <row r="180">
      <c r="A180" s="50" t="inlineStr">
        <is>
          <t>1990-08-01</t>
        </is>
      </c>
      <c r="B180" s="50" t="n">
        <v>387.4</v>
      </c>
    </row>
    <row r="181">
      <c r="A181" s="50" t="inlineStr">
        <is>
          <t>1990-09-01</t>
        </is>
      </c>
      <c r="B181" s="50" t="n">
        <v>354</v>
      </c>
    </row>
    <row r="182">
      <c r="A182" s="50" t="inlineStr">
        <is>
          <t>1990-10-01</t>
        </is>
      </c>
      <c r="B182" s="50" t="n">
        <v>357.3</v>
      </c>
    </row>
    <row r="183">
      <c r="A183" s="50" t="inlineStr">
        <is>
          <t>1990-11-01</t>
        </is>
      </c>
      <c r="B183" s="50" t="n">
        <v>321</v>
      </c>
    </row>
    <row r="184">
      <c r="A184" s="50" t="inlineStr">
        <is>
          <t>1990-12-01</t>
        </is>
      </c>
      <c r="B184" s="50" t="n">
        <v>314.8</v>
      </c>
    </row>
    <row r="185">
      <c r="A185" s="50" t="inlineStr">
        <is>
          <t>1991-01-01</t>
        </is>
      </c>
      <c r="B185" s="50" t="n">
        <v>267.6</v>
      </c>
    </row>
    <row r="186">
      <c r="A186" s="50" t="inlineStr">
        <is>
          <t>1991-02-01</t>
        </is>
      </c>
      <c r="B186" s="50" t="n">
        <v>289.1</v>
      </c>
    </row>
    <row r="187">
      <c r="A187" s="50" t="inlineStr">
        <is>
          <t>1991-03-01</t>
        </is>
      </c>
      <c r="B187" s="50" t="n">
        <v>352.7</v>
      </c>
    </row>
    <row r="188">
      <c r="A188" s="50" t="inlineStr">
        <is>
          <t>1991-04-01</t>
        </is>
      </c>
      <c r="B188" s="50" t="n">
        <v>348.9</v>
      </c>
    </row>
    <row r="189">
      <c r="A189" s="50" t="inlineStr">
        <is>
          <t>1991-05-01</t>
        </is>
      </c>
      <c r="B189" s="50" t="n">
        <v>385.5</v>
      </c>
    </row>
    <row r="190">
      <c r="A190" s="50" t="inlineStr">
        <is>
          <t>1991-06-01</t>
        </is>
      </c>
      <c r="B190" s="50" t="n">
        <v>385</v>
      </c>
    </row>
    <row r="191">
      <c r="A191" s="50" t="inlineStr">
        <is>
          <t>1991-07-01</t>
        </is>
      </c>
      <c r="B191" s="50" t="n">
        <v>391</v>
      </c>
    </row>
    <row r="192">
      <c r="A192" s="50" t="inlineStr">
        <is>
          <t>1991-08-01</t>
        </is>
      </c>
      <c r="B192" s="50" t="n">
        <v>355.1</v>
      </c>
    </row>
    <row r="193">
      <c r="A193" s="50" t="inlineStr">
        <is>
          <t>1991-09-01</t>
        </is>
      </c>
      <c r="B193" s="50" t="n">
        <v>373</v>
      </c>
    </row>
    <row r="194">
      <c r="A194" s="50" t="inlineStr">
        <is>
          <t>1991-10-01</t>
        </is>
      </c>
      <c r="B194" s="50" t="n">
        <v>327.5</v>
      </c>
    </row>
    <row r="195">
      <c r="A195" s="50" t="inlineStr">
        <is>
          <t>1991-11-01</t>
        </is>
      </c>
      <c r="B195" s="50" t="n">
        <v>310.8</v>
      </c>
    </row>
    <row r="196">
      <c r="A196" s="50" t="inlineStr">
        <is>
          <t>1991-12-01</t>
        </is>
      </c>
      <c r="B196" s="50" t="n">
        <v>348.2</v>
      </c>
    </row>
    <row r="197">
      <c r="A197" s="50" t="inlineStr">
        <is>
          <t>1992-01-01</t>
        </is>
      </c>
      <c r="B197" s="50" t="n">
        <v>290.6</v>
      </c>
    </row>
    <row r="198">
      <c r="A198" s="50" t="inlineStr">
        <is>
          <t>1992-02-01</t>
        </is>
      </c>
      <c r="B198" s="50" t="n">
        <v>320.6</v>
      </c>
    </row>
    <row r="199">
      <c r="A199" s="50" t="inlineStr">
        <is>
          <t>1992-03-01</t>
        </is>
      </c>
      <c r="B199" s="50" t="n">
        <v>387.8</v>
      </c>
    </row>
    <row r="200">
      <c r="A200" s="50" t="inlineStr">
        <is>
          <t>1992-04-01</t>
        </is>
      </c>
      <c r="B200" s="50" t="n">
        <v>406.1</v>
      </c>
    </row>
    <row r="201">
      <c r="A201" s="50" t="inlineStr">
        <is>
          <t>1992-05-01</t>
        </is>
      </c>
      <c r="B201" s="50" t="n">
        <v>416.2</v>
      </c>
    </row>
    <row r="202">
      <c r="A202" s="50" t="inlineStr">
        <is>
          <t>1992-06-01</t>
        </is>
      </c>
      <c r="B202" s="50" t="n">
        <v>450.3</v>
      </c>
    </row>
    <row r="203">
      <c r="A203" s="50" t="inlineStr">
        <is>
          <t>1992-07-01</t>
        </is>
      </c>
      <c r="B203" s="50" t="n">
        <v>402.1</v>
      </c>
    </row>
    <row r="204">
      <c r="A204" s="50" t="inlineStr">
        <is>
          <t>1992-08-01</t>
        </is>
      </c>
      <c r="B204" s="50" t="n">
        <v>399.9</v>
      </c>
    </row>
    <row r="205">
      <c r="A205" s="50" t="inlineStr">
        <is>
          <t>1992-09-01</t>
        </is>
      </c>
      <c r="B205" s="50" t="n">
        <v>399.9</v>
      </c>
    </row>
    <row r="206">
      <c r="A206" s="50" t="inlineStr">
        <is>
          <t>1992-10-01</t>
        </is>
      </c>
      <c r="B206" s="50" t="n">
        <v>412.9</v>
      </c>
    </row>
    <row r="207">
      <c r="A207" s="50" t="inlineStr">
        <is>
          <t>1992-11-01</t>
        </is>
      </c>
      <c r="B207" s="50" t="n">
        <v>369.3</v>
      </c>
    </row>
    <row r="208">
      <c r="A208" s="50" t="inlineStr">
        <is>
          <t>1992-12-01</t>
        </is>
      </c>
      <c r="B208" s="50" t="n">
        <v>387.2</v>
      </c>
    </row>
    <row r="209">
      <c r="A209" s="50" t="inlineStr">
        <is>
          <t>1993-01-01</t>
        </is>
      </c>
      <c r="B209" s="50" t="n">
        <v>335</v>
      </c>
    </row>
    <row r="210">
      <c r="A210" s="50" t="inlineStr">
        <is>
          <t>1993-02-01</t>
        </is>
      </c>
      <c r="B210" s="50" t="n">
        <v>363.1</v>
      </c>
    </row>
    <row r="211">
      <c r="A211" s="50" t="inlineStr">
        <is>
          <t>1993-03-01</t>
        </is>
      </c>
      <c r="B211" s="50" t="n">
        <v>467.6</v>
      </c>
    </row>
    <row r="212">
      <c r="A212" s="50" t="inlineStr">
        <is>
          <t>1993-04-01</t>
        </is>
      </c>
      <c r="B212" s="50" t="n">
        <v>477.1</v>
      </c>
    </row>
    <row r="213">
      <c r="A213" s="50" t="inlineStr">
        <is>
          <t>1993-05-01</t>
        </is>
      </c>
      <c r="B213" s="50" t="n">
        <v>504.4</v>
      </c>
    </row>
    <row r="214">
      <c r="A214" s="50" t="inlineStr">
        <is>
          <t>1993-06-01</t>
        </is>
      </c>
      <c r="B214" s="50" t="n">
        <v>518.2</v>
      </c>
    </row>
    <row r="215">
      <c r="A215" s="50" t="inlineStr">
        <is>
          <t>1993-07-01</t>
        </is>
      </c>
      <c r="B215" s="50" t="n">
        <v>477</v>
      </c>
    </row>
    <row r="216">
      <c r="A216" s="50" t="inlineStr">
        <is>
          <t>1993-08-01</t>
        </is>
      </c>
      <c r="B216" s="50" t="n">
        <v>436.3</v>
      </c>
    </row>
    <row r="217">
      <c r="A217" s="50" t="inlineStr">
        <is>
          <t>1993-09-01</t>
        </is>
      </c>
      <c r="B217" s="50" t="n">
        <v>434.5</v>
      </c>
    </row>
    <row r="218">
      <c r="A218" s="50" t="inlineStr">
        <is>
          <t>1993-10-01</t>
        </is>
      </c>
      <c r="B218" s="50" t="n">
        <v>439.7</v>
      </c>
    </row>
    <row r="219">
      <c r="A219" s="50" t="inlineStr">
        <is>
          <t>1993-11-01</t>
        </is>
      </c>
      <c r="B219" s="50" t="n">
        <v>448.3</v>
      </c>
    </row>
    <row r="220">
      <c r="A220" s="50" t="inlineStr">
        <is>
          <t>1993-12-01</t>
        </is>
      </c>
      <c r="B220" s="50" t="n">
        <v>463.8</v>
      </c>
    </row>
    <row r="221">
      <c r="A221" s="50" t="inlineStr">
        <is>
          <t>1994-01-01</t>
        </is>
      </c>
      <c r="B221" s="50" t="n">
        <v>415.8</v>
      </c>
    </row>
    <row r="222">
      <c r="A222" s="50" t="inlineStr">
        <is>
          <t>1994-02-01</t>
        </is>
      </c>
      <c r="B222" s="50" t="n">
        <v>448.6</v>
      </c>
    </row>
    <row r="223">
      <c r="A223" s="50" t="inlineStr">
        <is>
          <t>1994-03-01</t>
        </is>
      </c>
      <c r="B223" s="50" t="n">
        <v>565.8</v>
      </c>
    </row>
    <row r="224">
      <c r="A224" s="50" t="inlineStr">
        <is>
          <t>1994-04-01</t>
        </is>
      </c>
      <c r="B224" s="50" t="n">
        <v>521.6</v>
      </c>
    </row>
    <row r="225">
      <c r="A225" s="50" t="inlineStr">
        <is>
          <t>1994-05-01</t>
        </is>
      </c>
      <c r="B225" s="50" t="n">
        <v>539.5</v>
      </c>
    </row>
    <row r="226">
      <c r="A226" s="50" t="inlineStr">
        <is>
          <t>1994-06-01</t>
        </is>
      </c>
      <c r="B226" s="50" t="n">
        <v>574.3</v>
      </c>
    </row>
    <row r="227">
      <c r="A227" s="50" t="inlineStr">
        <is>
          <t>1994-07-01</t>
        </is>
      </c>
      <c r="B227" s="50" t="n">
        <v>477.5</v>
      </c>
    </row>
    <row r="228">
      <c r="A228" s="50" t="inlineStr">
        <is>
          <t>1994-08-01</t>
        </is>
      </c>
      <c r="B228" s="50" t="n">
        <v>514.8</v>
      </c>
    </row>
    <row r="229">
      <c r="A229" s="50" t="inlineStr">
        <is>
          <t>1994-09-01</t>
        </is>
      </c>
      <c r="B229" s="50" t="n">
        <v>480.5</v>
      </c>
    </row>
    <row r="230">
      <c r="A230" s="50" t="inlineStr">
        <is>
          <t>1994-10-01</t>
        </is>
      </c>
      <c r="B230" s="50" t="n">
        <v>522.5</v>
      </c>
    </row>
    <row r="231">
      <c r="A231" s="50" t="inlineStr">
        <is>
          <t>1994-11-01</t>
        </is>
      </c>
      <c r="B231" s="50" t="n">
        <v>498.5</v>
      </c>
    </row>
    <row r="232">
      <c r="A232" s="50" t="inlineStr">
        <is>
          <t>1994-12-01</t>
        </is>
      </c>
      <c r="B232" s="50" t="n">
        <v>495.1</v>
      </c>
    </row>
    <row r="233">
      <c r="A233" s="50" t="inlineStr">
        <is>
          <t>1995-01-01</t>
        </is>
      </c>
      <c r="B233" s="50" t="n">
        <v>419.7</v>
      </c>
    </row>
    <row r="234">
      <c r="A234" s="50" t="inlineStr">
        <is>
          <t>1995-02-01</t>
        </is>
      </c>
      <c r="B234" s="50" t="n">
        <v>451.3</v>
      </c>
    </row>
    <row r="235">
      <c r="A235" s="50" t="inlineStr">
        <is>
          <t>1995-03-01</t>
        </is>
      </c>
      <c r="B235" s="50" t="n">
        <v>568.3</v>
      </c>
    </row>
    <row r="236">
      <c r="A236" s="50" t="inlineStr">
        <is>
          <t>1995-04-01</t>
        </is>
      </c>
      <c r="B236" s="50" t="n">
        <v>495.8</v>
      </c>
    </row>
    <row r="237">
      <c r="A237" s="50" t="inlineStr">
        <is>
          <t>1995-05-01</t>
        </is>
      </c>
      <c r="B237" s="50" t="n">
        <v>567.5</v>
      </c>
    </row>
    <row r="238">
      <c r="A238" s="50" t="inlineStr">
        <is>
          <t>1995-06-01</t>
        </is>
      </c>
      <c r="B238" s="50" t="n">
        <v>587.3</v>
      </c>
    </row>
    <row r="239">
      <c r="A239" s="50" t="inlineStr">
        <is>
          <t>1995-07-01</t>
        </is>
      </c>
      <c r="B239" s="50" t="n">
        <v>504.1</v>
      </c>
    </row>
    <row r="240">
      <c r="A240" s="50" t="inlineStr">
        <is>
          <t>1995-08-01</t>
        </is>
      </c>
      <c r="B240" s="50" t="n">
        <v>527.8</v>
      </c>
    </row>
    <row r="241">
      <c r="A241" s="50" t="inlineStr">
        <is>
          <t>1995-09-01</t>
        </is>
      </c>
      <c r="B241" s="50" t="n">
        <v>471.2</v>
      </c>
    </row>
    <row r="242">
      <c r="A242" s="50" t="inlineStr">
        <is>
          <t>1995-10-01</t>
        </is>
      </c>
      <c r="B242" s="50" t="n">
        <v>494.4</v>
      </c>
    </row>
    <row r="243">
      <c r="A243" s="50" t="inlineStr">
        <is>
          <t>1995-11-01</t>
        </is>
      </c>
      <c r="B243" s="50" t="n">
        <v>500.2</v>
      </c>
    </row>
    <row r="244">
      <c r="A244" s="50" t="inlineStr">
        <is>
          <t>1995-12-01</t>
        </is>
      </c>
      <c r="B244" s="50" t="n">
        <v>520.4</v>
      </c>
    </row>
    <row r="245">
      <c r="A245" s="50" t="inlineStr">
        <is>
          <t>1996-01-01</t>
        </is>
      </c>
      <c r="B245" s="50" t="n">
        <v>459.7</v>
      </c>
    </row>
    <row r="246">
      <c r="A246" s="50" t="inlineStr">
        <is>
          <t>1996-02-01</t>
        </is>
      </c>
      <c r="B246" s="50" t="n">
        <v>521.5</v>
      </c>
    </row>
    <row r="247">
      <c r="A247" s="50" t="inlineStr">
        <is>
          <t>1996-03-01</t>
        </is>
      </c>
      <c r="B247" s="50" t="n">
        <v>583</v>
      </c>
    </row>
    <row r="248">
      <c r="A248" s="50" t="inlineStr">
        <is>
          <t>1996-04-01</t>
        </is>
      </c>
      <c r="B248" s="50" t="n">
        <v>569.3</v>
      </c>
    </row>
    <row r="249">
      <c r="A249" s="50" t="inlineStr">
        <is>
          <t>1996-05-01</t>
        </is>
      </c>
      <c r="B249" s="50" t="n">
        <v>621.8</v>
      </c>
    </row>
    <row r="250">
      <c r="A250" s="50" t="inlineStr">
        <is>
          <t>1996-06-01</t>
        </is>
      </c>
      <c r="B250" s="50" t="n">
        <v>580.3</v>
      </c>
    </row>
    <row r="251">
      <c r="A251" s="50" t="inlineStr">
        <is>
          <t>1996-07-01</t>
        </is>
      </c>
      <c r="B251" s="50" t="n">
        <v>556.9</v>
      </c>
    </row>
    <row r="252">
      <c r="A252" s="50" t="inlineStr">
        <is>
          <t>1996-08-01</t>
        </is>
      </c>
      <c r="B252" s="50" t="n">
        <v>558</v>
      </c>
    </row>
    <row r="253">
      <c r="A253" s="50" t="inlineStr">
        <is>
          <t>1996-09-01</t>
        </is>
      </c>
      <c r="B253" s="50" t="n">
        <v>512.2</v>
      </c>
    </row>
    <row r="254">
      <c r="A254" s="50" t="inlineStr">
        <is>
          <t>1996-10-01</t>
        </is>
      </c>
      <c r="B254" s="50" t="n">
        <v>593.6</v>
      </c>
    </row>
    <row r="255">
      <c r="A255" s="50" t="inlineStr">
        <is>
          <t>1996-11-01</t>
        </is>
      </c>
      <c r="B255" s="50" t="n">
        <v>536.9</v>
      </c>
    </row>
    <row r="256">
      <c r="A256" s="50" t="inlineStr">
        <is>
          <t>1996-12-01</t>
        </is>
      </c>
      <c r="B256" s="50" t="n">
        <v>525.3</v>
      </c>
    </row>
    <row r="257">
      <c r="A257" s="50" t="inlineStr">
        <is>
          <t>1997-01-01</t>
        </is>
      </c>
      <c r="B257" s="50" t="n">
        <v>480.6</v>
      </c>
    </row>
    <row r="258">
      <c r="A258" s="50" t="inlineStr">
        <is>
          <t>1997-02-01</t>
        </is>
      </c>
      <c r="B258" s="50" t="n">
        <v>506.6</v>
      </c>
    </row>
    <row r="259">
      <c r="A259" s="50" t="inlineStr">
        <is>
          <t>1997-03-01</t>
        </is>
      </c>
      <c r="B259" s="50" t="n">
        <v>630.6</v>
      </c>
    </row>
    <row r="260">
      <c r="A260" s="50" t="inlineStr">
        <is>
          <t>1997-04-01</t>
        </is>
      </c>
      <c r="B260" s="50" t="n">
        <v>581.7</v>
      </c>
    </row>
    <row r="261">
      <c r="A261" s="50" t="inlineStr">
        <is>
          <t>1997-05-01</t>
        </is>
      </c>
      <c r="B261" s="50" t="n">
        <v>635.4</v>
      </c>
    </row>
    <row r="262">
      <c r="A262" s="50" t="inlineStr">
        <is>
          <t>1997-06-01</t>
        </is>
      </c>
      <c r="B262" s="50" t="n">
        <v>588</v>
      </c>
    </row>
    <row r="263">
      <c r="A263" s="50" t="inlineStr">
        <is>
          <t>1997-07-01</t>
        </is>
      </c>
      <c r="B263" s="50" t="n">
        <v>609.6</v>
      </c>
    </row>
    <row r="264">
      <c r="A264" s="50" t="inlineStr">
        <is>
          <t>1997-08-01</t>
        </is>
      </c>
      <c r="B264" s="50" t="n">
        <v>581.5</v>
      </c>
    </row>
    <row r="265">
      <c r="A265" s="50" t="inlineStr">
        <is>
          <t>1997-09-01</t>
        </is>
      </c>
      <c r="B265" s="50" t="n">
        <v>543.8</v>
      </c>
    </row>
    <row r="266">
      <c r="A266" s="50" t="inlineStr">
        <is>
          <t>1997-10-01</t>
        </is>
      </c>
      <c r="B266" s="50" t="n">
        <v>586.9</v>
      </c>
    </row>
    <row r="267">
      <c r="A267" s="50" t="inlineStr">
        <is>
          <t>1997-11-01</t>
        </is>
      </c>
      <c r="B267" s="50" t="n">
        <v>559.3</v>
      </c>
    </row>
    <row r="268">
      <c r="A268" s="50" t="inlineStr">
        <is>
          <t>1997-12-01</t>
        </is>
      </c>
      <c r="B268" s="50" t="n">
        <v>600.2</v>
      </c>
    </row>
    <row r="269">
      <c r="A269" s="50" t="inlineStr">
        <is>
          <t>1998-01-01</t>
        </is>
      </c>
      <c r="B269" s="50" t="n">
        <v>494.6</v>
      </c>
    </row>
    <row r="270">
      <c r="A270" s="50" t="inlineStr">
        <is>
          <t>1998-02-01</t>
        </is>
      </c>
      <c r="B270" s="50" t="n">
        <v>532.4</v>
      </c>
    </row>
    <row r="271">
      <c r="A271" s="50" t="inlineStr">
        <is>
          <t>1998-03-01</t>
        </is>
      </c>
      <c r="B271" s="50" t="n">
        <v>648.9</v>
      </c>
    </row>
    <row r="272">
      <c r="A272" s="50" t="inlineStr">
        <is>
          <t>1998-04-01</t>
        </is>
      </c>
      <c r="B272" s="50" t="n">
        <v>646.4</v>
      </c>
    </row>
    <row r="273">
      <c r="A273" s="50" t="inlineStr">
        <is>
          <t>1998-05-01</t>
        </is>
      </c>
      <c r="B273" s="50" t="n">
        <v>719.7</v>
      </c>
    </row>
    <row r="274">
      <c r="A274" s="50" t="inlineStr">
        <is>
          <t>1998-06-01</t>
        </is>
      </c>
      <c r="B274" s="50" t="n">
        <v>755.6</v>
      </c>
    </row>
    <row r="275">
      <c r="A275" s="50" t="inlineStr">
        <is>
          <t>1998-07-01</t>
        </is>
      </c>
      <c r="B275" s="50" t="n">
        <v>598.9</v>
      </c>
    </row>
    <row r="276">
      <c r="A276" s="50" t="inlineStr">
        <is>
          <t>1998-08-01</t>
        </is>
      </c>
      <c r="B276" s="50" t="n">
        <v>559.3</v>
      </c>
    </row>
    <row r="277">
      <c r="A277" s="50" t="inlineStr">
        <is>
          <t>1998-09-01</t>
        </is>
      </c>
      <c r="B277" s="50" t="n">
        <v>597.7</v>
      </c>
    </row>
    <row r="278">
      <c r="A278" s="50" t="inlineStr">
        <is>
          <t>1998-10-01</t>
        </is>
      </c>
      <c r="B278" s="50" t="n">
        <v>660.2</v>
      </c>
    </row>
    <row r="279">
      <c r="A279" s="50" t="inlineStr">
        <is>
          <t>1998-11-01</t>
        </is>
      </c>
      <c r="B279" s="50" t="n">
        <v>585.2</v>
      </c>
    </row>
    <row r="280">
      <c r="A280" s="50" t="inlineStr">
        <is>
          <t>1998-12-01</t>
        </is>
      </c>
      <c r="B280" s="50" t="n">
        <v>659.2</v>
      </c>
    </row>
    <row r="281">
      <c r="A281" s="50" t="inlineStr">
        <is>
          <t>1999-01-01</t>
        </is>
      </c>
      <c r="B281" s="50" t="n">
        <v>547.2</v>
      </c>
    </row>
    <row r="282">
      <c r="A282" s="50" t="inlineStr">
        <is>
          <t>1999-02-01</t>
        </is>
      </c>
      <c r="B282" s="50" t="n">
        <v>619.9</v>
      </c>
    </row>
    <row r="283">
      <c r="A283" s="50" t="inlineStr">
        <is>
          <t>1999-03-01</t>
        </is>
      </c>
      <c r="B283" s="50" t="n">
        <v>748.4</v>
      </c>
    </row>
    <row r="284">
      <c r="A284" s="50" t="inlineStr">
        <is>
          <t>1999-04-01</t>
        </is>
      </c>
      <c r="B284" s="50" t="n">
        <v>671.7</v>
      </c>
    </row>
    <row r="285">
      <c r="A285" s="50" t="inlineStr">
        <is>
          <t>1999-05-01</t>
        </is>
      </c>
      <c r="B285" s="50" t="n">
        <v>762.1</v>
      </c>
    </row>
    <row r="286">
      <c r="A286" s="50" t="inlineStr">
        <is>
          <t>1999-06-01</t>
        </is>
      </c>
      <c r="B286" s="50" t="n">
        <v>777.7</v>
      </c>
    </row>
    <row r="287">
      <c r="A287" s="50" t="inlineStr">
        <is>
          <t>1999-07-01</t>
        </is>
      </c>
      <c r="B287" s="50" t="n">
        <v>720.6</v>
      </c>
    </row>
    <row r="288">
      <c r="A288" s="50" t="inlineStr">
        <is>
          <t>1999-08-01</t>
        </is>
      </c>
      <c r="B288" s="50" t="n">
        <v>687.6</v>
      </c>
    </row>
    <row r="289">
      <c r="A289" s="50" t="inlineStr">
        <is>
          <t>1999-09-01</t>
        </is>
      </c>
      <c r="B289" s="50" t="n">
        <v>688</v>
      </c>
    </row>
    <row r="290">
      <c r="A290" s="50" t="inlineStr">
        <is>
          <t>1999-10-01</t>
        </is>
      </c>
      <c r="B290" s="50" t="n">
        <v>668.9</v>
      </c>
    </row>
    <row r="291">
      <c r="A291" s="50" t="inlineStr">
        <is>
          <t>1999-11-01</t>
        </is>
      </c>
      <c r="B291" s="50" t="n">
        <v>642.5</v>
      </c>
    </row>
    <row r="292">
      <c r="A292" s="50" t="inlineStr">
        <is>
          <t>1999-12-01</t>
        </is>
      </c>
      <c r="B292" s="50" t="n">
        <v>721.4</v>
      </c>
    </row>
    <row r="293">
      <c r="A293" s="50" t="inlineStr">
        <is>
          <t>2000-01-01</t>
        </is>
      </c>
      <c r="B293" s="50" t="n">
        <v>588.1</v>
      </c>
    </row>
    <row r="294">
      <c r="A294" s="50" t="inlineStr">
        <is>
          <t>2000-02-01</t>
        </is>
      </c>
      <c r="B294" s="50" t="n">
        <v>736.3</v>
      </c>
    </row>
    <row r="295">
      <c r="A295" s="50" t="inlineStr">
        <is>
          <t>2000-03-01</t>
        </is>
      </c>
      <c r="B295" s="50" t="n">
        <v>833.3</v>
      </c>
    </row>
    <row r="296">
      <c r="A296" s="50" t="inlineStr">
        <is>
          <t>2000-04-01</t>
        </is>
      </c>
      <c r="B296" s="50" t="n">
        <v>725.3</v>
      </c>
    </row>
    <row r="297">
      <c r="A297" s="50" t="inlineStr">
        <is>
          <t>2000-05-01</t>
        </is>
      </c>
      <c r="B297" s="50" t="n">
        <v>791.7</v>
      </c>
    </row>
    <row r="298">
      <c r="A298" s="50" t="inlineStr">
        <is>
          <t>2000-06-01</t>
        </is>
      </c>
      <c r="B298" s="50" t="n">
        <v>778.7</v>
      </c>
    </row>
    <row r="299">
      <c r="A299" s="50" t="inlineStr">
        <is>
          <t>2000-07-01</t>
        </is>
      </c>
      <c r="B299" s="50" t="n">
        <v>693.6</v>
      </c>
    </row>
    <row r="300">
      <c r="A300" s="50" t="inlineStr">
        <is>
          <t>2000-08-01</t>
        </is>
      </c>
      <c r="B300" s="50" t="n">
        <v>743.3</v>
      </c>
    </row>
    <row r="301">
      <c r="A301" s="50" t="inlineStr">
        <is>
          <t>2000-09-01</t>
        </is>
      </c>
      <c r="B301" s="50" t="n">
        <v>731.9</v>
      </c>
    </row>
    <row r="302">
      <c r="A302" s="50" t="inlineStr">
        <is>
          <t>2000-10-01</t>
        </is>
      </c>
      <c r="B302" s="50" t="n">
        <v>674.8</v>
      </c>
    </row>
    <row r="303">
      <c r="A303" s="50" t="inlineStr">
        <is>
          <t>2000-11-01</t>
        </is>
      </c>
      <c r="B303" s="50" t="n">
        <v>638.6</v>
      </c>
    </row>
    <row r="304">
      <c r="A304" s="50" t="inlineStr">
        <is>
          <t>2000-12-01</t>
        </is>
      </c>
      <c r="B304" s="50" t="n">
        <v>636.4</v>
      </c>
    </row>
    <row r="305">
      <c r="A305" s="50" t="inlineStr">
        <is>
          <t>2001-01-01</t>
        </is>
      </c>
      <c r="B305" s="50" t="n">
        <v>581.1</v>
      </c>
    </row>
    <row r="306">
      <c r="A306" s="50" t="inlineStr">
        <is>
          <t>2001-02-01</t>
        </is>
      </c>
      <c r="B306" s="50" t="n">
        <v>657.9</v>
      </c>
    </row>
    <row r="307">
      <c r="A307" s="50" t="inlineStr">
        <is>
          <t>2001-03-01</t>
        </is>
      </c>
      <c r="B307" s="50" t="n">
        <v>809.7</v>
      </c>
    </row>
    <row r="308">
      <c r="A308" s="50" t="inlineStr">
        <is>
          <t>2001-04-01</t>
        </is>
      </c>
      <c r="B308" s="50" t="n">
        <v>661.8</v>
      </c>
    </row>
    <row r="309">
      <c r="A309" s="50" t="inlineStr">
        <is>
          <t>2001-05-01</t>
        </is>
      </c>
      <c r="B309" s="50" t="n">
        <v>790.9</v>
      </c>
    </row>
    <row r="310">
      <c r="A310" s="50" t="inlineStr">
        <is>
          <t>2001-06-01</t>
        </is>
      </c>
      <c r="B310" s="50" t="n">
        <v>815.3</v>
      </c>
    </row>
    <row r="311">
      <c r="A311" s="50" t="inlineStr">
        <is>
          <t>2001-07-01</t>
        </is>
      </c>
      <c r="B311" s="50" t="n">
        <v>686.3</v>
      </c>
    </row>
    <row r="312">
      <c r="A312" s="50" t="inlineStr">
        <is>
          <t>2001-08-01</t>
        </is>
      </c>
      <c r="B312" s="50" t="n">
        <v>728.3</v>
      </c>
    </row>
    <row r="313">
      <c r="A313" s="50" t="inlineStr">
        <is>
          <t>2001-09-01</t>
        </is>
      </c>
      <c r="B313" s="50" t="n">
        <v>654</v>
      </c>
    </row>
    <row r="314">
      <c r="A314" s="50" t="inlineStr">
        <is>
          <t>2001-10-01</t>
        </is>
      </c>
      <c r="B314" s="50" t="n">
        <v>915.4</v>
      </c>
    </row>
    <row r="315">
      <c r="A315" s="50" t="inlineStr">
        <is>
          <t>2001-11-01</t>
        </is>
      </c>
      <c r="B315" s="50" t="n">
        <v>727.4</v>
      </c>
    </row>
    <row r="316">
      <c r="A316" s="50" t="inlineStr">
        <is>
          <t>2001-12-01</t>
        </is>
      </c>
      <c r="B316" s="50" t="n">
        <v>742.2</v>
      </c>
    </row>
    <row r="317">
      <c r="A317" s="50" t="inlineStr">
        <is>
          <t>2002-01-01</t>
        </is>
      </c>
      <c r="B317" s="50" t="n">
        <v>587.3819999999999</v>
      </c>
    </row>
    <row r="318">
      <c r="A318" s="50" t="inlineStr">
        <is>
          <t>2002-02-01</t>
        </is>
      </c>
      <c r="B318" s="50" t="n">
        <v>687.003</v>
      </c>
    </row>
    <row r="319">
      <c r="A319" s="50" t="inlineStr">
        <is>
          <t>2002-03-01</t>
        </is>
      </c>
      <c r="B319" s="50" t="n">
        <v>776.83</v>
      </c>
    </row>
    <row r="320">
      <c r="A320" s="50" t="inlineStr">
        <is>
          <t>2002-04-01</t>
        </is>
      </c>
      <c r="B320" s="50" t="n">
        <v>728.894</v>
      </c>
    </row>
    <row r="321">
      <c r="A321" s="50" t="inlineStr">
        <is>
          <t>2002-05-01</t>
        </is>
      </c>
      <c r="B321" s="50" t="n">
        <v>753.5599999999999</v>
      </c>
    </row>
    <row r="322">
      <c r="A322" s="50" t="inlineStr">
        <is>
          <t>2002-06-01</t>
        </is>
      </c>
      <c r="B322" s="50" t="n">
        <v>780.808</v>
      </c>
    </row>
    <row r="323">
      <c r="A323" s="50" t="inlineStr">
        <is>
          <t>2002-07-01</t>
        </is>
      </c>
      <c r="B323" s="50" t="n">
        <v>789.422</v>
      </c>
    </row>
    <row r="324">
      <c r="A324" s="50" t="inlineStr">
        <is>
          <t>2002-08-01</t>
        </is>
      </c>
      <c r="B324" s="50" t="n">
        <v>883.095</v>
      </c>
    </row>
    <row r="325">
      <c r="A325" s="50" t="inlineStr">
        <is>
          <t>2002-09-01</t>
        </is>
      </c>
      <c r="B325" s="50" t="n">
        <v>625.99</v>
      </c>
    </row>
    <row r="326">
      <c r="A326" s="50" t="inlineStr">
        <is>
          <t>2002-10-01</t>
        </is>
      </c>
      <c r="B326" s="50" t="n">
        <v>701.813</v>
      </c>
    </row>
    <row r="327">
      <c r="A327" s="50" t="inlineStr">
        <is>
          <t>2002-11-01</t>
        </is>
      </c>
      <c r="B327" s="50" t="n">
        <v>636.4930000000001</v>
      </c>
    </row>
    <row r="328">
      <c r="A328" s="50" t="inlineStr">
        <is>
          <t>2002-12-01</t>
        </is>
      </c>
      <c r="B328" s="50" t="n">
        <v>822.823</v>
      </c>
    </row>
    <row r="329">
      <c r="A329" s="50" t="inlineStr">
        <is>
          <t>2003-01-01</t>
        </is>
      </c>
      <c r="B329" s="50" t="n">
        <v>548.499</v>
      </c>
    </row>
    <row r="330">
      <c r="A330" s="50" t="inlineStr">
        <is>
          <t>2003-02-01</t>
        </is>
      </c>
      <c r="B330" s="50" t="n">
        <v>641.018</v>
      </c>
    </row>
    <row r="331">
      <c r="A331" s="50" t="inlineStr">
        <is>
          <t>2003-03-01</t>
        </is>
      </c>
      <c r="B331" s="50" t="n">
        <v>762.481</v>
      </c>
    </row>
    <row r="332">
      <c r="A332" s="50" t="inlineStr">
        <is>
          <t>2003-04-01</t>
        </is>
      </c>
      <c r="B332" s="50" t="n">
        <v>759.548</v>
      </c>
    </row>
    <row r="333">
      <c r="A333" s="50" t="inlineStr">
        <is>
          <t>2003-05-01</t>
        </is>
      </c>
      <c r="B333" s="50" t="n">
        <v>851.651</v>
      </c>
    </row>
    <row r="334">
      <c r="A334" s="50" t="inlineStr">
        <is>
          <t>2003-06-01</t>
        </is>
      </c>
      <c r="B334" s="50" t="n">
        <v>790.097</v>
      </c>
    </row>
    <row r="335">
      <c r="A335" s="50" t="inlineStr">
        <is>
          <t>2003-07-01</t>
        </is>
      </c>
      <c r="B335" s="50" t="n">
        <v>834.889</v>
      </c>
    </row>
    <row r="336">
      <c r="A336" s="50" t="inlineStr">
        <is>
          <t>2003-08-01</t>
        </is>
      </c>
      <c r="B336" s="50" t="n">
        <v>896.811</v>
      </c>
    </row>
    <row r="337">
      <c r="A337" s="50" t="inlineStr">
        <is>
          <t>2003-09-01</t>
        </is>
      </c>
      <c r="B337" s="50" t="n">
        <v>708.876</v>
      </c>
    </row>
    <row r="338">
      <c r="A338" s="50" t="inlineStr">
        <is>
          <t>2003-10-01</t>
        </is>
      </c>
      <c r="B338" s="50" t="n">
        <v>732.9</v>
      </c>
    </row>
    <row r="339">
      <c r="A339" s="50" t="inlineStr">
        <is>
          <t>2003-11-01</t>
        </is>
      </c>
      <c r="B339" s="50" t="n">
        <v>704.581</v>
      </c>
    </row>
    <row r="340">
      <c r="A340" s="50" t="inlineStr">
        <is>
          <t>2003-12-01</t>
        </is>
      </c>
      <c r="B340" s="50" t="n">
        <v>852.151</v>
      </c>
    </row>
    <row r="341">
      <c r="A341" s="50" t="inlineStr">
        <is>
          <t>2004-01-01</t>
        </is>
      </c>
      <c r="B341" s="50" t="n">
        <v>631.421</v>
      </c>
    </row>
    <row r="342">
      <c r="A342" s="50" t="inlineStr">
        <is>
          <t>2004-02-01</t>
        </is>
      </c>
      <c r="B342" s="50" t="n">
        <v>696.511</v>
      </c>
    </row>
    <row r="343">
      <c r="A343" s="50" t="inlineStr">
        <is>
          <t>2004-03-01</t>
        </is>
      </c>
      <c r="B343" s="50" t="n">
        <v>815.22</v>
      </c>
    </row>
    <row r="344">
      <c r="A344" s="50" t="inlineStr">
        <is>
          <t>2004-04-01</t>
        </is>
      </c>
      <c r="B344" s="50" t="n">
        <v>779.687</v>
      </c>
    </row>
    <row r="345">
      <c r="A345" s="50" t="inlineStr">
        <is>
          <t>2004-05-01</t>
        </is>
      </c>
      <c r="B345" s="50" t="n">
        <v>884.755</v>
      </c>
    </row>
    <row r="346">
      <c r="A346" s="50" t="inlineStr">
        <is>
          <t>2004-06-01</t>
        </is>
      </c>
      <c r="B346" s="50" t="n">
        <v>775.644</v>
      </c>
    </row>
    <row r="347">
      <c r="A347" s="50" t="inlineStr">
        <is>
          <t>2004-07-01</t>
        </is>
      </c>
      <c r="B347" s="50" t="n">
        <v>871.54</v>
      </c>
    </row>
    <row r="348">
      <c r="A348" s="50" t="inlineStr">
        <is>
          <t>2004-08-01</t>
        </is>
      </c>
      <c r="B348" s="50" t="n">
        <v>789.591</v>
      </c>
    </row>
    <row r="349">
      <c r="A349" s="50" t="inlineStr">
        <is>
          <t>2004-09-01</t>
        </is>
      </c>
      <c r="B349" s="50" t="n">
        <v>827.918</v>
      </c>
    </row>
    <row r="350">
      <c r="A350" s="50" t="inlineStr">
        <is>
          <t>2004-10-01</t>
        </is>
      </c>
      <c r="B350" s="50" t="n">
        <v>747.927</v>
      </c>
    </row>
    <row r="351">
      <c r="A351" s="50" t="inlineStr">
        <is>
          <t>2004-11-01</t>
        </is>
      </c>
      <c r="B351" s="50" t="n">
        <v>677.765</v>
      </c>
    </row>
    <row r="352">
      <c r="A352" s="50" t="inlineStr">
        <is>
          <t>2004-12-01</t>
        </is>
      </c>
      <c r="B352" s="50" t="n">
        <v>886.386</v>
      </c>
    </row>
    <row r="353">
      <c r="A353" s="50" t="inlineStr">
        <is>
          <t>2005-01-01</t>
        </is>
      </c>
      <c r="B353" s="50" t="n">
        <v>573.211</v>
      </c>
    </row>
    <row r="354">
      <c r="A354" s="50" t="inlineStr">
        <is>
          <t>2005-02-01</t>
        </is>
      </c>
      <c r="B354" s="50" t="n">
        <v>678.583</v>
      </c>
    </row>
    <row r="355">
      <c r="A355" s="50" t="inlineStr">
        <is>
          <t>2005-03-01</t>
        </is>
      </c>
      <c r="B355" s="50" t="n">
        <v>853.6849999999999</v>
      </c>
    </row>
    <row r="356">
      <c r="A356" s="50" t="inlineStr">
        <is>
          <t>2005-04-01</t>
        </is>
      </c>
      <c r="B356" s="50" t="n">
        <v>785.207</v>
      </c>
    </row>
    <row r="357">
      <c r="A357" s="50" t="inlineStr">
        <is>
          <t>2005-05-01</t>
        </is>
      </c>
      <c r="B357" s="50" t="n">
        <v>805.58</v>
      </c>
    </row>
    <row r="358">
      <c r="A358" s="50" t="inlineStr">
        <is>
          <t>2005-06-01</t>
        </is>
      </c>
      <c r="B358" s="50" t="n">
        <v>969.1559999999999</v>
      </c>
    </row>
    <row r="359">
      <c r="A359" s="50" t="inlineStr">
        <is>
          <t>2005-07-01</t>
        </is>
      </c>
      <c r="B359" s="50" t="n">
        <v>1092.925</v>
      </c>
    </row>
    <row r="360">
      <c r="A360" s="50" t="inlineStr">
        <is>
          <t>2005-08-01</t>
        </is>
      </c>
      <c r="B360" s="50" t="n">
        <v>783.422</v>
      </c>
    </row>
    <row r="361">
      <c r="A361" s="50" t="inlineStr">
        <is>
          <t>2005-09-01</t>
        </is>
      </c>
      <c r="B361" s="50" t="n">
        <v>680.556</v>
      </c>
    </row>
    <row r="362">
      <c r="A362" s="50" t="inlineStr">
        <is>
          <t>2005-10-01</t>
        </is>
      </c>
      <c r="B362" s="50" t="n">
        <v>582.272</v>
      </c>
    </row>
    <row r="363">
      <c r="A363" s="50" t="inlineStr">
        <is>
          <t>2005-11-01</t>
        </is>
      </c>
      <c r="B363" s="50" t="n">
        <v>620.467</v>
      </c>
    </row>
    <row r="364">
      <c r="A364" s="50" t="inlineStr">
        <is>
          <t>2005-12-01</t>
        </is>
      </c>
      <c r="B364" s="50" t="n">
        <v>862.707</v>
      </c>
    </row>
    <row r="365">
      <c r="A365" s="50" t="inlineStr">
        <is>
          <t>2006-01-01</t>
        </is>
      </c>
      <c r="B365" s="50" t="n">
        <v>581.126</v>
      </c>
    </row>
    <row r="366">
      <c r="A366" s="50" t="inlineStr">
        <is>
          <t>2006-02-01</t>
        </is>
      </c>
      <c r="B366" s="50" t="n">
        <v>687.8819999999999</v>
      </c>
    </row>
    <row r="367">
      <c r="A367" s="50" t="inlineStr">
        <is>
          <t>2006-03-01</t>
        </is>
      </c>
      <c r="B367" s="50" t="n">
        <v>834.96</v>
      </c>
    </row>
    <row r="368">
      <c r="A368" s="50" t="inlineStr">
        <is>
          <t>2006-04-01</t>
        </is>
      </c>
      <c r="B368" s="50" t="n">
        <v>732.379</v>
      </c>
    </row>
    <row r="369">
      <c r="A369" s="50" t="inlineStr">
        <is>
          <t>2006-05-01</t>
        </is>
      </c>
      <c r="B369" s="50" t="n">
        <v>755.2380000000001</v>
      </c>
    </row>
    <row r="370">
      <c r="A370" s="50" t="inlineStr">
        <is>
          <t>2006-06-01</t>
        </is>
      </c>
      <c r="B370" s="50" t="n">
        <v>782.819</v>
      </c>
    </row>
    <row r="371">
      <c r="A371" s="50" t="inlineStr">
        <is>
          <t>2006-07-01</t>
        </is>
      </c>
      <c r="B371" s="50" t="n">
        <v>778.197</v>
      </c>
    </row>
    <row r="372">
      <c r="A372" s="50" t="inlineStr">
        <is>
          <t>2006-08-01</t>
        </is>
      </c>
      <c r="B372" s="50" t="n">
        <v>763.117</v>
      </c>
    </row>
    <row r="373">
      <c r="A373" s="50" t="inlineStr">
        <is>
          <t>2006-09-01</t>
        </is>
      </c>
      <c r="B373" s="50" t="n">
        <v>715.782</v>
      </c>
    </row>
    <row r="374">
      <c r="A374" s="50" t="inlineStr">
        <is>
          <t>2006-10-01</t>
        </is>
      </c>
      <c r="B374" s="50" t="n">
        <v>668.324</v>
      </c>
    </row>
    <row r="375">
      <c r="A375" s="50" t="inlineStr">
        <is>
          <t>2006-11-01</t>
        </is>
      </c>
      <c r="B375" s="50" t="n">
        <v>660.795</v>
      </c>
    </row>
    <row r="376">
      <c r="A376" s="50" t="inlineStr">
        <is>
          <t>2006-12-01</t>
        </is>
      </c>
      <c r="B376" s="50" t="n">
        <v>782.189</v>
      </c>
    </row>
    <row r="377">
      <c r="A377" s="50" t="inlineStr">
        <is>
          <t>2007-01-01</t>
        </is>
      </c>
      <c r="B377" s="50" t="n">
        <v>580.99</v>
      </c>
    </row>
    <row r="378">
      <c r="A378" s="50" t="inlineStr">
        <is>
          <t>2007-02-01</t>
        </is>
      </c>
      <c r="B378" s="50" t="n">
        <v>690.502</v>
      </c>
    </row>
    <row r="379">
      <c r="A379" s="50" t="inlineStr">
        <is>
          <t>2007-03-01</t>
        </is>
      </c>
      <c r="B379" s="50" t="n">
        <v>818.0119999999999</v>
      </c>
    </row>
    <row r="380">
      <c r="A380" s="50" t="inlineStr">
        <is>
          <t>2007-04-01</t>
        </is>
      </c>
      <c r="B380" s="50" t="n">
        <v>709.502</v>
      </c>
    </row>
    <row r="381">
      <c r="A381" s="50" t="inlineStr">
        <is>
          <t>2007-05-01</t>
        </is>
      </c>
      <c r="B381" s="50" t="n">
        <v>782.622</v>
      </c>
    </row>
    <row r="382">
      <c r="A382" s="50" t="inlineStr">
        <is>
          <t>2007-06-01</t>
        </is>
      </c>
      <c r="B382" s="50" t="n">
        <v>733.65</v>
      </c>
    </row>
    <row r="383">
      <c r="A383" s="50" t="inlineStr">
        <is>
          <t>2007-07-01</t>
        </is>
      </c>
      <c r="B383" s="50" t="n">
        <v>686.87</v>
      </c>
    </row>
    <row r="384">
      <c r="A384" s="50" t="inlineStr">
        <is>
          <t>2007-08-01</t>
        </is>
      </c>
      <c r="B384" s="50" t="n">
        <v>792.223</v>
      </c>
    </row>
    <row r="385">
      <c r="A385" s="50" t="inlineStr">
        <is>
          <t>2007-09-01</t>
        </is>
      </c>
      <c r="B385" s="50" t="n">
        <v>698.951</v>
      </c>
    </row>
    <row r="386">
      <c r="A386" s="50" t="inlineStr">
        <is>
          <t>2007-10-01</t>
        </is>
      </c>
      <c r="B386" s="50" t="n">
        <v>666.489</v>
      </c>
    </row>
    <row r="387">
      <c r="A387" s="50" t="inlineStr">
        <is>
          <t>2007-11-01</t>
        </is>
      </c>
      <c r="B387" s="50" t="n">
        <v>611.463</v>
      </c>
    </row>
    <row r="388">
      <c r="A388" s="50" t="inlineStr">
        <is>
          <t>2007-12-01</t>
        </is>
      </c>
      <c r="B388" s="50" t="n">
        <v>755.614</v>
      </c>
    </row>
    <row r="389">
      <c r="A389" s="50" t="inlineStr">
        <is>
          <t>2008-01-01</t>
        </is>
      </c>
      <c r="B389" s="50" t="n">
        <v>543.326</v>
      </c>
    </row>
    <row r="390">
      <c r="A390" s="50" t="inlineStr">
        <is>
          <t>2008-02-01</t>
        </is>
      </c>
      <c r="B390" s="50" t="n">
        <v>616.1799999999999</v>
      </c>
    </row>
    <row r="391">
      <c r="A391" s="50" t="inlineStr">
        <is>
          <t>2008-03-01</t>
        </is>
      </c>
      <c r="B391" s="50" t="n">
        <v>672.139</v>
      </c>
    </row>
    <row r="392">
      <c r="A392" s="50" t="inlineStr">
        <is>
          <t>2008-04-01</t>
        </is>
      </c>
      <c r="B392" s="50" t="n">
        <v>586.707</v>
      </c>
    </row>
    <row r="393">
      <c r="A393" s="50" t="inlineStr">
        <is>
          <t>2008-05-01</t>
        </is>
      </c>
      <c r="B393" s="50" t="n">
        <v>598.424</v>
      </c>
    </row>
    <row r="394">
      <c r="A394" s="50" t="inlineStr">
        <is>
          <t>2008-06-01</t>
        </is>
      </c>
      <c r="B394" s="50" t="n">
        <v>525.573</v>
      </c>
    </row>
    <row r="395">
      <c r="A395" s="50" t="inlineStr">
        <is>
          <t>2008-07-01</t>
        </is>
      </c>
      <c r="B395" s="50" t="n">
        <v>513.362</v>
      </c>
    </row>
    <row r="396">
      <c r="A396" s="50" t="inlineStr">
        <is>
          <t>2008-08-01</t>
        </is>
      </c>
      <c r="B396" s="50" t="n">
        <v>619.398</v>
      </c>
    </row>
    <row r="397">
      <c r="A397" s="50" t="inlineStr">
        <is>
          <t>2008-09-01</t>
        </is>
      </c>
      <c r="B397" s="50" t="n">
        <v>483.906</v>
      </c>
    </row>
    <row r="398">
      <c r="A398" s="50" t="inlineStr">
        <is>
          <t>2008-10-01</t>
        </is>
      </c>
      <c r="B398" s="50" t="n">
        <v>407.492</v>
      </c>
    </row>
    <row r="399">
      <c r="A399" s="50" t="inlineStr">
        <is>
          <t>2008-11-01</t>
        </is>
      </c>
      <c r="B399" s="50" t="n">
        <v>386.509</v>
      </c>
    </row>
    <row r="400">
      <c r="A400" s="50" t="inlineStr">
        <is>
          <t>2008-12-01</t>
        </is>
      </c>
      <c r="B400" s="50" t="n">
        <v>472.618</v>
      </c>
    </row>
    <row r="401">
      <c r="A401" s="50" t="inlineStr">
        <is>
          <t>2009-01-01</t>
        </is>
      </c>
      <c r="B401" s="50" t="n">
        <v>342.093</v>
      </c>
    </row>
    <row r="402">
      <c r="A402" s="50" t="inlineStr">
        <is>
          <t>2009-02-01</t>
        </is>
      </c>
      <c r="B402" s="50" t="n">
        <v>348.674</v>
      </c>
    </row>
    <row r="403">
      <c r="A403" s="50" t="inlineStr">
        <is>
          <t>2009-03-01</t>
        </is>
      </c>
      <c r="B403" s="50" t="n">
        <v>413.181</v>
      </c>
    </row>
    <row r="404">
      <c r="A404" s="50" t="inlineStr">
        <is>
          <t>2009-04-01</t>
        </is>
      </c>
      <c r="B404" s="50" t="n">
        <v>390.825</v>
      </c>
    </row>
    <row r="405">
      <c r="A405" s="50" t="inlineStr">
        <is>
          <t>2009-05-01</t>
        </is>
      </c>
      <c r="B405" s="50" t="n">
        <v>443.202</v>
      </c>
    </row>
    <row r="406">
      <c r="A406" s="50" t="inlineStr">
        <is>
          <t>2009-06-01</t>
        </is>
      </c>
      <c r="B406" s="50" t="n">
        <v>404.925</v>
      </c>
    </row>
    <row r="407">
      <c r="A407" s="50" t="inlineStr">
        <is>
          <t>2009-07-01</t>
        </is>
      </c>
      <c r="B407" s="50" t="n">
        <v>450.299</v>
      </c>
    </row>
    <row r="408">
      <c r="A408" s="50" t="inlineStr">
        <is>
          <t>2009-08-01</t>
        </is>
      </c>
      <c r="B408" s="50" t="n">
        <v>544.37</v>
      </c>
    </row>
    <row r="409">
      <c r="A409" s="50" t="inlineStr">
        <is>
          <t>2009-09-01</t>
        </is>
      </c>
      <c r="B409" s="50" t="n">
        <v>350.198</v>
      </c>
    </row>
    <row r="410">
      <c r="A410" s="50" t="inlineStr">
        <is>
          <t>2009-10-01</t>
        </is>
      </c>
      <c r="B410" s="50" t="n">
        <v>414.791</v>
      </c>
    </row>
    <row r="411">
      <c r="A411" s="50" t="inlineStr">
        <is>
          <t>2009-11-01</t>
        </is>
      </c>
      <c r="B411" s="50" t="n">
        <v>376.178</v>
      </c>
    </row>
    <row r="412">
      <c r="A412" s="50" t="inlineStr">
        <is>
          <t>2009-12-01</t>
        </is>
      </c>
      <c r="B412" s="50" t="n">
        <v>522.056</v>
      </c>
    </row>
    <row r="413">
      <c r="A413" s="50" t="inlineStr">
        <is>
          <t>2010-01-01</t>
        </is>
      </c>
      <c r="B413" s="50" t="n">
        <v>340.354</v>
      </c>
    </row>
    <row r="414">
      <c r="A414" s="50" t="inlineStr">
        <is>
          <t>2010-02-01</t>
        </is>
      </c>
      <c r="B414" s="50" t="n">
        <v>385.377</v>
      </c>
    </row>
    <row r="415">
      <c r="A415" s="50" t="inlineStr">
        <is>
          <t>2010-03-01</t>
        </is>
      </c>
      <c r="B415" s="50" t="n">
        <v>530.182</v>
      </c>
    </row>
    <row r="416">
      <c r="A416" s="50" t="inlineStr">
        <is>
          <t>2010-04-01</t>
        </is>
      </c>
      <c r="B416" s="50" t="n">
        <v>486.834</v>
      </c>
    </row>
    <row r="417">
      <c r="A417" s="50" t="inlineStr">
        <is>
          <t>2010-05-01</t>
        </is>
      </c>
      <c r="B417" s="50" t="n">
        <v>545.575</v>
      </c>
    </row>
    <row r="418">
      <c r="A418" s="50" t="inlineStr">
        <is>
          <t>2010-06-01</t>
        </is>
      </c>
      <c r="B418" s="50" t="n">
        <v>487.79</v>
      </c>
    </row>
    <row r="419">
      <c r="A419" s="50" t="inlineStr">
        <is>
          <t>2010-07-01</t>
        </is>
      </c>
      <c r="B419" s="50" t="n">
        <v>532.037</v>
      </c>
    </row>
    <row r="420">
      <c r="A420" s="50" t="inlineStr">
        <is>
          <t>2010-08-01</t>
        </is>
      </c>
      <c r="B420" s="50" t="n">
        <v>503.507</v>
      </c>
    </row>
    <row r="421">
      <c r="A421" s="50" t="inlineStr">
        <is>
          <t>2010-09-01</t>
        </is>
      </c>
      <c r="B421" s="50" t="n">
        <v>492.717</v>
      </c>
    </row>
    <row r="422">
      <c r="A422" s="50" t="inlineStr">
        <is>
          <t>2010-10-01</t>
        </is>
      </c>
      <c r="B422" s="50" t="n">
        <v>510.232</v>
      </c>
    </row>
    <row r="423">
      <c r="A423" s="50" t="inlineStr">
        <is>
          <t>2010-11-01</t>
        </is>
      </c>
      <c r="B423" s="50" t="n">
        <v>473.965</v>
      </c>
    </row>
    <row r="424">
      <c r="A424" s="50" t="inlineStr">
        <is>
          <t>2010-12-01</t>
        </is>
      </c>
      <c r="B424" s="50" t="n">
        <v>630.515</v>
      </c>
    </row>
    <row r="425">
      <c r="A425" s="50" t="inlineStr">
        <is>
          <t>2011-01-01</t>
        </is>
      </c>
      <c r="B425" s="50" t="n">
        <v>437.844</v>
      </c>
    </row>
    <row r="426">
      <c r="A426" s="50" t="inlineStr">
        <is>
          <t>2011-02-01</t>
        </is>
      </c>
      <c r="B426" s="50" t="n">
        <v>504.945</v>
      </c>
    </row>
    <row r="427">
      <c r="A427" s="50" t="inlineStr">
        <is>
          <t>2011-03-01</t>
        </is>
      </c>
      <c r="B427" s="50" t="n">
        <v>602.836</v>
      </c>
    </row>
    <row r="428">
      <c r="A428" s="50" t="inlineStr">
        <is>
          <t>2011-04-01</t>
        </is>
      </c>
      <c r="B428" s="50" t="n">
        <v>554.522</v>
      </c>
    </row>
    <row r="429">
      <c r="A429" s="50" t="inlineStr">
        <is>
          <t>2011-05-01</t>
        </is>
      </c>
      <c r="B429" s="50" t="n">
        <v>521.542</v>
      </c>
    </row>
    <row r="430">
      <c r="A430" s="50" t="inlineStr">
        <is>
          <t>2011-06-01</t>
        </is>
      </c>
      <c r="B430" s="50" t="n">
        <v>529.851</v>
      </c>
    </row>
    <row r="431">
      <c r="A431" s="50" t="inlineStr">
        <is>
          <t>2011-07-01</t>
        </is>
      </c>
      <c r="B431" s="50" t="n">
        <v>564.995</v>
      </c>
    </row>
    <row r="432">
      <c r="A432" s="50" t="inlineStr">
        <is>
          <t>2011-08-01</t>
        </is>
      </c>
      <c r="B432" s="50" t="n">
        <v>569.2140000000001</v>
      </c>
    </row>
    <row r="433">
      <c r="A433" s="50" t="inlineStr">
        <is>
          <t>2011-09-01</t>
        </is>
      </c>
      <c r="B433" s="50" t="n">
        <v>573.7140000000001</v>
      </c>
    </row>
    <row r="434">
      <c r="A434" s="50" t="inlineStr">
        <is>
          <t>2011-10-01</t>
        </is>
      </c>
      <c r="B434" s="50" t="n">
        <v>549.0549999999999</v>
      </c>
    </row>
    <row r="435">
      <c r="A435" s="50" t="inlineStr">
        <is>
          <t>2011-11-01</t>
        </is>
      </c>
      <c r="B435" s="50" t="n">
        <v>546.792</v>
      </c>
    </row>
    <row r="436">
      <c r="A436" s="50" t="inlineStr">
        <is>
          <t>2011-12-01</t>
        </is>
      </c>
      <c r="B436" s="50" t="n">
        <v>693.645</v>
      </c>
    </row>
    <row r="437">
      <c r="A437" s="50" t="inlineStr">
        <is>
          <t>2012-01-01</t>
        </is>
      </c>
      <c r="B437" s="50" t="n">
        <v>453.327</v>
      </c>
    </row>
    <row r="438">
      <c r="A438" s="50" t="inlineStr">
        <is>
          <t>2012-02-01</t>
        </is>
      </c>
      <c r="B438" s="50" t="n">
        <v>544.832</v>
      </c>
    </row>
    <row r="439">
      <c r="A439" s="50" t="inlineStr">
        <is>
          <t>2012-03-01</t>
        </is>
      </c>
      <c r="B439" s="50" t="n">
        <v>654.218</v>
      </c>
    </row>
    <row r="440">
      <c r="A440" s="50" t="inlineStr">
        <is>
          <t>2012-04-01</t>
        </is>
      </c>
      <c r="B440" s="50" t="n">
        <v>561.006</v>
      </c>
    </row>
    <row r="441">
      <c r="A441" s="50" t="inlineStr">
        <is>
          <t>2012-05-01</t>
        </is>
      </c>
      <c r="B441" s="50" t="n">
        <v>660.7430000000001</v>
      </c>
    </row>
    <row r="442">
      <c r="A442" s="50" t="inlineStr">
        <is>
          <t>2012-06-01</t>
        </is>
      </c>
      <c r="B442" s="50" t="n">
        <v>637.862</v>
      </c>
    </row>
    <row r="443">
      <c r="A443" s="50" t="inlineStr">
        <is>
          <t>2012-07-01</t>
        </is>
      </c>
      <c r="B443" s="50" t="n">
        <v>575.413</v>
      </c>
    </row>
    <row r="444">
      <c r="A444" s="50" t="inlineStr">
        <is>
          <t>2012-08-01</t>
        </is>
      </c>
      <c r="B444" s="50" t="n">
        <v>641.27</v>
      </c>
    </row>
    <row r="445">
      <c r="A445" s="50" t="inlineStr">
        <is>
          <t>2012-09-01</t>
        </is>
      </c>
      <c r="B445" s="50" t="n">
        <v>594.428</v>
      </c>
    </row>
    <row r="446">
      <c r="A446" s="50" t="inlineStr">
        <is>
          <t>2012-10-01</t>
        </is>
      </c>
      <c r="B446" s="50" t="n">
        <v>559.401</v>
      </c>
    </row>
    <row r="447">
      <c r="A447" s="50" t="inlineStr">
        <is>
          <t>2012-11-01</t>
        </is>
      </c>
      <c r="B447" s="50" t="n">
        <v>592.375</v>
      </c>
    </row>
    <row r="448">
      <c r="A448" s="50" t="inlineStr">
        <is>
          <t>2012-12-01</t>
        </is>
      </c>
      <c r="B448" s="50" t="n">
        <v>713.159</v>
      </c>
    </row>
    <row r="449">
      <c r="A449" s="50" t="inlineStr">
        <is>
          <t>2013-01-01</t>
        </is>
      </c>
      <c r="B449" s="50" t="n">
        <v>517.581</v>
      </c>
    </row>
    <row r="450">
      <c r="A450" s="50" t="inlineStr">
        <is>
          <t>2013-02-01</t>
        </is>
      </c>
      <c r="B450" s="50" t="n">
        <v>588.8049999999999</v>
      </c>
    </row>
    <row r="451">
      <c r="A451" s="50" t="inlineStr">
        <is>
          <t>2013-03-01</t>
        </is>
      </c>
      <c r="B451" s="50" t="n">
        <v>713.907</v>
      </c>
    </row>
    <row r="452">
      <c r="A452" s="50" t="inlineStr">
        <is>
          <t>2013-04-01</t>
        </is>
      </c>
      <c r="B452" s="50" t="n">
        <v>644.083</v>
      </c>
    </row>
    <row r="453">
      <c r="A453" s="50" t="inlineStr">
        <is>
          <t>2013-05-01</t>
        </is>
      </c>
      <c r="B453" s="50" t="n">
        <v>732.675</v>
      </c>
    </row>
    <row r="454">
      <c r="A454" s="50" t="inlineStr">
        <is>
          <t>2013-06-01</t>
        </is>
      </c>
      <c r="B454" s="50" t="n">
        <v>707.105</v>
      </c>
    </row>
    <row r="455">
      <c r="A455" s="50" t="inlineStr">
        <is>
          <t>2013-07-01</t>
        </is>
      </c>
      <c r="B455" s="50" t="n">
        <v>668.1660000000001</v>
      </c>
    </row>
    <row r="456">
      <c r="A456" s="50" t="inlineStr">
        <is>
          <t>2013-08-01</t>
        </is>
      </c>
      <c r="B456" s="50" t="n">
        <v>764.636</v>
      </c>
    </row>
    <row r="457">
      <c r="A457" s="50" t="inlineStr">
        <is>
          <t>2013-09-01</t>
        </is>
      </c>
      <c r="B457" s="50" t="n">
        <v>574.951</v>
      </c>
    </row>
    <row r="458">
      <c r="A458" s="50" t="inlineStr">
        <is>
          <t>2013-10-01</t>
        </is>
      </c>
      <c r="B458" s="50" t="n">
        <v>637.8819999999999</v>
      </c>
    </row>
    <row r="459">
      <c r="A459" s="50" t="inlineStr">
        <is>
          <t>2013-11-01</t>
        </is>
      </c>
      <c r="B459" s="50" t="n">
        <v>658.891</v>
      </c>
    </row>
    <row r="460">
      <c r="A460" s="50" t="inlineStr">
        <is>
          <t>2013-12-01</t>
        </is>
      </c>
      <c r="B460" s="50" t="n">
        <v>735.085</v>
      </c>
    </row>
    <row r="461">
      <c r="A461" s="50" t="inlineStr">
        <is>
          <t>2014-01-01</t>
        </is>
      </c>
      <c r="B461" s="50" t="n">
        <v>536.423</v>
      </c>
    </row>
    <row r="462">
      <c r="A462" s="50" t="inlineStr">
        <is>
          <t>2014-02-01</t>
        </is>
      </c>
      <c r="B462" s="50" t="n">
        <v>631.769</v>
      </c>
    </row>
    <row r="463">
      <c r="A463" s="50" t="inlineStr">
        <is>
          <t>2014-03-01</t>
        </is>
      </c>
      <c r="B463" s="50" t="n">
        <v>789.21</v>
      </c>
    </row>
    <row r="464">
      <c r="A464" s="50" t="inlineStr">
        <is>
          <t>2014-04-01</t>
        </is>
      </c>
      <c r="B464" s="50" t="n">
        <v>717.114</v>
      </c>
    </row>
    <row r="465">
      <c r="A465" s="50" t="inlineStr">
        <is>
          <t>2014-05-01</t>
        </is>
      </c>
      <c r="B465" s="50" t="n">
        <v>835.595</v>
      </c>
    </row>
    <row r="466">
      <c r="A466" s="50" t="inlineStr">
        <is>
          <t>2014-06-01</t>
        </is>
      </c>
      <c r="B466" s="50" t="n">
        <v>732.318</v>
      </c>
    </row>
    <row r="467">
      <c r="A467" s="50" t="inlineStr">
        <is>
          <t>2014-07-01</t>
        </is>
      </c>
      <c r="B467" s="50" t="n">
        <v>766.766</v>
      </c>
    </row>
    <row r="468">
      <c r="A468" s="50" t="inlineStr">
        <is>
          <t>2014-08-01</t>
        </is>
      </c>
      <c r="B468" s="50" t="n">
        <v>819.251</v>
      </c>
    </row>
    <row r="469">
      <c r="A469" s="50" t="inlineStr">
        <is>
          <t>2014-09-01</t>
        </is>
      </c>
      <c r="B469" s="50" t="n">
        <v>669.997</v>
      </c>
    </row>
    <row r="470">
      <c r="A470" s="50" t="inlineStr">
        <is>
          <t>2014-10-01</t>
        </is>
      </c>
      <c r="B470" s="50" t="n">
        <v>692.751</v>
      </c>
    </row>
    <row r="471">
      <c r="A471" s="50" t="inlineStr">
        <is>
          <t>2014-11-01</t>
        </is>
      </c>
      <c r="B471" s="50" t="n">
        <v>714.963</v>
      </c>
    </row>
    <row r="472">
      <c r="A472" s="50" t="inlineStr">
        <is>
          <t>2014-12-01</t>
        </is>
      </c>
      <c r="B472" s="50" t="n">
        <v>838.033</v>
      </c>
    </row>
    <row r="473">
      <c r="A473" s="50" t="inlineStr">
        <is>
          <t>2015-01-01</t>
        </is>
      </c>
      <c r="B473" s="50" t="n">
        <v>632.297</v>
      </c>
    </row>
    <row r="474">
      <c r="A474" s="50" t="inlineStr">
        <is>
          <t>2015-02-01</t>
        </is>
      </c>
      <c r="B474" s="50" t="n">
        <v>696.341</v>
      </c>
    </row>
    <row r="475">
      <c r="A475" s="50" t="inlineStr">
        <is>
          <t>2015-03-01</t>
        </is>
      </c>
      <c r="B475" s="50" t="n">
        <v>824.833</v>
      </c>
    </row>
    <row r="476">
      <c r="A476" s="50" t="inlineStr">
        <is>
          <t>2015-04-01</t>
        </is>
      </c>
      <c r="B476" s="50" t="n">
        <v>797.792</v>
      </c>
    </row>
    <row r="477">
      <c r="A477" s="50" t="inlineStr">
        <is>
          <t>2015-05-01</t>
        </is>
      </c>
      <c r="B477" s="50" t="n">
        <v>884.521</v>
      </c>
    </row>
    <row r="478">
      <c r="A478" s="50" t="inlineStr">
        <is>
          <t>2015-06-01</t>
        </is>
      </c>
      <c r="B478" s="50" t="n">
        <v>815.01</v>
      </c>
    </row>
    <row r="479">
      <c r="A479" s="50" t="inlineStr">
        <is>
          <t>2015-07-01</t>
        </is>
      </c>
      <c r="B479" s="50" t="n">
        <v>859.201</v>
      </c>
    </row>
    <row r="480">
      <c r="A480" s="50" t="inlineStr">
        <is>
          <t>2015-08-01</t>
        </is>
      </c>
      <c r="B480" s="50" t="n">
        <v>889.543</v>
      </c>
    </row>
    <row r="481">
      <c r="A481" s="50" t="inlineStr">
        <is>
          <t>2015-09-01</t>
        </is>
      </c>
      <c r="B481" s="50" t="n">
        <v>839.514</v>
      </c>
    </row>
    <row r="482">
      <c r="A482" s="50" t="inlineStr">
        <is>
          <t>2015-10-01</t>
        </is>
      </c>
      <c r="B482" s="50" t="n">
        <v>848.98</v>
      </c>
    </row>
    <row r="483">
      <c r="A483" s="50" t="inlineStr">
        <is>
          <t>2015-11-01</t>
        </is>
      </c>
      <c r="B483" s="50" t="n">
        <v>794.702</v>
      </c>
    </row>
    <row r="484">
      <c r="A484" s="50" t="inlineStr">
        <is>
          <t>2015-12-01</t>
        </is>
      </c>
      <c r="B484" s="50" t="n">
        <v>996.731</v>
      </c>
    </row>
    <row r="485">
      <c r="A485" s="50" t="inlineStr">
        <is>
          <t>2016-01-01</t>
        </is>
      </c>
      <c r="B485" s="50" t="n">
        <v>684.829</v>
      </c>
    </row>
    <row r="486">
      <c r="A486" s="50" t="inlineStr">
        <is>
          <t>2016-02-01</t>
        </is>
      </c>
      <c r="B486" s="50" t="n">
        <v>785.962</v>
      </c>
    </row>
    <row r="487">
      <c r="A487" s="50" t="inlineStr">
        <is>
          <t>2016-03-01</t>
        </is>
      </c>
      <c r="B487" s="50" t="n">
        <v>907.761</v>
      </c>
    </row>
    <row r="488">
      <c r="A488" s="50" t="inlineStr">
        <is>
          <t>2016-04-01</t>
        </is>
      </c>
      <c r="B488" s="50" t="n">
        <v>881.265</v>
      </c>
    </row>
    <row r="489">
      <c r="A489" s="50" t="inlineStr">
        <is>
          <t>2016-05-01</t>
        </is>
      </c>
      <c r="B489" s="50" t="n">
        <v>893.4059999999999</v>
      </c>
    </row>
    <row r="490">
      <c r="A490" s="50" t="inlineStr">
        <is>
          <t>2016-06-01</t>
        </is>
      </c>
      <c r="B490" s="50" t="n">
        <v>908.653</v>
      </c>
    </row>
    <row r="491">
      <c r="A491" s="50" t="inlineStr">
        <is>
          <t>2016-07-01</t>
        </is>
      </c>
      <c r="B491" s="50" t="n">
        <v>925.934</v>
      </c>
    </row>
    <row r="492">
      <c r="A492" s="50" t="inlineStr">
        <is>
          <t>2016-08-01</t>
        </is>
      </c>
      <c r="B492" s="50" t="n">
        <v>926.404</v>
      </c>
    </row>
    <row r="493">
      <c r="A493" s="50" t="inlineStr">
        <is>
          <t>2016-09-01</t>
        </is>
      </c>
      <c r="B493" s="50" t="n">
        <v>874.6319999999999</v>
      </c>
    </row>
    <row r="494">
      <c r="A494" s="50" t="inlineStr">
        <is>
          <t>2016-10-01</t>
        </is>
      </c>
      <c r="B494" s="50" t="n">
        <v>861.236</v>
      </c>
    </row>
    <row r="495">
      <c r="A495" s="50" t="inlineStr">
        <is>
          <t>2016-11-01</t>
        </is>
      </c>
      <c r="B495" s="50" t="n">
        <v>861.95</v>
      </c>
    </row>
    <row r="496">
      <c r="A496" s="50" t="inlineStr">
        <is>
          <t>2016-12-01</t>
        </is>
      </c>
      <c r="B496" s="50" t="n">
        <v>1081.933</v>
      </c>
    </row>
    <row r="497">
      <c r="A497" s="50" t="inlineStr">
        <is>
          <t>2017-01-01</t>
        </is>
      </c>
      <c r="B497" s="50" t="n">
        <v>726.587</v>
      </c>
    </row>
    <row r="498">
      <c r="A498" s="50" t="inlineStr">
        <is>
          <t>2017-02-01</t>
        </is>
      </c>
      <c r="B498" s="50" t="n">
        <v>840.937</v>
      </c>
    </row>
    <row r="499">
      <c r="A499" s="50" t="inlineStr">
        <is>
          <t>2017-03-01</t>
        </is>
      </c>
      <c r="B499" s="50" t="n">
        <v>958.234</v>
      </c>
    </row>
    <row r="500">
      <c r="A500" s="50" t="inlineStr">
        <is>
          <t>2017-04-01</t>
        </is>
      </c>
      <c r="B500" s="50" t="n">
        <v>880.452</v>
      </c>
    </row>
    <row r="501">
      <c r="A501" s="50" t="inlineStr">
        <is>
          <t>2017-05-01</t>
        </is>
      </c>
      <c r="B501" s="50" t="n">
        <v>947.92</v>
      </c>
    </row>
    <row r="502">
      <c r="A502" s="50" t="inlineStr">
        <is>
          <t>2017-06-01</t>
        </is>
      </c>
      <c r="B502" s="50" t="n">
        <v>944.105</v>
      </c>
    </row>
    <row r="503">
      <c r="A503" s="50" t="inlineStr">
        <is>
          <t>2017-07-01</t>
        </is>
      </c>
      <c r="B503" s="50" t="n">
        <v>907.808</v>
      </c>
    </row>
    <row r="504">
      <c r="A504" s="50" t="inlineStr">
        <is>
          <t>2017-08-01</t>
        </is>
      </c>
      <c r="B504" s="50" t="n">
        <v>951.568</v>
      </c>
    </row>
    <row r="505">
      <c r="A505" s="50" t="inlineStr">
        <is>
          <t>2017-09-01</t>
        </is>
      </c>
      <c r="B505" s="50" t="n">
        <v>982.705</v>
      </c>
    </row>
    <row r="506">
      <c r="A506" s="50" t="inlineStr">
        <is>
          <t>2017-10-01</t>
        </is>
      </c>
      <c r="B506" s="50" t="n">
        <v>891.1369999999999</v>
      </c>
    </row>
    <row r="507">
      <c r="A507" s="50" t="inlineStr">
        <is>
          <t>2017-11-01</t>
        </is>
      </c>
      <c r="B507" s="50" t="n">
        <v>928.318</v>
      </c>
    </row>
    <row r="508">
      <c r="A508" s="50" t="inlineStr">
        <is>
          <t>2017-12-01</t>
        </is>
      </c>
      <c r="B508" s="50" t="n">
        <v>1101.111</v>
      </c>
    </row>
    <row r="509">
      <c r="A509" s="50" t="inlineStr">
        <is>
          <t>2018-01-01</t>
        </is>
      </c>
      <c r="B509" s="50" t="n">
        <v>785.549</v>
      </c>
    </row>
    <row r="510">
      <c r="A510" s="50" t="inlineStr">
        <is>
          <t>2018-02-01</t>
        </is>
      </c>
      <c r="B510" s="50" t="n">
        <v>872.379</v>
      </c>
    </row>
    <row r="511">
      <c r="A511" s="50" t="inlineStr">
        <is>
          <t>2018-03-01</t>
        </is>
      </c>
      <c r="B511" s="50" t="n">
        <v>1110.392</v>
      </c>
    </row>
    <row r="512">
      <c r="A512" s="50" t="inlineStr">
        <is>
          <t>2018-04-01</t>
        </is>
      </c>
      <c r="B512" s="50" t="n">
        <v>925.4160000000001</v>
      </c>
    </row>
    <row r="513">
      <c r="A513" s="50" t="inlineStr">
        <is>
          <t>2018-05-01</t>
        </is>
      </c>
      <c r="B513" s="50" t="n">
        <v>1073.823</v>
      </c>
    </row>
    <row r="514">
      <c r="A514" s="50" t="inlineStr">
        <is>
          <t>2018-06-01</t>
        </is>
      </c>
      <c r="B514" s="50" t="n">
        <v>1061.192</v>
      </c>
    </row>
    <row r="515">
      <c r="A515" s="50" t="inlineStr">
        <is>
          <t>2018-07-01</t>
        </is>
      </c>
      <c r="B515" s="50" t="n">
        <v>946.647</v>
      </c>
    </row>
    <row r="516">
      <c r="A516" s="50" t="inlineStr">
        <is>
          <t>2018-08-01</t>
        </is>
      </c>
      <c r="B516" s="50" t="n">
        <v>1041.825</v>
      </c>
    </row>
    <row r="517">
      <c r="A517" s="50" t="inlineStr">
        <is>
          <t>2018-09-01</t>
        </is>
      </c>
      <c r="B517" s="50" t="n">
        <v>1002.67</v>
      </c>
    </row>
    <row r="518">
      <c r="A518" s="50" t="inlineStr">
        <is>
          <t>2018-10-01</t>
        </is>
      </c>
      <c r="B518" s="50" t="n">
        <v>940.867</v>
      </c>
    </row>
    <row r="519">
      <c r="A519" s="50" t="inlineStr">
        <is>
          <t>2018-11-01</t>
        </is>
      </c>
      <c r="B519" s="50" t="n">
        <v>982.101</v>
      </c>
    </row>
    <row r="520">
      <c r="A520" s="50" t="inlineStr">
        <is>
          <t>2018-12-01</t>
        </is>
      </c>
      <c r="B520" s="50" t="n">
        <v>1171.81</v>
      </c>
    </row>
    <row r="521">
      <c r="A521" s="50" t="inlineStr">
        <is>
          <t>2019-01-01</t>
        </is>
      </c>
      <c r="B521" s="50" t="n">
        <v>780.019</v>
      </c>
    </row>
    <row r="522">
      <c r="A522" s="50" t="inlineStr">
        <is>
          <t>2019-02-01</t>
        </is>
      </c>
      <c r="B522" s="50" t="n">
        <v>886.615</v>
      </c>
    </row>
    <row r="523">
      <c r="A523" s="50" t="inlineStr">
        <is>
          <t>2019-03-01</t>
        </is>
      </c>
      <c r="B523" s="50" t="n">
        <v>1116.533</v>
      </c>
    </row>
    <row r="524">
      <c r="A524" s="50" t="inlineStr">
        <is>
          <t>2019-04-01</t>
        </is>
      </c>
      <c r="B524" s="50" t="n">
        <v>931.658</v>
      </c>
    </row>
    <row r="525">
      <c r="A525" s="50" t="inlineStr">
        <is>
          <t>2019-05-01</t>
        </is>
      </c>
      <c r="B525" s="50" t="n">
        <v>1127.196</v>
      </c>
    </row>
    <row r="526">
      <c r="A526" s="50" t="inlineStr">
        <is>
          <t>2019-06-01</t>
        </is>
      </c>
      <c r="B526" s="50" t="n">
        <v>1070.464</v>
      </c>
    </row>
    <row r="527">
      <c r="A527" s="50" t="inlineStr">
        <is>
          <t>2019-07-01</t>
        </is>
      </c>
      <c r="B527" s="50" t="n">
        <v>1014.144</v>
      </c>
    </row>
    <row r="528">
      <c r="A528" s="50" t="inlineStr">
        <is>
          <t>2019-08-01</t>
        </is>
      </c>
      <c r="B528" s="50" t="n">
        <v>1205.098</v>
      </c>
    </row>
    <row r="529">
      <c r="A529" s="50" t="inlineStr">
        <is>
          <t>2019-09-01</t>
        </is>
      </c>
      <c r="B529" s="50" t="n">
        <v>928.221</v>
      </c>
    </row>
    <row r="530">
      <c r="A530" s="50" t="inlineStr">
        <is>
          <t>2019-10-01</t>
        </is>
      </c>
      <c r="B530" s="50" t="n">
        <v>991.0940000000001</v>
      </c>
    </row>
    <row r="531">
      <c r="A531" s="50" t="inlineStr">
        <is>
          <t>2019-11-01</t>
        </is>
      </c>
      <c r="B531" s="50" t="n">
        <v>1051.4</v>
      </c>
    </row>
    <row r="532">
      <c r="A532" s="50" t="inlineStr">
        <is>
          <t>2019-12-01</t>
        </is>
      </c>
      <c r="B532" s="50" t="n">
        <v>1138.91</v>
      </c>
    </row>
    <row r="533">
      <c r="A533" s="50" t="inlineStr">
        <is>
          <t>2020-01-01</t>
        </is>
      </c>
      <c r="B533" s="50" t="n">
        <v>843.3200000000001</v>
      </c>
    </row>
    <row r="534">
      <c r="A534" s="50" t="inlineStr">
        <is>
          <t>2020-02-01</t>
        </is>
      </c>
      <c r="B534" s="50" t="n">
        <v>1004.082</v>
      </c>
    </row>
    <row r="535">
      <c r="A535" s="50" t="inlineStr">
        <is>
          <t>2020-03-01</t>
        </is>
      </c>
      <c r="B535" s="50" t="n">
        <v>725.245</v>
      </c>
    </row>
    <row r="536">
      <c r="A536" s="50" t="inlineStr">
        <is>
          <t>2020-04-01</t>
        </is>
      </c>
      <c r="B536" s="50" t="n">
        <v>548.904</v>
      </c>
    </row>
    <row r="537">
      <c r="A537" s="50" t="inlineStr">
        <is>
          <t>2020-05-01</t>
        </is>
      </c>
      <c r="B537" s="50" t="n">
        <v>860.5599999999999</v>
      </c>
    </row>
    <row r="538">
      <c r="A538" s="50" t="inlineStr">
        <is>
          <t>2020-06-01</t>
        </is>
      </c>
      <c r="B538" s="50" t="n">
        <v>849.806</v>
      </c>
    </row>
    <row r="539">
      <c r="A539" s="50" t="inlineStr">
        <is>
          <t>2020-07-01</t>
        </is>
      </c>
      <c r="B539" s="50" t="n">
        <v>944.082</v>
      </c>
    </row>
    <row r="540">
      <c r="A540" s="50" t="inlineStr">
        <is>
          <t>2020-08-01</t>
        </is>
      </c>
      <c r="B540" s="50" t="n">
        <v>1018.295</v>
      </c>
    </row>
    <row r="541">
      <c r="A541" s="50" t="inlineStr">
        <is>
          <t>2020-09-01</t>
        </is>
      </c>
      <c r="B541" s="50" t="n">
        <v>1036.27</v>
      </c>
    </row>
    <row r="542">
      <c r="A542" s="50" t="inlineStr">
        <is>
          <t>2020-10-01</t>
        </is>
      </c>
      <c r="B542" s="50" t="n">
        <v>1045.368</v>
      </c>
    </row>
    <row r="543">
      <c r="A543" s="50" t="inlineStr">
        <is>
          <t>2020-11-01</t>
        </is>
      </c>
      <c r="B543" s="50" t="n">
        <v>921.509</v>
      </c>
    </row>
    <row r="544">
      <c r="A544" s="50" t="inlineStr">
        <is>
          <t>2020-12-01</t>
        </is>
      </c>
      <c r="B544" s="50" t="n">
        <v>1272.569</v>
      </c>
    </row>
    <row r="545">
      <c r="A545" s="50" t="inlineStr">
        <is>
          <t>2021-01-01</t>
        </is>
      </c>
      <c r="B545" s="50" t="n">
        <v>856.316</v>
      </c>
    </row>
    <row r="546">
      <c r="A546" s="50" t="inlineStr">
        <is>
          <t>2021-02-01</t>
        </is>
      </c>
      <c r="B546" s="50" t="n">
        <v>934.991</v>
      </c>
    </row>
    <row r="547">
      <c r="A547" s="50" t="inlineStr">
        <is>
          <t>2021-03-01</t>
        </is>
      </c>
      <c r="B547" s="50" t="n">
        <v>1234.673</v>
      </c>
    </row>
    <row r="548">
      <c r="A548" s="50" t="inlineStr">
        <is>
          <t>2021-04-01</t>
        </is>
      </c>
      <c r="B548" s="50" t="n">
        <v>1168.12</v>
      </c>
    </row>
    <row r="549">
      <c r="A549" s="50" t="inlineStr">
        <is>
          <t>2021-05-01</t>
        </is>
      </c>
      <c r="B549" s="50" t="n">
        <v>1190.64</v>
      </c>
    </row>
    <row r="550">
      <c r="A550" s="50" t="inlineStr">
        <is>
          <t>2021-06-01</t>
        </is>
      </c>
      <c r="B550" s="50" t="n">
        <v>987.346</v>
      </c>
    </row>
    <row r="551">
      <c r="A551" s="50" t="inlineStr">
        <is>
          <t>2021-07-01</t>
        </is>
      </c>
      <c r="B551" s="50" t="n">
        <v>976.056</v>
      </c>
    </row>
    <row r="552">
      <c r="A552" s="50" t="inlineStr">
        <is>
          <t>2021-08-01</t>
        </is>
      </c>
      <c r="B552" s="50" t="n">
        <v>838.419</v>
      </c>
    </row>
    <row r="553">
      <c r="A553" s="50" t="inlineStr">
        <is>
          <t>2021-09-01</t>
        </is>
      </c>
      <c r="B553" s="50" t="n">
        <v>793.134</v>
      </c>
    </row>
    <row r="554">
      <c r="A554" s="50" t="inlineStr">
        <is>
          <t>2021-10-01</t>
        </is>
      </c>
      <c r="B554" s="50" t="n">
        <v>842.1660000000001</v>
      </c>
    </row>
    <row r="555">
      <c r="A555" s="50" t="inlineStr">
        <is>
          <t>2021-11-01</t>
        </is>
      </c>
      <c r="B555" s="50" t="n">
        <v>809.624</v>
      </c>
    </row>
    <row r="556">
      <c r="A556" s="50" t="inlineStr">
        <is>
          <t>2021-12-01</t>
        </is>
      </c>
      <c r="B556" s="50" t="n">
        <v>965.388</v>
      </c>
    </row>
    <row r="557">
      <c r="A557" s="50" t="inlineStr">
        <is>
          <t>2022-01-01</t>
        </is>
      </c>
      <c r="B557" s="50" t="n">
        <v>789.8200000000001</v>
      </c>
    </row>
    <row r="558">
      <c r="A558" s="50" t="inlineStr">
        <is>
          <t>2022-02-01</t>
        </is>
      </c>
      <c r="B558" s="50" t="n">
        <v>828.545</v>
      </c>
    </row>
    <row r="559">
      <c r="A559" s="50" t="inlineStr">
        <is>
          <t>2022-03-01</t>
        </is>
      </c>
      <c r="B559" s="50" t="n">
        <v>993.4589999999999</v>
      </c>
    </row>
    <row r="560">
      <c r="A560" s="50" t="inlineStr">
        <is>
          <t>2022-04-01</t>
        </is>
      </c>
      <c r="B560" s="50" t="n">
        <v>975.371</v>
      </c>
    </row>
    <row r="561">
      <c r="A561" s="50" t="inlineStr">
        <is>
          <t>2022-05-01</t>
        </is>
      </c>
      <c r="B561" s="50" t="n">
        <v>869.409</v>
      </c>
    </row>
    <row r="562">
      <c r="A562" s="50" t="inlineStr">
        <is>
          <t>2022-06-01</t>
        </is>
      </c>
      <c r="B562" s="50" t="n">
        <v>895.9400000000001</v>
      </c>
    </row>
    <row r="563">
      <c r="A563" s="50" t="inlineStr">
        <is>
          <t>2022-07-01</t>
        </is>
      </c>
      <c r="B563" s="50" t="n">
        <v>895.345</v>
      </c>
    </row>
    <row r="564">
      <c r="A564" s="50" t="inlineStr">
        <is>
          <t>2022-08-01</t>
        </is>
      </c>
      <c r="B564" s="50" t="n">
        <v>896.568</v>
      </c>
    </row>
    <row r="565">
      <c r="A565" s="50" t="inlineStr">
        <is>
          <t>2022-09-01</t>
        </is>
      </c>
      <c r="B565" s="50" t="n">
        <v>891.7140000000001</v>
      </c>
    </row>
    <row r="566">
      <c r="A566" s="50" t="inlineStr">
        <is>
          <t>2022-10-01</t>
        </is>
      </c>
      <c r="B566" s="50" t="n">
        <v>937.998</v>
      </c>
    </row>
    <row r="567">
      <c r="A567" s="50" t="inlineStr">
        <is>
          <t>2022-11-01</t>
        </is>
      </c>
      <c r="B567" s="50" t="n">
        <v>895.611</v>
      </c>
    </row>
    <row r="568">
      <c r="A568" s="50" t="inlineStr">
        <is>
          <t>2022-12-01</t>
        </is>
      </c>
      <c r="B568" s="50" t="n">
        <v>1025.984</v>
      </c>
    </row>
    <row r="569">
      <c r="A569" s="50" t="inlineStr">
        <is>
          <t>2023-01-01</t>
        </is>
      </c>
      <c r="B569" s="50" t="n">
        <v>836.6849999999999</v>
      </c>
    </row>
    <row r="570">
      <c r="A570" s="50" t="inlineStr">
        <is>
          <t>2023-02-01</t>
        </is>
      </c>
      <c r="B570" s="50" t="n">
        <v>914.746</v>
      </c>
    </row>
    <row r="571">
      <c r="A571" s="50" t="inlineStr">
        <is>
          <t>2023-03-01</t>
        </is>
      </c>
      <c r="B571" s="50" t="n">
        <v>1089.077</v>
      </c>
    </row>
    <row r="572">
      <c r="A572" s="50" t="inlineStr">
        <is>
          <t>2023-04-01</t>
        </is>
      </c>
      <c r="B572" s="50" t="n">
        <v>1070.482</v>
      </c>
    </row>
    <row r="573">
      <c r="A573" s="50" t="inlineStr">
        <is>
          <t>2023-05-01</t>
        </is>
      </c>
      <c r="B573" s="50" t="n">
        <v>1080.913</v>
      </c>
    </row>
    <row r="574">
      <c r="A574" s="50" t="inlineStr">
        <is>
          <t>2023-06-01</t>
        </is>
      </c>
      <c r="B574" s="50" t="n">
        <v>1089.632</v>
      </c>
    </row>
    <row r="575">
      <c r="A575" s="50" t="inlineStr">
        <is>
          <t>2023-07-01</t>
        </is>
      </c>
      <c r="B575" s="50" t="n">
        <v>1033.898</v>
      </c>
    </row>
    <row r="576">
      <c r="A576" s="50" t="inlineStr">
        <is>
          <t>2023-08-01</t>
        </is>
      </c>
      <c r="B576" s="50" t="n">
        <v>1054.995</v>
      </c>
    </row>
    <row r="577">
      <c r="A577" s="50" t="inlineStr">
        <is>
          <t>2023-09-01</t>
        </is>
      </c>
      <c r="B577" s="50" t="n">
        <v>1067.01</v>
      </c>
    </row>
    <row r="578">
      <c r="A578" s="50" t="inlineStr">
        <is>
          <t>2023-10-01</t>
        </is>
      </c>
      <c r="B578" s="50" t="n">
        <v>963.79</v>
      </c>
    </row>
    <row r="579">
      <c r="A579" s="50" t="inlineStr">
        <is>
          <t>2023-11-01</t>
        </is>
      </c>
      <c r="B579" s="50" t="n">
        <v>990.655</v>
      </c>
    </row>
    <row r="580">
      <c r="A580" s="50" t="inlineStr">
        <is>
          <t>2023-12-01</t>
        </is>
      </c>
      <c r="B580" s="50" t="n">
        <v>1193.949</v>
      </c>
    </row>
    <row r="581">
      <c r="A581" s="50" t="inlineStr">
        <is>
          <t>2024-01-01</t>
        </is>
      </c>
      <c r="B581" s="50" t="n">
        <v>861.692</v>
      </c>
    </row>
    <row r="582">
      <c r="A582" s="50" t="inlineStr">
        <is>
          <t>2024-02-01</t>
        </is>
      </c>
      <c r="B582" s="50" t="n">
        <v>998.1660000000001</v>
      </c>
    </row>
    <row r="583">
      <c r="A583" s="50" t="inlineStr">
        <is>
          <t>2024-03-01</t>
        </is>
      </c>
      <c r="B583" s="50" t="n">
        <v>1151.765</v>
      </c>
    </row>
    <row r="584">
      <c r="A584" s="50" t="inlineStr">
        <is>
          <t>2024-04-01</t>
        </is>
      </c>
      <c r="B584" s="50" t="n">
        <v>1062.152</v>
      </c>
    </row>
    <row r="585">
      <c r="A585" s="50" t="inlineStr">
        <is>
          <t>2024-05-01</t>
        </is>
      </c>
      <c r="B585" s="50" t="n">
        <v>1156.254</v>
      </c>
    </row>
    <row r="586">
      <c r="A586" s="50" t="inlineStr">
        <is>
          <t>2024-06-01</t>
        </is>
      </c>
      <c r="B586" s="50" t="n">
        <v>1062.677</v>
      </c>
    </row>
    <row r="587">
      <c r="A587" s="50" t="inlineStr">
        <is>
          <t>2024-07-01</t>
        </is>
      </c>
      <c r="B587" s="50" t="n">
        <v>1042.962</v>
      </c>
    </row>
    <row r="588">
      <c r="A588" s="50" t="inlineStr">
        <is>
          <t>2024-08-01</t>
        </is>
      </c>
      <c r="B588" s="50" t="n">
        <v>1145.832</v>
      </c>
    </row>
    <row r="589">
      <c r="A589" s="50" t="inlineStr">
        <is>
          <t>2024-09-01</t>
        </is>
      </c>
      <c r="B589" s="50" t="n">
        <v>945.2809999999999</v>
      </c>
    </row>
    <row r="590">
      <c r="A590" s="50" t="inlineStr">
        <is>
          <t>2024-10-01</t>
        </is>
      </c>
      <c r="B590" s="50" t="n">
        <v>1077.672</v>
      </c>
    </row>
    <row r="591">
      <c r="A591" s="50" t="inlineStr">
        <is>
          <t>2024-11-01</t>
        </is>
      </c>
      <c r="B591" s="50" t="n">
        <v>1119.124</v>
      </c>
    </row>
    <row r="592">
      <c r="A592" s="50" t="inlineStr">
        <is>
          <t>2024-12-01</t>
        </is>
      </c>
      <c r="B592" s="50" t="n">
        <v>1250.46</v>
      </c>
    </row>
    <row r="593">
      <c r="A593" s="50" t="inlineStr">
        <is>
          <t>2025-01-01</t>
        </is>
      </c>
      <c r="B593" s="50" t="n">
        <v>908.788</v>
      </c>
    </row>
    <row r="594">
      <c r="A594" s="50" t="inlineStr">
        <is>
          <t>2025-02-01</t>
        </is>
      </c>
      <c r="B594" s="50" t="n">
        <v>991.625</v>
      </c>
    </row>
    <row r="595">
      <c r="A595" s="50" t="inlineStr">
        <is>
          <t>2025-03-01</t>
        </is>
      </c>
      <c r="B595" s="50" t="n">
        <v>1298.913</v>
      </c>
    </row>
    <row r="596">
      <c r="A596" s="50" t="inlineStr">
        <is>
          <t>2025-04-01</t>
        </is>
      </c>
      <c r="B596" s="50" t="n">
        <v>1210.264</v>
      </c>
    </row>
    <row r="597">
      <c r="A597" s="50" t="inlineStr">
        <is>
          <t>2025-05-01</t>
        </is>
      </c>
      <c r="B597" s="50" t="n">
        <v>1204.079</v>
      </c>
    </row>
    <row r="598">
      <c r="A598" s="50" t="inlineStr">
        <is>
          <t>2025-06-01</t>
        </is>
      </c>
      <c r="B598" s="50" t="n">
        <v>1053.364</v>
      </c>
    </row>
    <row r="599">
      <c r="A599" s="50" t="inlineStr">
        <is>
          <t>2025-07-01</t>
        </is>
      </c>
      <c r="B599" s="50" t="n">
        <v>1170.193</v>
      </c>
    </row>
    <row r="600">
      <c r="A600" s="50" t="inlineStr">
        <is>
          <t>2025-08-01</t>
        </is>
      </c>
      <c r="B600" s="50" t="n">
        <v>1226.691</v>
      </c>
    </row>
    <row r="601">
      <c r="A601" s="50" t="inlineStr">
        <is>
          <t>2025-09-01</t>
        </is>
      </c>
      <c r="B601" s="50" t="n">
        <v>1064.776</v>
      </c>
    </row>
    <row r="602">
      <c r="A602" s="50" t="inlineStr">
        <is>
          <t>2025-10-01</t>
        </is>
      </c>
      <c r="B602" s="50" t="n">
        <v>1081.25</v>
      </c>
    </row>
    <row r="603">
      <c r="A603" s="50" t="inlineStr">
        <is>
          <t>2025-11-01</t>
        </is>
      </c>
      <c r="B603" s="50" t="n">
        <v>1084.08</v>
      </c>
    </row>
    <row r="604">
      <c r="A604" s="50" t="inlineStr">
        <is>
          <t>2025-12-01</t>
        </is>
      </c>
      <c r="B604" s="50" t="n">
        <v>1236.125</v>
      </c>
    </row>
    <row r="605">
      <c r="A605" s="50" t="inlineStr">
        <is>
          <t>2026-01-01</t>
        </is>
      </c>
      <c r="B605" s="50" t="n">
        <v>908.554</v>
      </c>
    </row>
    <row r="606">
      <c r="A606" s="50" t="inlineStr">
        <is>
          <t>2026-02-01</t>
        </is>
      </c>
      <c r="B606" s="50" t="n">
        <v>988.968</v>
      </c>
    </row>
    <row r="607">
      <c r="A607" s="50" t="inlineStr">
        <is>
          <t>2026-03-01</t>
        </is>
      </c>
      <c r="B607" s="50" t="n">
        <v>1170.961</v>
      </c>
    </row>
    <row r="608">
      <c r="A608" s="50" t="inlineStr">
        <is>
          <t>2026-04-01</t>
        </is>
      </c>
      <c r="B608" s="50" t="n">
        <v>1152.375</v>
      </c>
    </row>
    <row r="609">
      <c r="A609" s="50" t="inlineStr">
        <is>
          <t>2026-05-01</t>
        </is>
      </c>
      <c r="B609" s="50" t="n">
        <v>1233.576</v>
      </c>
    </row>
    <row r="610">
      <c r="A610" s="50" t="inlineStr">
        <is>
          <t>2026-06-01</t>
        </is>
      </c>
      <c r="B610" s="50" t="n">
        <v>1152.471</v>
      </c>
    </row>
    <row r="611">
      <c r="A611" s="50" t="inlineStr">
        <is>
          <t>2026-07-01</t>
        </is>
      </c>
      <c r="B611" s="50" t="n">
        <v>1137.137</v>
      </c>
    </row>
    <row r="612">
      <c r="A612" s="50" t="inlineStr">
        <is>
          <t>2026-08-01</t>
        </is>
      </c>
      <c r="B612" s="50" t="n">
        <v>1152.319</v>
      </c>
    </row>
  </sheetData>
  <mergeCells count="1">
    <mergeCell ref="A2:F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720"/>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s>
  <sheetData>
    <row r="1">
      <c r="A1" s="1" t="inlineStr">
        <is>
          <t>fred_HTRUCKSNSA.csv</t>
        </is>
      </c>
    </row>
    <row r="2" ht="42" customHeight="1">
      <c r="A2" s="6" t="inlineStr">
        <is>
          <t>FRED HTRUCKSNSA: motor vehicle retail sales, heavy weight trucks (&gt;14,000 lb GVW), thousands of units, monthly NSA (BEA). Fetched 2026-09-15. Ward's 'heavy' is &gt;10,000 lb, so the 2021 overlap ratio (~1.8) is a class-3 definitional gap.</t>
        </is>
      </c>
    </row>
    <row r="3">
      <c r="A3" s="2" t="inlineStr">
        <is>
          <t>data/csv/fred_HTRUCKSNSA.csv · 716 rows · BLUE = raw data as committed; do not type over it — edit the CSV and rebuild.</t>
        </is>
      </c>
    </row>
    <row r="4">
      <c r="A4" s="7" t="inlineStr">
        <is>
          <t>observation_date</t>
        </is>
      </c>
      <c r="B4" s="7" t="inlineStr">
        <is>
          <t>HTRUCKSNSA</t>
        </is>
      </c>
    </row>
    <row r="5">
      <c r="A5" s="50" t="inlineStr">
        <is>
          <t>1967-01-01</t>
        </is>
      </c>
      <c r="B5" s="50" t="n">
        <v>26.9</v>
      </c>
    </row>
    <row r="6">
      <c r="A6" s="50" t="inlineStr">
        <is>
          <t>1967-02-01</t>
        </is>
      </c>
      <c r="B6" s="50" t="n">
        <v>25.3</v>
      </c>
    </row>
    <row r="7">
      <c r="A7" s="50" t="inlineStr">
        <is>
          <t>1967-03-01</t>
        </is>
      </c>
      <c r="B7" s="50" t="n">
        <v>33</v>
      </c>
    </row>
    <row r="8">
      <c r="A8" s="50" t="inlineStr">
        <is>
          <t>1967-04-01</t>
        </is>
      </c>
      <c r="B8" s="50" t="n">
        <v>29</v>
      </c>
    </row>
    <row r="9">
      <c r="A9" s="50" t="inlineStr">
        <is>
          <t>1967-05-01</t>
        </is>
      </c>
      <c r="B9" s="50" t="n">
        <v>32.1</v>
      </c>
    </row>
    <row r="10">
      <c r="A10" s="50" t="inlineStr">
        <is>
          <t>1967-06-01</t>
        </is>
      </c>
      <c r="B10" s="50" t="n">
        <v>33.7</v>
      </c>
    </row>
    <row r="11">
      <c r="A11" s="50" t="inlineStr">
        <is>
          <t>1967-07-01</t>
        </is>
      </c>
      <c r="B11" s="50" t="n">
        <v>27.1</v>
      </c>
    </row>
    <row r="12">
      <c r="A12" s="50" t="inlineStr">
        <is>
          <t>1967-08-01</t>
        </is>
      </c>
      <c r="B12" s="50" t="n">
        <v>27.2</v>
      </c>
    </row>
    <row r="13">
      <c r="A13" s="50" t="inlineStr">
        <is>
          <t>1967-09-01</t>
        </is>
      </c>
      <c r="B13" s="50" t="n">
        <v>24.6</v>
      </c>
    </row>
    <row r="14">
      <c r="A14" s="50" t="inlineStr">
        <is>
          <t>1967-10-01</t>
        </is>
      </c>
      <c r="B14" s="50" t="n">
        <v>27.4</v>
      </c>
    </row>
    <row r="15">
      <c r="A15" s="50" t="inlineStr">
        <is>
          <t>1967-11-01</t>
        </is>
      </c>
      <c r="B15" s="50" t="n">
        <v>21.7</v>
      </c>
    </row>
    <row r="16">
      <c r="A16" s="50" t="inlineStr">
        <is>
          <t>1967-12-01</t>
        </is>
      </c>
      <c r="B16" s="50" t="n">
        <v>21.7</v>
      </c>
    </row>
    <row r="17">
      <c r="A17" s="50" t="inlineStr">
        <is>
          <t>1968-01-01</t>
        </is>
      </c>
      <c r="B17" s="50" t="n">
        <v>24.7</v>
      </c>
    </row>
    <row r="18">
      <c r="A18" s="50" t="inlineStr">
        <is>
          <t>1968-02-01</t>
        </is>
      </c>
      <c r="B18" s="50" t="n">
        <v>27.9</v>
      </c>
    </row>
    <row r="19">
      <c r="A19" s="50" t="inlineStr">
        <is>
          <t>1968-03-01</t>
        </is>
      </c>
      <c r="B19" s="50" t="n">
        <v>32.4</v>
      </c>
    </row>
    <row r="20">
      <c r="A20" s="50" t="inlineStr">
        <is>
          <t>1968-04-01</t>
        </is>
      </c>
      <c r="B20" s="50" t="n">
        <v>28.7</v>
      </c>
    </row>
    <row r="21">
      <c r="A21" s="50" t="inlineStr">
        <is>
          <t>1968-05-01</t>
        </is>
      </c>
      <c r="B21" s="50" t="n">
        <v>33.2</v>
      </c>
    </row>
    <row r="22">
      <c r="A22" s="50" t="inlineStr">
        <is>
          <t>1968-06-01</t>
        </is>
      </c>
      <c r="B22" s="50" t="n">
        <v>32.1</v>
      </c>
    </row>
    <row r="23">
      <c r="A23" s="50" t="inlineStr">
        <is>
          <t>1968-07-01</t>
        </is>
      </c>
      <c r="B23" s="50" t="n">
        <v>29.9</v>
      </c>
    </row>
    <row r="24">
      <c r="A24" s="50" t="inlineStr">
        <is>
          <t>1968-08-01</t>
        </is>
      </c>
      <c r="B24" s="50" t="n">
        <v>27.9</v>
      </c>
    </row>
    <row r="25">
      <c r="A25" s="50" t="inlineStr">
        <is>
          <t>1968-09-01</t>
        </is>
      </c>
      <c r="B25" s="50" t="n">
        <v>25</v>
      </c>
    </row>
    <row r="26">
      <c r="A26" s="50" t="inlineStr">
        <is>
          <t>1968-10-01</t>
        </is>
      </c>
      <c r="B26" s="50" t="n">
        <v>30.4</v>
      </c>
    </row>
    <row r="27">
      <c r="A27" s="50" t="inlineStr">
        <is>
          <t>1968-11-01</t>
        </is>
      </c>
      <c r="B27" s="50" t="n">
        <v>25.3</v>
      </c>
    </row>
    <row r="28">
      <c r="A28" s="50" t="inlineStr">
        <is>
          <t>1968-12-01</t>
        </is>
      </c>
      <c r="B28" s="50" t="n">
        <v>25.8</v>
      </c>
    </row>
    <row r="29">
      <c r="A29" s="50" t="inlineStr">
        <is>
          <t>1969-01-01</t>
        </is>
      </c>
      <c r="B29" s="50" t="n">
        <v>29.3</v>
      </c>
    </row>
    <row r="30">
      <c r="A30" s="50" t="inlineStr">
        <is>
          <t>1969-02-01</t>
        </is>
      </c>
      <c r="B30" s="50" t="n">
        <v>31.9</v>
      </c>
    </row>
    <row r="31">
      <c r="A31" s="50" t="inlineStr">
        <is>
          <t>1969-03-01</t>
        </is>
      </c>
      <c r="B31" s="50" t="n">
        <v>32.5</v>
      </c>
    </row>
    <row r="32">
      <c r="A32" s="50" t="inlineStr">
        <is>
          <t>1969-04-01</t>
        </is>
      </c>
      <c r="B32" s="50" t="n">
        <v>33.8</v>
      </c>
    </row>
    <row r="33">
      <c r="A33" s="50" t="inlineStr">
        <is>
          <t>1969-05-01</t>
        </is>
      </c>
      <c r="B33" s="50" t="n">
        <v>34.8</v>
      </c>
    </row>
    <row r="34">
      <c r="A34" s="50" t="inlineStr">
        <is>
          <t>1969-06-01</t>
        </is>
      </c>
      <c r="B34" s="50" t="n">
        <v>37.6</v>
      </c>
    </row>
    <row r="35">
      <c r="A35" s="50" t="inlineStr">
        <is>
          <t>1969-07-01</t>
        </is>
      </c>
      <c r="B35" s="50" t="n">
        <v>32</v>
      </c>
    </row>
    <row r="36">
      <c r="A36" s="50" t="inlineStr">
        <is>
          <t>1969-08-01</t>
        </is>
      </c>
      <c r="B36" s="50" t="n">
        <v>31.9</v>
      </c>
    </row>
    <row r="37">
      <c r="A37" s="50" t="inlineStr">
        <is>
          <t>1969-09-01</t>
        </is>
      </c>
      <c r="B37" s="50" t="n">
        <v>30.5</v>
      </c>
    </row>
    <row r="38">
      <c r="A38" s="50" t="inlineStr">
        <is>
          <t>1969-10-01</t>
        </is>
      </c>
      <c r="B38" s="50" t="n">
        <v>35.6</v>
      </c>
    </row>
    <row r="39">
      <c r="A39" s="50" t="inlineStr">
        <is>
          <t>1969-11-01</t>
        </is>
      </c>
      <c r="B39" s="50" t="n">
        <v>25.5</v>
      </c>
    </row>
    <row r="40">
      <c r="A40" s="50" t="inlineStr">
        <is>
          <t>1969-12-01</t>
        </is>
      </c>
      <c r="B40" s="50" t="n">
        <v>29.1</v>
      </c>
    </row>
    <row r="41">
      <c r="A41" s="50" t="inlineStr">
        <is>
          <t>1970-01-01</t>
        </is>
      </c>
      <c r="B41" s="50" t="n">
        <v>25.2</v>
      </c>
    </row>
    <row r="42">
      <c r="A42" s="50" t="inlineStr">
        <is>
          <t>1970-02-01</t>
        </is>
      </c>
      <c r="B42" s="50" t="n">
        <v>30.9</v>
      </c>
    </row>
    <row r="43">
      <c r="A43" s="50" t="inlineStr">
        <is>
          <t>1970-03-01</t>
        </is>
      </c>
      <c r="B43" s="50" t="n">
        <v>30.1</v>
      </c>
    </row>
    <row r="44">
      <c r="A44" s="50" t="inlineStr">
        <is>
          <t>1970-04-01</t>
        </is>
      </c>
      <c r="B44" s="50" t="n">
        <v>31.5</v>
      </c>
    </row>
    <row r="45">
      <c r="A45" s="50" t="inlineStr">
        <is>
          <t>1970-05-01</t>
        </is>
      </c>
      <c r="B45" s="50" t="n">
        <v>30</v>
      </c>
    </row>
    <row r="46">
      <c r="A46" s="50" t="inlineStr">
        <is>
          <t>1970-06-01</t>
        </is>
      </c>
      <c r="B46" s="50" t="n">
        <v>35.1</v>
      </c>
    </row>
    <row r="47">
      <c r="A47" s="50" t="inlineStr">
        <is>
          <t>1970-07-01</t>
        </is>
      </c>
      <c r="B47" s="50" t="n">
        <v>29</v>
      </c>
    </row>
    <row r="48">
      <c r="A48" s="50" t="inlineStr">
        <is>
          <t>1970-08-01</t>
        </is>
      </c>
      <c r="B48" s="50" t="n">
        <v>27.4</v>
      </c>
    </row>
    <row r="49">
      <c r="A49" s="50" t="inlineStr">
        <is>
          <t>1970-09-01</t>
        </is>
      </c>
      <c r="B49" s="50" t="n">
        <v>27.8</v>
      </c>
    </row>
    <row r="50">
      <c r="A50" s="50" t="inlineStr">
        <is>
          <t>1970-10-01</t>
        </is>
      </c>
      <c r="B50" s="50" t="n">
        <v>29.8</v>
      </c>
    </row>
    <row r="51">
      <c r="A51" s="50" t="inlineStr">
        <is>
          <t>1970-11-01</t>
        </is>
      </c>
      <c r="B51" s="50" t="n">
        <v>20.1</v>
      </c>
    </row>
    <row r="52">
      <c r="A52" s="50" t="inlineStr">
        <is>
          <t>1970-12-01</t>
        </is>
      </c>
      <c r="B52" s="50" t="n">
        <v>20.4</v>
      </c>
    </row>
    <row r="53">
      <c r="A53" s="50" t="inlineStr">
        <is>
          <t>1971-01-01</t>
        </is>
      </c>
      <c r="B53" s="50" t="n">
        <v>21.9</v>
      </c>
    </row>
    <row r="54">
      <c r="A54" s="50" t="inlineStr">
        <is>
          <t>1971-02-01</t>
        </is>
      </c>
      <c r="B54" s="50" t="n">
        <v>24.5</v>
      </c>
    </row>
    <row r="55">
      <c r="A55" s="50" t="inlineStr">
        <is>
          <t>1971-03-01</t>
        </is>
      </c>
      <c r="B55" s="50" t="n">
        <v>27.3</v>
      </c>
    </row>
    <row r="56">
      <c r="A56" s="50" t="inlineStr">
        <is>
          <t>1971-04-01</t>
        </is>
      </c>
      <c r="B56" s="50" t="n">
        <v>29.6</v>
      </c>
    </row>
    <row r="57">
      <c r="A57" s="50" t="inlineStr">
        <is>
          <t>1971-05-01</t>
        </is>
      </c>
      <c r="B57" s="50" t="n">
        <v>28.3</v>
      </c>
    </row>
    <row r="58">
      <c r="A58" s="50" t="inlineStr">
        <is>
          <t>1971-06-01</t>
        </is>
      </c>
      <c r="B58" s="50" t="n">
        <v>32.7</v>
      </c>
    </row>
    <row r="59">
      <c r="A59" s="50" t="inlineStr">
        <is>
          <t>1971-07-01</t>
        </is>
      </c>
      <c r="B59" s="50" t="n">
        <v>30.4</v>
      </c>
    </row>
    <row r="60">
      <c r="A60" s="50" t="inlineStr">
        <is>
          <t>1971-08-01</t>
        </is>
      </c>
      <c r="B60" s="50" t="n">
        <v>25.9</v>
      </c>
    </row>
    <row r="61">
      <c r="A61" s="50" t="inlineStr">
        <is>
          <t>1971-09-01</t>
        </is>
      </c>
      <c r="B61" s="50" t="n">
        <v>29.6</v>
      </c>
    </row>
    <row r="62">
      <c r="A62" s="50" t="inlineStr">
        <is>
          <t>1971-10-01</t>
        </is>
      </c>
      <c r="B62" s="50" t="n">
        <v>32.4</v>
      </c>
    </row>
    <row r="63">
      <c r="A63" s="50" t="inlineStr">
        <is>
          <t>1971-11-01</t>
        </is>
      </c>
      <c r="B63" s="50" t="n">
        <v>27.4</v>
      </c>
    </row>
    <row r="64">
      <c r="A64" s="50" t="inlineStr">
        <is>
          <t>1971-12-01</t>
        </is>
      </c>
      <c r="B64" s="50" t="n">
        <v>28.9</v>
      </c>
    </row>
    <row r="65">
      <c r="A65" s="50" t="inlineStr">
        <is>
          <t>1972-01-01</t>
        </is>
      </c>
      <c r="B65" s="50" t="n">
        <v>28.8</v>
      </c>
    </row>
    <row r="66">
      <c r="A66" s="50" t="inlineStr">
        <is>
          <t>1972-02-01</t>
        </is>
      </c>
      <c r="B66" s="50" t="n">
        <v>33</v>
      </c>
    </row>
    <row r="67">
      <c r="A67" s="50" t="inlineStr">
        <is>
          <t>1972-03-01</t>
        </is>
      </c>
      <c r="B67" s="50" t="n">
        <v>35.9</v>
      </c>
    </row>
    <row r="68">
      <c r="A68" s="50" t="inlineStr">
        <is>
          <t>1972-04-01</t>
        </is>
      </c>
      <c r="B68" s="50" t="n">
        <v>37.4</v>
      </c>
    </row>
    <row r="69">
      <c r="A69" s="50" t="inlineStr">
        <is>
          <t>1972-05-01</t>
        </is>
      </c>
      <c r="B69" s="50" t="n">
        <v>39.9</v>
      </c>
    </row>
    <row r="70">
      <c r="A70" s="50" t="inlineStr">
        <is>
          <t>1972-06-01</t>
        </is>
      </c>
      <c r="B70" s="50" t="n">
        <v>41.1</v>
      </c>
    </row>
    <row r="71">
      <c r="A71" s="50" t="inlineStr">
        <is>
          <t>1972-07-01</t>
        </is>
      </c>
      <c r="B71" s="50" t="n">
        <v>39.1</v>
      </c>
    </row>
    <row r="72">
      <c r="A72" s="50" t="inlineStr">
        <is>
          <t>1972-08-01</t>
        </is>
      </c>
      <c r="B72" s="50" t="n">
        <v>37.4</v>
      </c>
    </row>
    <row r="73">
      <c r="A73" s="50" t="inlineStr">
        <is>
          <t>1972-09-01</t>
        </is>
      </c>
      <c r="B73" s="50" t="n">
        <v>33.6</v>
      </c>
    </row>
    <row r="74">
      <c r="A74" s="50" t="inlineStr">
        <is>
          <t>1972-10-01</t>
        </is>
      </c>
      <c r="B74" s="50" t="n">
        <v>38.1</v>
      </c>
    </row>
    <row r="75">
      <c r="A75" s="50" t="inlineStr">
        <is>
          <t>1972-11-01</t>
        </is>
      </c>
      <c r="B75" s="50" t="n">
        <v>35.7</v>
      </c>
    </row>
    <row r="76">
      <c r="A76" s="50" t="inlineStr">
        <is>
          <t>1972-12-01</t>
        </is>
      </c>
      <c r="B76" s="50" t="n">
        <v>37.4</v>
      </c>
    </row>
    <row r="77">
      <c r="A77" s="50" t="inlineStr">
        <is>
          <t>1973-01-01</t>
        </is>
      </c>
      <c r="B77" s="50" t="n">
        <v>35.5</v>
      </c>
    </row>
    <row r="78">
      <c r="A78" s="50" t="inlineStr">
        <is>
          <t>1973-02-01</t>
        </is>
      </c>
      <c r="B78" s="50" t="n">
        <v>36.8</v>
      </c>
    </row>
    <row r="79">
      <c r="A79" s="50" t="inlineStr">
        <is>
          <t>1973-03-01</t>
        </is>
      </c>
      <c r="B79" s="50" t="n">
        <v>50.1</v>
      </c>
    </row>
    <row r="80">
      <c r="A80" s="50" t="inlineStr">
        <is>
          <t>1973-04-01</t>
        </is>
      </c>
      <c r="B80" s="50" t="n">
        <v>46.6</v>
      </c>
    </row>
    <row r="81">
      <c r="A81" s="50" t="inlineStr">
        <is>
          <t>1973-05-01</t>
        </is>
      </c>
      <c r="B81" s="50" t="n">
        <v>48.2</v>
      </c>
    </row>
    <row r="82">
      <c r="A82" s="50" t="inlineStr">
        <is>
          <t>1973-06-01</t>
        </is>
      </c>
      <c r="B82" s="50" t="n">
        <v>46.4</v>
      </c>
    </row>
    <row r="83">
      <c r="A83" s="50" t="inlineStr">
        <is>
          <t>1973-07-01</t>
        </is>
      </c>
      <c r="B83" s="50" t="n">
        <v>42</v>
      </c>
    </row>
    <row r="84">
      <c r="A84" s="50" t="inlineStr">
        <is>
          <t>1973-08-01</t>
        </is>
      </c>
      <c r="B84" s="50" t="n">
        <v>39.8</v>
      </c>
    </row>
    <row r="85">
      <c r="A85" s="50" t="inlineStr">
        <is>
          <t>1973-09-01</t>
        </is>
      </c>
      <c r="B85" s="50" t="n">
        <v>36.7</v>
      </c>
    </row>
    <row r="86">
      <c r="A86" s="50" t="inlineStr">
        <is>
          <t>1973-10-01</t>
        </is>
      </c>
      <c r="B86" s="50" t="n">
        <v>40.4</v>
      </c>
    </row>
    <row r="87">
      <c r="A87" s="50" t="inlineStr">
        <is>
          <t>1973-11-01</t>
        </is>
      </c>
      <c r="B87" s="50" t="n">
        <v>35.8</v>
      </c>
    </row>
    <row r="88">
      <c r="A88" s="50" t="inlineStr">
        <is>
          <t>1973-12-01</t>
        </is>
      </c>
      <c r="B88" s="50" t="n">
        <v>37.4</v>
      </c>
    </row>
    <row r="89">
      <c r="A89" s="50" t="inlineStr">
        <is>
          <t>1974-01-01</t>
        </is>
      </c>
      <c r="B89" s="50" t="n">
        <v>29.7</v>
      </c>
    </row>
    <row r="90">
      <c r="A90" s="50" t="inlineStr">
        <is>
          <t>1974-02-01</t>
        </is>
      </c>
      <c r="B90" s="50" t="n">
        <v>32.9</v>
      </c>
    </row>
    <row r="91">
      <c r="A91" s="50" t="inlineStr">
        <is>
          <t>1974-03-01</t>
        </is>
      </c>
      <c r="B91" s="50" t="n">
        <v>39.3</v>
      </c>
    </row>
    <row r="92">
      <c r="A92" s="50" t="inlineStr">
        <is>
          <t>1974-04-01</t>
        </is>
      </c>
      <c r="B92" s="50" t="n">
        <v>42.6</v>
      </c>
    </row>
    <row r="93">
      <c r="A93" s="50" t="inlineStr">
        <is>
          <t>1974-05-01</t>
        </is>
      </c>
      <c r="B93" s="50" t="n">
        <v>39.3</v>
      </c>
    </row>
    <row r="94">
      <c r="A94" s="50" t="inlineStr">
        <is>
          <t>1974-06-01</t>
        </is>
      </c>
      <c r="B94" s="50" t="n">
        <v>39.9</v>
      </c>
    </row>
    <row r="95">
      <c r="A95" s="50" t="inlineStr">
        <is>
          <t>1974-07-01</t>
        </is>
      </c>
      <c r="B95" s="50" t="n">
        <v>32.7</v>
      </c>
    </row>
    <row r="96">
      <c r="A96" s="50" t="inlineStr">
        <is>
          <t>1974-08-01</t>
        </is>
      </c>
      <c r="B96" s="50" t="n">
        <v>36</v>
      </c>
    </row>
    <row r="97">
      <c r="A97" s="50" t="inlineStr">
        <is>
          <t>1974-09-01</t>
        </is>
      </c>
      <c r="B97" s="50" t="n">
        <v>37.5</v>
      </c>
    </row>
    <row r="98">
      <c r="A98" s="50" t="inlineStr">
        <is>
          <t>1974-10-01</t>
        </is>
      </c>
      <c r="B98" s="50" t="n">
        <v>35.4</v>
      </c>
    </row>
    <row r="99">
      <c r="A99" s="50" t="inlineStr">
        <is>
          <t>1974-11-01</t>
        </is>
      </c>
      <c r="B99" s="50" t="n">
        <v>27</v>
      </c>
    </row>
    <row r="100">
      <c r="A100" s="50" t="inlineStr">
        <is>
          <t>1974-12-01</t>
        </is>
      </c>
      <c r="B100" s="50" t="n">
        <v>31.6</v>
      </c>
    </row>
    <row r="101">
      <c r="A101" s="50" t="inlineStr">
        <is>
          <t>1975-01-01</t>
        </is>
      </c>
      <c r="B101" s="50" t="n">
        <v>23.3</v>
      </c>
    </row>
    <row r="102">
      <c r="A102" s="50" t="inlineStr">
        <is>
          <t>1975-02-01</t>
        </is>
      </c>
      <c r="B102" s="50" t="n">
        <v>23.1</v>
      </c>
    </row>
    <row r="103">
      <c r="A103" s="50" t="inlineStr">
        <is>
          <t>1975-03-01</t>
        </is>
      </c>
      <c r="B103" s="50" t="n">
        <v>26.8</v>
      </c>
    </row>
    <row r="104">
      <c r="A104" s="50" t="inlineStr">
        <is>
          <t>1975-04-01</t>
        </is>
      </c>
      <c r="B104" s="50" t="n">
        <v>25.6</v>
      </c>
    </row>
    <row r="105">
      <c r="A105" s="50" t="inlineStr">
        <is>
          <t>1975-05-01</t>
        </is>
      </c>
      <c r="B105" s="50" t="n">
        <v>25</v>
      </c>
    </row>
    <row r="106">
      <c r="A106" s="50" t="inlineStr">
        <is>
          <t>1975-06-01</t>
        </is>
      </c>
      <c r="B106" s="50" t="n">
        <v>25.3</v>
      </c>
    </row>
    <row r="107">
      <c r="A107" s="50" t="inlineStr">
        <is>
          <t>1975-07-01</t>
        </is>
      </c>
      <c r="B107" s="50" t="n">
        <v>29</v>
      </c>
    </row>
    <row r="108">
      <c r="A108" s="50" t="inlineStr">
        <is>
          <t>1975-08-01</t>
        </is>
      </c>
      <c r="B108" s="50" t="n">
        <v>26.6</v>
      </c>
    </row>
    <row r="109">
      <c r="A109" s="50" t="inlineStr">
        <is>
          <t>1975-09-01</t>
        </is>
      </c>
      <c r="B109" s="50" t="n">
        <v>25.1</v>
      </c>
    </row>
    <row r="110">
      <c r="A110" s="50" t="inlineStr">
        <is>
          <t>1975-10-01</t>
        </is>
      </c>
      <c r="B110" s="50" t="n">
        <v>29.3</v>
      </c>
    </row>
    <row r="111">
      <c r="A111" s="50" t="inlineStr">
        <is>
          <t>1975-11-01</t>
        </is>
      </c>
      <c r="B111" s="50" t="n">
        <v>19.6</v>
      </c>
    </row>
    <row r="112">
      <c r="A112" s="50" t="inlineStr">
        <is>
          <t>1975-12-01</t>
        </is>
      </c>
      <c r="B112" s="50" t="n">
        <v>19.6</v>
      </c>
    </row>
    <row r="113">
      <c r="A113" s="50" t="inlineStr">
        <is>
          <t>1976-01-01</t>
        </is>
      </c>
      <c r="B113" s="50" t="n">
        <v>20.6</v>
      </c>
    </row>
    <row r="114">
      <c r="A114" s="50" t="inlineStr">
        <is>
          <t>1976-02-01</t>
        </is>
      </c>
      <c r="B114" s="50" t="n">
        <v>21.4</v>
      </c>
    </row>
    <row r="115">
      <c r="A115" s="50" t="inlineStr">
        <is>
          <t>1976-03-01</t>
        </is>
      </c>
      <c r="B115" s="50" t="n">
        <v>27.5</v>
      </c>
    </row>
    <row r="116">
      <c r="A116" s="50" t="inlineStr">
        <is>
          <t>1976-04-01</t>
        </is>
      </c>
      <c r="B116" s="50" t="n">
        <v>28</v>
      </c>
    </row>
    <row r="117">
      <c r="A117" s="50" t="inlineStr">
        <is>
          <t>1976-05-01</t>
        </is>
      </c>
      <c r="B117" s="50" t="n">
        <v>27.1</v>
      </c>
    </row>
    <row r="118">
      <c r="A118" s="50" t="inlineStr">
        <is>
          <t>1976-06-01</t>
        </is>
      </c>
      <c r="B118" s="50" t="n">
        <v>29.8</v>
      </c>
    </row>
    <row r="119">
      <c r="A119" s="50" t="inlineStr">
        <is>
          <t>1976-07-01</t>
        </is>
      </c>
      <c r="B119" s="50" t="n">
        <v>32.2</v>
      </c>
    </row>
    <row r="120">
      <c r="A120" s="50" t="inlineStr">
        <is>
          <t>1976-08-01</t>
        </is>
      </c>
      <c r="B120" s="50" t="n">
        <v>31.2</v>
      </c>
    </row>
    <row r="121">
      <c r="A121" s="50" t="inlineStr">
        <is>
          <t>1976-09-01</t>
        </is>
      </c>
      <c r="B121" s="50" t="n">
        <v>33</v>
      </c>
    </row>
    <row r="122">
      <c r="A122" s="50" t="inlineStr">
        <is>
          <t>1976-10-01</t>
        </is>
      </c>
      <c r="B122" s="50" t="n">
        <v>25.7</v>
      </c>
    </row>
    <row r="123">
      <c r="A123" s="50" t="inlineStr">
        <is>
          <t>1976-11-01</t>
        </is>
      </c>
      <c r="B123" s="50" t="n">
        <v>22.4</v>
      </c>
    </row>
    <row r="124">
      <c r="A124" s="50" t="inlineStr">
        <is>
          <t>1976-12-01</t>
        </is>
      </c>
      <c r="B124" s="50" t="n">
        <v>25.8</v>
      </c>
    </row>
    <row r="125">
      <c r="A125" s="50" t="inlineStr">
        <is>
          <t>1977-01-01</t>
        </is>
      </c>
      <c r="B125" s="50" t="n">
        <v>24.9</v>
      </c>
    </row>
    <row r="126">
      <c r="A126" s="50" t="inlineStr">
        <is>
          <t>1977-02-01</t>
        </is>
      </c>
      <c r="B126" s="50" t="n">
        <v>26.7</v>
      </c>
    </row>
    <row r="127">
      <c r="A127" s="50" t="inlineStr">
        <is>
          <t>1977-03-01</t>
        </is>
      </c>
      <c r="B127" s="50" t="n">
        <v>37.1</v>
      </c>
    </row>
    <row r="128">
      <c r="A128" s="50" t="inlineStr">
        <is>
          <t>1977-04-01</t>
        </is>
      </c>
      <c r="B128" s="50" t="n">
        <v>34.1</v>
      </c>
    </row>
    <row r="129">
      <c r="A129" s="50" t="inlineStr">
        <is>
          <t>1977-05-01</t>
        </is>
      </c>
      <c r="B129" s="50" t="n">
        <v>32.4</v>
      </c>
    </row>
    <row r="130">
      <c r="A130" s="50" t="inlineStr">
        <is>
          <t>1977-06-01</t>
        </is>
      </c>
      <c r="B130" s="50" t="n">
        <v>35.3</v>
      </c>
    </row>
    <row r="131">
      <c r="A131" s="50" t="inlineStr">
        <is>
          <t>1977-07-01</t>
        </is>
      </c>
      <c r="B131" s="50" t="n">
        <v>30.7</v>
      </c>
    </row>
    <row r="132">
      <c r="A132" s="50" t="inlineStr">
        <is>
          <t>1977-08-01</t>
        </is>
      </c>
      <c r="B132" s="50" t="n">
        <v>33.3</v>
      </c>
    </row>
    <row r="133">
      <c r="A133" s="50" t="inlineStr">
        <is>
          <t>1977-09-01</t>
        </is>
      </c>
      <c r="B133" s="50" t="n">
        <v>30.8</v>
      </c>
    </row>
    <row r="134">
      <c r="A134" s="50" t="inlineStr">
        <is>
          <t>1977-10-01</t>
        </is>
      </c>
      <c r="B134" s="50" t="n">
        <v>34.8</v>
      </c>
    </row>
    <row r="135">
      <c r="A135" s="50" t="inlineStr">
        <is>
          <t>1977-11-01</t>
        </is>
      </c>
      <c r="B135" s="50" t="n">
        <v>27.5</v>
      </c>
    </row>
    <row r="136">
      <c r="A136" s="50" t="inlineStr">
        <is>
          <t>1977-12-01</t>
        </is>
      </c>
      <c r="B136" s="50" t="n">
        <v>29.5</v>
      </c>
    </row>
    <row r="137">
      <c r="A137" s="50" t="inlineStr">
        <is>
          <t>1978-01-01</t>
        </is>
      </c>
      <c r="B137" s="50" t="n">
        <v>25.1</v>
      </c>
    </row>
    <row r="138">
      <c r="A138" s="50" t="inlineStr">
        <is>
          <t>1978-02-01</t>
        </is>
      </c>
      <c r="B138" s="50" t="n">
        <v>28.2</v>
      </c>
    </row>
    <row r="139">
      <c r="A139" s="50" t="inlineStr">
        <is>
          <t>1978-03-01</t>
        </is>
      </c>
      <c r="B139" s="50" t="n">
        <v>44.1</v>
      </c>
    </row>
    <row r="140">
      <c r="A140" s="50" t="inlineStr">
        <is>
          <t>1978-04-01</t>
        </is>
      </c>
      <c r="B140" s="50" t="n">
        <v>38.1</v>
      </c>
    </row>
    <row r="141">
      <c r="A141" s="50" t="inlineStr">
        <is>
          <t>1978-05-01</t>
        </is>
      </c>
      <c r="B141" s="50" t="n">
        <v>41</v>
      </c>
    </row>
    <row r="142">
      <c r="A142" s="50" t="inlineStr">
        <is>
          <t>1978-06-01</t>
        </is>
      </c>
      <c r="B142" s="50" t="n">
        <v>43.9</v>
      </c>
    </row>
    <row r="143">
      <c r="A143" s="50" t="inlineStr">
        <is>
          <t>1978-07-01</t>
        </is>
      </c>
      <c r="B143" s="50" t="n">
        <v>40.5</v>
      </c>
    </row>
    <row r="144">
      <c r="A144" s="50" t="inlineStr">
        <is>
          <t>1978-08-01</t>
        </is>
      </c>
      <c r="B144" s="50" t="n">
        <v>33.2</v>
      </c>
    </row>
    <row r="145">
      <c r="A145" s="50" t="inlineStr">
        <is>
          <t>1978-09-01</t>
        </is>
      </c>
      <c r="B145" s="50" t="n">
        <v>36.1</v>
      </c>
    </row>
    <row r="146">
      <c r="A146" s="50" t="inlineStr">
        <is>
          <t>1978-10-01</t>
        </is>
      </c>
      <c r="B146" s="50" t="n">
        <v>40.5</v>
      </c>
    </row>
    <row r="147">
      <c r="A147" s="50" t="inlineStr">
        <is>
          <t>1978-11-01</t>
        </is>
      </c>
      <c r="B147" s="50" t="n">
        <v>32.1</v>
      </c>
    </row>
    <row r="148">
      <c r="A148" s="50" t="inlineStr">
        <is>
          <t>1978-12-01</t>
        </is>
      </c>
      <c r="B148" s="50" t="n">
        <v>37</v>
      </c>
    </row>
    <row r="149">
      <c r="A149" s="50" t="inlineStr">
        <is>
          <t>1979-01-01</t>
        </is>
      </c>
      <c r="B149" s="50" t="n">
        <v>31.2</v>
      </c>
    </row>
    <row r="150">
      <c r="A150" s="50" t="inlineStr">
        <is>
          <t>1979-02-01</t>
        </is>
      </c>
      <c r="B150" s="50" t="n">
        <v>33.4</v>
      </c>
    </row>
    <row r="151">
      <c r="A151" s="50" t="inlineStr">
        <is>
          <t>1979-03-01</t>
        </is>
      </c>
      <c r="B151" s="50" t="n">
        <v>41.9</v>
      </c>
    </row>
    <row r="152">
      <c r="A152" s="50" t="inlineStr">
        <is>
          <t>1979-04-01</t>
        </is>
      </c>
      <c r="B152" s="50" t="n">
        <v>38.2</v>
      </c>
    </row>
    <row r="153">
      <c r="A153" s="50" t="inlineStr">
        <is>
          <t>1979-05-01</t>
        </is>
      </c>
      <c r="B153" s="50" t="n">
        <v>35.9</v>
      </c>
    </row>
    <row r="154">
      <c r="A154" s="50" t="inlineStr">
        <is>
          <t>1979-06-01</t>
        </is>
      </c>
      <c r="B154" s="50" t="n">
        <v>34</v>
      </c>
    </row>
    <row r="155">
      <c r="A155" s="50" t="inlineStr">
        <is>
          <t>1979-07-01</t>
        </is>
      </c>
      <c r="B155" s="50" t="n">
        <v>36.8</v>
      </c>
    </row>
    <row r="156">
      <c r="A156" s="50" t="inlineStr">
        <is>
          <t>1979-08-01</t>
        </is>
      </c>
      <c r="B156" s="50" t="n">
        <v>31</v>
      </c>
    </row>
    <row r="157">
      <c r="A157" s="50" t="inlineStr">
        <is>
          <t>1979-09-01</t>
        </is>
      </c>
      <c r="B157" s="50" t="n">
        <v>27</v>
      </c>
    </row>
    <row r="158">
      <c r="A158" s="50" t="inlineStr">
        <is>
          <t>1979-10-01</t>
        </is>
      </c>
      <c r="B158" s="50" t="n">
        <v>34.3</v>
      </c>
    </row>
    <row r="159">
      <c r="A159" s="50" t="inlineStr">
        <is>
          <t>1979-11-01</t>
        </is>
      </c>
      <c r="B159" s="50" t="n">
        <v>24.1</v>
      </c>
    </row>
    <row r="160">
      <c r="A160" s="50" t="inlineStr">
        <is>
          <t>1979-12-01</t>
        </is>
      </c>
      <c r="B160" s="50" t="n">
        <v>22.3</v>
      </c>
    </row>
    <row r="161">
      <c r="A161" s="50" t="inlineStr">
        <is>
          <t>1980-01-01</t>
        </is>
      </c>
      <c r="B161" s="50" t="n">
        <v>24.2</v>
      </c>
    </row>
    <row r="162">
      <c r="A162" s="50" t="inlineStr">
        <is>
          <t>1980-02-01</t>
        </is>
      </c>
      <c r="B162" s="50" t="n">
        <v>23.2</v>
      </c>
    </row>
    <row r="163">
      <c r="A163" s="50" t="inlineStr">
        <is>
          <t>1980-03-01</t>
        </is>
      </c>
      <c r="B163" s="50" t="n">
        <v>25.8</v>
      </c>
    </row>
    <row r="164">
      <c r="A164" s="50" t="inlineStr">
        <is>
          <t>1980-04-01</t>
        </is>
      </c>
      <c r="B164" s="50" t="n">
        <v>22.1</v>
      </c>
    </row>
    <row r="165">
      <c r="A165" s="50" t="inlineStr">
        <is>
          <t>1980-05-01</t>
        </is>
      </c>
      <c r="B165" s="50" t="n">
        <v>20</v>
      </c>
    </row>
    <row r="166">
      <c r="A166" s="50" t="inlineStr">
        <is>
          <t>1980-06-01</t>
        </is>
      </c>
      <c r="B166" s="50" t="n">
        <v>23.2</v>
      </c>
    </row>
    <row r="167">
      <c r="A167" s="50" t="inlineStr">
        <is>
          <t>1980-07-01</t>
        </is>
      </c>
      <c r="B167" s="50" t="n">
        <v>27.2</v>
      </c>
    </row>
    <row r="168">
      <c r="A168" s="50" t="inlineStr">
        <is>
          <t>1980-08-01</t>
        </is>
      </c>
      <c r="B168" s="50" t="n">
        <v>25.1</v>
      </c>
    </row>
    <row r="169">
      <c r="A169" s="50" t="inlineStr">
        <is>
          <t>1980-09-01</t>
        </is>
      </c>
      <c r="B169" s="50" t="n">
        <v>23.9</v>
      </c>
    </row>
    <row r="170">
      <c r="A170" s="50" t="inlineStr">
        <is>
          <t>1980-10-01</t>
        </is>
      </c>
      <c r="B170" s="50" t="n">
        <v>24.1</v>
      </c>
    </row>
    <row r="171">
      <c r="A171" s="50" t="inlineStr">
        <is>
          <t>1980-11-01</t>
        </is>
      </c>
      <c r="B171" s="50" t="n">
        <v>15.5</v>
      </c>
    </row>
    <row r="172">
      <c r="A172" s="50" t="inlineStr">
        <is>
          <t>1980-12-01</t>
        </is>
      </c>
      <c r="B172" s="50" t="n">
        <v>17.4</v>
      </c>
    </row>
    <row r="173">
      <c r="A173" s="50" t="inlineStr">
        <is>
          <t>1981-01-01</t>
        </is>
      </c>
      <c r="B173" s="50" t="n">
        <v>18.9</v>
      </c>
    </row>
    <row r="174">
      <c r="A174" s="50" t="inlineStr">
        <is>
          <t>1981-02-01</t>
        </is>
      </c>
      <c r="B174" s="50" t="n">
        <v>16.9</v>
      </c>
    </row>
    <row r="175">
      <c r="A175" s="50" t="inlineStr">
        <is>
          <t>1981-03-01</t>
        </is>
      </c>
      <c r="B175" s="50" t="n">
        <v>21.9</v>
      </c>
    </row>
    <row r="176">
      <c r="A176" s="50" t="inlineStr">
        <is>
          <t>1981-04-01</t>
        </is>
      </c>
      <c r="B176" s="50" t="n">
        <v>25.4</v>
      </c>
    </row>
    <row r="177">
      <c r="A177" s="50" t="inlineStr">
        <is>
          <t>1981-05-01</t>
        </is>
      </c>
      <c r="B177" s="50" t="n">
        <v>18.4</v>
      </c>
    </row>
    <row r="178">
      <c r="A178" s="50" t="inlineStr">
        <is>
          <t>1981-06-01</t>
        </is>
      </c>
      <c r="B178" s="50" t="n">
        <v>18.5</v>
      </c>
    </row>
    <row r="179">
      <c r="A179" s="50" t="inlineStr">
        <is>
          <t>1981-07-01</t>
        </is>
      </c>
      <c r="B179" s="50" t="n">
        <v>21.5</v>
      </c>
    </row>
    <row r="180">
      <c r="A180" s="50" t="inlineStr">
        <is>
          <t>1981-08-01</t>
        </is>
      </c>
      <c r="B180" s="50" t="n">
        <v>18.9</v>
      </c>
    </row>
    <row r="181">
      <c r="A181" s="50" t="inlineStr">
        <is>
          <t>1981-09-01</t>
        </is>
      </c>
      <c r="B181" s="50" t="n">
        <v>18.2</v>
      </c>
    </row>
    <row r="182">
      <c r="A182" s="50" t="inlineStr">
        <is>
          <t>1981-10-01</t>
        </is>
      </c>
      <c r="B182" s="50" t="n">
        <v>18.3</v>
      </c>
    </row>
    <row r="183">
      <c r="A183" s="50" t="inlineStr">
        <is>
          <t>1981-11-01</t>
        </is>
      </c>
      <c r="B183" s="50" t="n">
        <v>12.7</v>
      </c>
    </row>
    <row r="184">
      <c r="A184" s="50" t="inlineStr">
        <is>
          <t>1981-12-01</t>
        </is>
      </c>
      <c r="B184" s="50" t="n">
        <v>16.7</v>
      </c>
    </row>
    <row r="185">
      <c r="A185" s="50" t="inlineStr">
        <is>
          <t>1982-01-01</t>
        </is>
      </c>
      <c r="B185" s="50" t="n">
        <v>16</v>
      </c>
    </row>
    <row r="186">
      <c r="A186" s="50" t="inlineStr">
        <is>
          <t>1982-02-01</t>
        </is>
      </c>
      <c r="B186" s="50" t="n">
        <v>14.2</v>
      </c>
    </row>
    <row r="187">
      <c r="A187" s="50" t="inlineStr">
        <is>
          <t>1982-03-01</t>
        </is>
      </c>
      <c r="B187" s="50" t="n">
        <v>17.9</v>
      </c>
    </row>
    <row r="188">
      <c r="A188" s="50" t="inlineStr">
        <is>
          <t>1982-04-01</t>
        </is>
      </c>
      <c r="B188" s="50" t="n">
        <v>18.9</v>
      </c>
    </row>
    <row r="189">
      <c r="A189" s="50" t="inlineStr">
        <is>
          <t>1982-05-01</t>
        </is>
      </c>
      <c r="B189" s="50" t="n">
        <v>17</v>
      </c>
    </row>
    <row r="190">
      <c r="A190" s="50" t="inlineStr">
        <is>
          <t>1982-06-01</t>
        </is>
      </c>
      <c r="B190" s="50" t="n">
        <v>17.1</v>
      </c>
    </row>
    <row r="191">
      <c r="A191" s="50" t="inlineStr">
        <is>
          <t>1982-07-01</t>
        </is>
      </c>
      <c r="B191" s="50" t="n">
        <v>16.5</v>
      </c>
    </row>
    <row r="192">
      <c r="A192" s="50" t="inlineStr">
        <is>
          <t>1982-08-01</t>
        </is>
      </c>
      <c r="B192" s="50" t="n">
        <v>14.1</v>
      </c>
    </row>
    <row r="193">
      <c r="A193" s="50" t="inlineStr">
        <is>
          <t>1982-09-01</t>
        </is>
      </c>
      <c r="B193" s="50" t="n">
        <v>14.7</v>
      </c>
    </row>
    <row r="194">
      <c r="A194" s="50" t="inlineStr">
        <is>
          <t>1982-10-01</t>
        </is>
      </c>
      <c r="B194" s="50" t="n">
        <v>13.4</v>
      </c>
    </row>
    <row r="195">
      <c r="A195" s="50" t="inlineStr">
        <is>
          <t>1982-11-01</t>
        </is>
      </c>
      <c r="B195" s="50" t="n">
        <v>10.5</v>
      </c>
    </row>
    <row r="196">
      <c r="A196" s="50" t="inlineStr">
        <is>
          <t>1982-12-01</t>
        </is>
      </c>
      <c r="B196" s="50" t="n">
        <v>14.6</v>
      </c>
    </row>
    <row r="197">
      <c r="A197" s="50" t="inlineStr">
        <is>
          <t>1983-01-01</t>
        </is>
      </c>
      <c r="B197" s="50" t="n">
        <v>13.5</v>
      </c>
    </row>
    <row r="198">
      <c r="A198" s="50" t="inlineStr">
        <is>
          <t>1983-02-01</t>
        </is>
      </c>
      <c r="B198" s="50" t="n">
        <v>11.8</v>
      </c>
    </row>
    <row r="199">
      <c r="A199" s="50" t="inlineStr">
        <is>
          <t>1983-03-01</t>
        </is>
      </c>
      <c r="B199" s="50" t="n">
        <v>17.4</v>
      </c>
    </row>
    <row r="200">
      <c r="A200" s="50" t="inlineStr">
        <is>
          <t>1983-04-01</t>
        </is>
      </c>
      <c r="B200" s="50" t="n">
        <v>15.2</v>
      </c>
    </row>
    <row r="201">
      <c r="A201" s="50" t="inlineStr">
        <is>
          <t>1983-05-01</t>
        </is>
      </c>
      <c r="B201" s="50" t="n">
        <v>13.9</v>
      </c>
    </row>
    <row r="202">
      <c r="A202" s="50" t="inlineStr">
        <is>
          <t>1983-06-01</t>
        </is>
      </c>
      <c r="B202" s="50" t="n">
        <v>15.9</v>
      </c>
    </row>
    <row r="203">
      <c r="A203" s="50" t="inlineStr">
        <is>
          <t>1983-07-01</t>
        </is>
      </c>
      <c r="B203" s="50" t="n">
        <v>16.8</v>
      </c>
    </row>
    <row r="204">
      <c r="A204" s="50" t="inlineStr">
        <is>
          <t>1983-08-01</t>
        </is>
      </c>
      <c r="B204" s="50" t="n">
        <v>16.7</v>
      </c>
    </row>
    <row r="205">
      <c r="A205" s="50" t="inlineStr">
        <is>
          <t>1983-09-01</t>
        </is>
      </c>
      <c r="B205" s="50" t="n">
        <v>16.7</v>
      </c>
    </row>
    <row r="206">
      <c r="A206" s="50" t="inlineStr">
        <is>
          <t>1983-10-01</t>
        </is>
      </c>
      <c r="B206" s="50" t="n">
        <v>17.3</v>
      </c>
    </row>
    <row r="207">
      <c r="A207" s="50" t="inlineStr">
        <is>
          <t>1983-11-01</t>
        </is>
      </c>
      <c r="B207" s="50" t="n">
        <v>14.6</v>
      </c>
    </row>
    <row r="208">
      <c r="A208" s="50" t="inlineStr">
        <is>
          <t>1983-12-01</t>
        </is>
      </c>
      <c r="B208" s="50" t="n">
        <v>19</v>
      </c>
    </row>
    <row r="209">
      <c r="A209" s="50" t="inlineStr">
        <is>
          <t>1984-01-01</t>
        </is>
      </c>
      <c r="B209" s="50" t="n">
        <v>15.9</v>
      </c>
    </row>
    <row r="210">
      <c r="A210" s="50" t="inlineStr">
        <is>
          <t>1984-02-01</t>
        </is>
      </c>
      <c r="B210" s="50" t="n">
        <v>18.6</v>
      </c>
    </row>
    <row r="211">
      <c r="A211" s="50" t="inlineStr">
        <is>
          <t>1984-03-01</t>
        </is>
      </c>
      <c r="B211" s="50" t="n">
        <v>21.8</v>
      </c>
    </row>
    <row r="212">
      <c r="A212" s="50" t="inlineStr">
        <is>
          <t>1984-04-01</t>
        </is>
      </c>
      <c r="B212" s="50" t="n">
        <v>23.7</v>
      </c>
    </row>
    <row r="213">
      <c r="A213" s="50" t="inlineStr">
        <is>
          <t>1984-05-01</t>
        </is>
      </c>
      <c r="B213" s="50" t="n">
        <v>25.2</v>
      </c>
    </row>
    <row r="214">
      <c r="A214" s="50" t="inlineStr">
        <is>
          <t>1984-06-01</t>
        </is>
      </c>
      <c r="B214" s="50" t="n">
        <v>25.2</v>
      </c>
    </row>
    <row r="215">
      <c r="A215" s="50" t="inlineStr">
        <is>
          <t>1984-07-01</t>
        </is>
      </c>
      <c r="B215" s="50" t="n">
        <v>27</v>
      </c>
    </row>
    <row r="216">
      <c r="A216" s="50" t="inlineStr">
        <is>
          <t>1984-08-01</t>
        </is>
      </c>
      <c r="B216" s="50" t="n">
        <v>23</v>
      </c>
    </row>
    <row r="217">
      <c r="A217" s="50" t="inlineStr">
        <is>
          <t>1984-09-01</t>
        </is>
      </c>
      <c r="B217" s="50" t="n">
        <v>24.5</v>
      </c>
    </row>
    <row r="218">
      <c r="A218" s="50" t="inlineStr">
        <is>
          <t>1984-10-01</t>
        </is>
      </c>
      <c r="B218" s="50" t="n">
        <v>26.3</v>
      </c>
    </row>
    <row r="219">
      <c r="A219" s="50" t="inlineStr">
        <is>
          <t>1984-11-01</t>
        </is>
      </c>
      <c r="B219" s="50" t="n">
        <v>22.4</v>
      </c>
    </row>
    <row r="220">
      <c r="A220" s="50" t="inlineStr">
        <is>
          <t>1984-12-01</t>
        </is>
      </c>
      <c r="B220" s="50" t="n">
        <v>24.6</v>
      </c>
    </row>
    <row r="221">
      <c r="A221" s="50" t="inlineStr">
        <is>
          <t>1985-01-01</t>
        </is>
      </c>
      <c r="B221" s="50" t="n">
        <v>22.6</v>
      </c>
    </row>
    <row r="222">
      <c r="A222" s="50" t="inlineStr">
        <is>
          <t>1985-02-01</t>
        </is>
      </c>
      <c r="B222" s="50" t="n">
        <v>20.3</v>
      </c>
    </row>
    <row r="223">
      <c r="A223" s="50" t="inlineStr">
        <is>
          <t>1985-03-01</t>
        </is>
      </c>
      <c r="B223" s="50" t="n">
        <v>26.8</v>
      </c>
    </row>
    <row r="224">
      <c r="A224" s="50" t="inlineStr">
        <is>
          <t>1985-04-01</t>
        </is>
      </c>
      <c r="B224" s="50" t="n">
        <v>27.4</v>
      </c>
    </row>
    <row r="225">
      <c r="A225" s="50" t="inlineStr">
        <is>
          <t>1985-05-01</t>
        </is>
      </c>
      <c r="B225" s="50" t="n">
        <v>26</v>
      </c>
    </row>
    <row r="226">
      <c r="A226" s="50" t="inlineStr">
        <is>
          <t>1985-06-01</t>
        </is>
      </c>
      <c r="B226" s="50" t="n">
        <v>25.7</v>
      </c>
    </row>
    <row r="227">
      <c r="A227" s="50" t="inlineStr">
        <is>
          <t>1985-07-01</t>
        </is>
      </c>
      <c r="B227" s="50" t="n">
        <v>25</v>
      </c>
    </row>
    <row r="228">
      <c r="A228" s="50" t="inlineStr">
        <is>
          <t>1985-08-01</t>
        </is>
      </c>
      <c r="B228" s="50" t="n">
        <v>22.8</v>
      </c>
    </row>
    <row r="229">
      <c r="A229" s="50" t="inlineStr">
        <is>
          <t>1985-09-01</t>
        </is>
      </c>
      <c r="B229" s="50" t="n">
        <v>24.8</v>
      </c>
    </row>
    <row r="230">
      <c r="A230" s="50" t="inlineStr">
        <is>
          <t>1985-10-01</t>
        </is>
      </c>
      <c r="B230" s="50" t="n">
        <v>26.2</v>
      </c>
    </row>
    <row r="231">
      <c r="A231" s="50" t="inlineStr">
        <is>
          <t>1985-11-01</t>
        </is>
      </c>
      <c r="B231" s="50" t="n">
        <v>19.9</v>
      </c>
    </row>
    <row r="232">
      <c r="A232" s="50" t="inlineStr">
        <is>
          <t>1985-12-01</t>
        </is>
      </c>
      <c r="B232" s="50" t="n">
        <v>27.5</v>
      </c>
    </row>
    <row r="233">
      <c r="A233" s="50" t="inlineStr">
        <is>
          <t>1986-01-01</t>
        </is>
      </c>
      <c r="B233" s="50" t="n">
        <v>20.8</v>
      </c>
    </row>
    <row r="234">
      <c r="A234" s="50" t="inlineStr">
        <is>
          <t>1986-02-01</t>
        </is>
      </c>
      <c r="B234" s="50" t="n">
        <v>17.4</v>
      </c>
    </row>
    <row r="235">
      <c r="A235" s="50" t="inlineStr">
        <is>
          <t>1986-03-01</t>
        </is>
      </c>
      <c r="B235" s="50" t="n">
        <v>23.1</v>
      </c>
    </row>
    <row r="236">
      <c r="A236" s="50" t="inlineStr">
        <is>
          <t>1986-04-01</t>
        </is>
      </c>
      <c r="B236" s="50" t="n">
        <v>25.3</v>
      </c>
    </row>
    <row r="237">
      <c r="A237" s="50" t="inlineStr">
        <is>
          <t>1986-05-01</t>
        </is>
      </c>
      <c r="B237" s="50" t="n">
        <v>23.2</v>
      </c>
    </row>
    <row r="238">
      <c r="A238" s="50" t="inlineStr">
        <is>
          <t>1986-06-01</t>
        </is>
      </c>
      <c r="B238" s="50" t="n">
        <v>25.3</v>
      </c>
    </row>
    <row r="239">
      <c r="A239" s="50" t="inlineStr">
        <is>
          <t>1986-07-01</t>
        </is>
      </c>
      <c r="B239" s="50" t="n">
        <v>24</v>
      </c>
    </row>
    <row r="240">
      <c r="A240" s="50" t="inlineStr">
        <is>
          <t>1986-08-01</t>
        </is>
      </c>
      <c r="B240" s="50" t="n">
        <v>21.6</v>
      </c>
    </row>
    <row r="241">
      <c r="A241" s="50" t="inlineStr">
        <is>
          <t>1986-09-01</t>
        </is>
      </c>
      <c r="B241" s="50" t="n">
        <v>23.1</v>
      </c>
    </row>
    <row r="242">
      <c r="A242" s="50" t="inlineStr">
        <is>
          <t>1986-10-01</t>
        </is>
      </c>
      <c r="B242" s="50" t="n">
        <v>24.7</v>
      </c>
    </row>
    <row r="243">
      <c r="A243" s="50" t="inlineStr">
        <is>
          <t>1986-11-01</t>
        </is>
      </c>
      <c r="B243" s="50" t="n">
        <v>19.3</v>
      </c>
    </row>
    <row r="244">
      <c r="A244" s="50" t="inlineStr">
        <is>
          <t>1986-12-01</t>
        </is>
      </c>
      <c r="B244" s="50" t="n">
        <v>25.7</v>
      </c>
    </row>
    <row r="245">
      <c r="A245" s="50" t="inlineStr">
        <is>
          <t>1987-01-01</t>
        </is>
      </c>
      <c r="B245" s="50" t="n">
        <v>19.1</v>
      </c>
    </row>
    <row r="246">
      <c r="A246" s="50" t="inlineStr">
        <is>
          <t>1987-02-01</t>
        </is>
      </c>
      <c r="B246" s="50" t="n">
        <v>19.8</v>
      </c>
    </row>
    <row r="247">
      <c r="A247" s="50" t="inlineStr">
        <is>
          <t>1987-03-01</t>
        </is>
      </c>
      <c r="B247" s="50" t="n">
        <v>24.8</v>
      </c>
    </row>
    <row r="248">
      <c r="A248" s="50" t="inlineStr">
        <is>
          <t>1987-04-01</t>
        </is>
      </c>
      <c r="B248" s="50" t="n">
        <v>27.1</v>
      </c>
    </row>
    <row r="249">
      <c r="A249" s="50" t="inlineStr">
        <is>
          <t>1987-05-01</t>
        </is>
      </c>
      <c r="B249" s="50" t="n">
        <v>24.7</v>
      </c>
    </row>
    <row r="250">
      <c r="A250" s="50" t="inlineStr">
        <is>
          <t>1987-06-01</t>
        </is>
      </c>
      <c r="B250" s="50" t="n">
        <v>25.1</v>
      </c>
    </row>
    <row r="251">
      <c r="A251" s="50" t="inlineStr">
        <is>
          <t>1987-07-01</t>
        </is>
      </c>
      <c r="B251" s="50" t="n">
        <v>24.9</v>
      </c>
    </row>
    <row r="252">
      <c r="A252" s="50" t="inlineStr">
        <is>
          <t>1987-08-01</t>
        </is>
      </c>
      <c r="B252" s="50" t="n">
        <v>24.2</v>
      </c>
    </row>
    <row r="253">
      <c r="A253" s="50" t="inlineStr">
        <is>
          <t>1987-09-01</t>
        </is>
      </c>
      <c r="B253" s="50" t="n">
        <v>24.9</v>
      </c>
    </row>
    <row r="254">
      <c r="A254" s="50" t="inlineStr">
        <is>
          <t>1987-10-01</t>
        </is>
      </c>
      <c r="B254" s="50" t="n">
        <v>24.9</v>
      </c>
    </row>
    <row r="255">
      <c r="A255" s="50" t="inlineStr">
        <is>
          <t>1987-11-01</t>
        </is>
      </c>
      <c r="B255" s="50" t="n">
        <v>22.6</v>
      </c>
    </row>
    <row r="256">
      <c r="A256" s="50" t="inlineStr">
        <is>
          <t>1987-12-01</t>
        </is>
      </c>
      <c r="B256" s="50" t="n">
        <v>25.2</v>
      </c>
    </row>
    <row r="257">
      <c r="A257" s="50" t="inlineStr">
        <is>
          <t>1988-01-01</t>
        </is>
      </c>
      <c r="B257" s="50" t="n">
        <v>21.6</v>
      </c>
    </row>
    <row r="258">
      <c r="A258" s="50" t="inlineStr">
        <is>
          <t>1988-02-01</t>
        </is>
      </c>
      <c r="B258" s="50" t="n">
        <v>25.9</v>
      </c>
    </row>
    <row r="259">
      <c r="A259" s="50" t="inlineStr">
        <is>
          <t>1988-03-01</t>
        </is>
      </c>
      <c r="B259" s="50" t="n">
        <v>30.8</v>
      </c>
    </row>
    <row r="260">
      <c r="A260" s="50" t="inlineStr">
        <is>
          <t>1988-04-01</t>
        </is>
      </c>
      <c r="B260" s="50" t="n">
        <v>30.5</v>
      </c>
    </row>
    <row r="261">
      <c r="A261" s="50" t="inlineStr">
        <is>
          <t>1988-05-01</t>
        </is>
      </c>
      <c r="B261" s="50" t="n">
        <v>28.9</v>
      </c>
    </row>
    <row r="262">
      <c r="A262" s="50" t="inlineStr">
        <is>
          <t>1988-06-01</t>
        </is>
      </c>
      <c r="B262" s="50" t="n">
        <v>29.7</v>
      </c>
    </row>
    <row r="263">
      <c r="A263" s="50" t="inlineStr">
        <is>
          <t>1988-07-01</t>
        </is>
      </c>
      <c r="B263" s="50" t="n">
        <v>28.1</v>
      </c>
    </row>
    <row r="264">
      <c r="A264" s="50" t="inlineStr">
        <is>
          <t>1988-08-01</t>
        </is>
      </c>
      <c r="B264" s="50" t="n">
        <v>26.3</v>
      </c>
    </row>
    <row r="265">
      <c r="A265" s="50" t="inlineStr">
        <is>
          <t>1988-09-01</t>
        </is>
      </c>
      <c r="B265" s="50" t="n">
        <v>27.8</v>
      </c>
    </row>
    <row r="266">
      <c r="A266" s="50" t="inlineStr">
        <is>
          <t>1988-10-01</t>
        </is>
      </c>
      <c r="B266" s="50" t="n">
        <v>30.2</v>
      </c>
    </row>
    <row r="267">
      <c r="A267" s="50" t="inlineStr">
        <is>
          <t>1988-11-01</t>
        </is>
      </c>
      <c r="B267" s="50" t="n">
        <v>25.9</v>
      </c>
    </row>
    <row r="268">
      <c r="A268" s="50" t="inlineStr">
        <is>
          <t>1988-12-01</t>
        </is>
      </c>
      <c r="B268" s="50" t="n">
        <v>28.6</v>
      </c>
    </row>
    <row r="269">
      <c r="A269" s="50" t="inlineStr">
        <is>
          <t>1989-01-01</t>
        </is>
      </c>
      <c r="B269" s="50" t="n">
        <v>25.4</v>
      </c>
    </row>
    <row r="270">
      <c r="A270" s="50" t="inlineStr">
        <is>
          <t>1989-02-01</t>
        </is>
      </c>
      <c r="B270" s="50" t="n">
        <v>23.2</v>
      </c>
    </row>
    <row r="271">
      <c r="A271" s="50" t="inlineStr">
        <is>
          <t>1989-03-01</t>
        </is>
      </c>
      <c r="B271" s="50" t="n">
        <v>27.7</v>
      </c>
    </row>
    <row r="272">
      <c r="A272" s="50" t="inlineStr">
        <is>
          <t>1989-04-01</t>
        </is>
      </c>
      <c r="B272" s="50" t="n">
        <v>28.7</v>
      </c>
    </row>
    <row r="273">
      <c r="A273" s="50" t="inlineStr">
        <is>
          <t>1989-05-01</t>
        </is>
      </c>
      <c r="B273" s="50" t="n">
        <v>28.7</v>
      </c>
    </row>
    <row r="274">
      <c r="A274" s="50" t="inlineStr">
        <is>
          <t>1989-06-01</t>
        </is>
      </c>
      <c r="B274" s="50" t="n">
        <v>28.7</v>
      </c>
    </row>
    <row r="275">
      <c r="A275" s="50" t="inlineStr">
        <is>
          <t>1989-07-01</t>
        </is>
      </c>
      <c r="B275" s="50" t="n">
        <v>26.9</v>
      </c>
    </row>
    <row r="276">
      <c r="A276" s="50" t="inlineStr">
        <is>
          <t>1989-08-01</t>
        </is>
      </c>
      <c r="B276" s="50" t="n">
        <v>26.9</v>
      </c>
    </row>
    <row r="277">
      <c r="A277" s="50" t="inlineStr">
        <is>
          <t>1989-09-01</t>
        </is>
      </c>
      <c r="B277" s="50" t="n">
        <v>24.2</v>
      </c>
    </row>
    <row r="278">
      <c r="A278" s="50" t="inlineStr">
        <is>
          <t>1989-10-01</t>
        </is>
      </c>
      <c r="B278" s="50" t="n">
        <v>27.2</v>
      </c>
    </row>
    <row r="279">
      <c r="A279" s="50" t="inlineStr">
        <is>
          <t>1989-11-01</t>
        </is>
      </c>
      <c r="B279" s="50" t="n">
        <v>21.7</v>
      </c>
    </row>
    <row r="280">
      <c r="A280" s="50" t="inlineStr">
        <is>
          <t>1989-12-01</t>
        </is>
      </c>
      <c r="B280" s="50" t="n">
        <v>22.7</v>
      </c>
    </row>
    <row r="281">
      <c r="A281" s="50" t="inlineStr">
        <is>
          <t>1990-01-01</t>
        </is>
      </c>
      <c r="B281" s="50" t="n">
        <v>21.8</v>
      </c>
    </row>
    <row r="282">
      <c r="A282" s="50" t="inlineStr">
        <is>
          <t>1990-02-01</t>
        </is>
      </c>
      <c r="B282" s="50" t="n">
        <v>21.4</v>
      </c>
    </row>
    <row r="283">
      <c r="A283" s="50" t="inlineStr">
        <is>
          <t>1990-03-01</t>
        </is>
      </c>
      <c r="B283" s="50" t="n">
        <v>25.3</v>
      </c>
    </row>
    <row r="284">
      <c r="A284" s="50" t="inlineStr">
        <is>
          <t>1990-04-01</t>
        </is>
      </c>
      <c r="B284" s="50" t="n">
        <v>24.8</v>
      </c>
    </row>
    <row r="285">
      <c r="A285" s="50" t="inlineStr">
        <is>
          <t>1990-05-01</t>
        </is>
      </c>
      <c r="B285" s="50" t="n">
        <v>24.6</v>
      </c>
    </row>
    <row r="286">
      <c r="A286" s="50" t="inlineStr">
        <is>
          <t>1990-06-01</t>
        </is>
      </c>
      <c r="B286" s="50" t="n">
        <v>24.7</v>
      </c>
    </row>
    <row r="287">
      <c r="A287" s="50" t="inlineStr">
        <is>
          <t>1990-07-01</t>
        </is>
      </c>
      <c r="B287" s="50" t="n">
        <v>26.1</v>
      </c>
    </row>
    <row r="288">
      <c r="A288" s="50" t="inlineStr">
        <is>
          <t>1990-08-01</t>
        </is>
      </c>
      <c r="B288" s="50" t="n">
        <v>23.5</v>
      </c>
    </row>
    <row r="289">
      <c r="A289" s="50" t="inlineStr">
        <is>
          <t>1990-09-01</t>
        </is>
      </c>
      <c r="B289" s="50" t="n">
        <v>21.8</v>
      </c>
    </row>
    <row r="290">
      <c r="A290" s="50" t="inlineStr">
        <is>
          <t>1990-10-01</t>
        </is>
      </c>
      <c r="B290" s="50" t="n">
        <v>23.9</v>
      </c>
    </row>
    <row r="291">
      <c r="A291" s="50" t="inlineStr">
        <is>
          <t>1990-11-01</t>
        </is>
      </c>
      <c r="B291" s="50" t="n">
        <v>18.3</v>
      </c>
    </row>
    <row r="292">
      <c r="A292" s="50" t="inlineStr">
        <is>
          <t>1990-12-01</t>
        </is>
      </c>
      <c r="B292" s="50" t="n">
        <v>21.3</v>
      </c>
    </row>
    <row r="293">
      <c r="A293" s="50" t="inlineStr">
        <is>
          <t>1991-01-01</t>
        </is>
      </c>
      <c r="B293" s="50" t="n">
        <v>17.1</v>
      </c>
    </row>
    <row r="294">
      <c r="A294" s="50" t="inlineStr">
        <is>
          <t>1991-02-01</t>
        </is>
      </c>
      <c r="B294" s="50" t="n">
        <v>16.9</v>
      </c>
    </row>
    <row r="295">
      <c r="A295" s="50" t="inlineStr">
        <is>
          <t>1991-03-01</t>
        </is>
      </c>
      <c r="B295" s="50" t="n">
        <v>20.1</v>
      </c>
    </row>
    <row r="296">
      <c r="A296" s="50" t="inlineStr">
        <is>
          <t>1991-04-01</t>
        </is>
      </c>
      <c r="B296" s="50" t="n">
        <v>20</v>
      </c>
    </row>
    <row r="297">
      <c r="A297" s="50" t="inlineStr">
        <is>
          <t>1991-05-01</t>
        </is>
      </c>
      <c r="B297" s="50" t="n">
        <v>19</v>
      </c>
    </row>
    <row r="298">
      <c r="A298" s="50" t="inlineStr">
        <is>
          <t>1991-06-01</t>
        </is>
      </c>
      <c r="B298" s="50" t="n">
        <v>18.6</v>
      </c>
    </row>
    <row r="299">
      <c r="A299" s="50" t="inlineStr">
        <is>
          <t>1991-07-01</t>
        </is>
      </c>
      <c r="B299" s="50" t="n">
        <v>21</v>
      </c>
    </row>
    <row r="300">
      <c r="A300" s="50" t="inlineStr">
        <is>
          <t>1991-08-01</t>
        </is>
      </c>
      <c r="B300" s="50" t="n">
        <v>17.5</v>
      </c>
    </row>
    <row r="301">
      <c r="A301" s="50" t="inlineStr">
        <is>
          <t>1991-09-01</t>
        </is>
      </c>
      <c r="B301" s="50" t="n">
        <v>17.8</v>
      </c>
    </row>
    <row r="302">
      <c r="A302" s="50" t="inlineStr">
        <is>
          <t>1991-10-01</t>
        </is>
      </c>
      <c r="B302" s="50" t="n">
        <v>18.1</v>
      </c>
    </row>
    <row r="303">
      <c r="A303" s="50" t="inlineStr">
        <is>
          <t>1991-11-01</t>
        </is>
      </c>
      <c r="B303" s="50" t="n">
        <v>14.8</v>
      </c>
    </row>
    <row r="304">
      <c r="A304" s="50" t="inlineStr">
        <is>
          <t>1991-12-01</t>
        </is>
      </c>
      <c r="B304" s="50" t="n">
        <v>20.1</v>
      </c>
    </row>
    <row r="305">
      <c r="A305" s="50" t="inlineStr">
        <is>
          <t>1992-01-01</t>
        </is>
      </c>
      <c r="B305" s="50" t="n">
        <v>16.7</v>
      </c>
    </row>
    <row r="306">
      <c r="A306" s="50" t="inlineStr">
        <is>
          <t>1992-02-01</t>
        </is>
      </c>
      <c r="B306" s="50" t="n">
        <v>16.8</v>
      </c>
    </row>
    <row r="307">
      <c r="A307" s="50" t="inlineStr">
        <is>
          <t>1992-03-01</t>
        </is>
      </c>
      <c r="B307" s="50" t="n">
        <v>20.2</v>
      </c>
    </row>
    <row r="308">
      <c r="A308" s="50" t="inlineStr">
        <is>
          <t>1992-04-01</t>
        </is>
      </c>
      <c r="B308" s="50" t="n">
        <v>23</v>
      </c>
    </row>
    <row r="309">
      <c r="A309" s="50" t="inlineStr">
        <is>
          <t>1992-05-01</t>
        </is>
      </c>
      <c r="B309" s="50" t="n">
        <v>19.8</v>
      </c>
    </row>
    <row r="310">
      <c r="A310" s="50" t="inlineStr">
        <is>
          <t>1992-06-01</t>
        </is>
      </c>
      <c r="B310" s="50" t="n">
        <v>21.9</v>
      </c>
    </row>
    <row r="311">
      <c r="A311" s="50" t="inlineStr">
        <is>
          <t>1992-07-01</t>
        </is>
      </c>
      <c r="B311" s="50" t="n">
        <v>22.5</v>
      </c>
    </row>
    <row r="312">
      <c r="A312" s="50" t="inlineStr">
        <is>
          <t>1992-08-01</t>
        </is>
      </c>
      <c r="B312" s="50" t="n">
        <v>20.5</v>
      </c>
    </row>
    <row r="313">
      <c r="A313" s="50" t="inlineStr">
        <is>
          <t>1992-09-01</t>
        </is>
      </c>
      <c r="B313" s="50" t="n">
        <v>21.8</v>
      </c>
    </row>
    <row r="314">
      <c r="A314" s="50" t="inlineStr">
        <is>
          <t>1992-10-01</t>
        </is>
      </c>
      <c r="B314" s="50" t="n">
        <v>24.8</v>
      </c>
    </row>
    <row r="315">
      <c r="A315" s="50" t="inlineStr">
        <is>
          <t>1992-11-01</t>
        </is>
      </c>
      <c r="B315" s="50" t="n">
        <v>18.3</v>
      </c>
    </row>
    <row r="316">
      <c r="A316" s="50" t="inlineStr">
        <is>
          <t>1992-12-01</t>
        </is>
      </c>
      <c r="B316" s="50" t="n">
        <v>23</v>
      </c>
    </row>
    <row r="317">
      <c r="A317" s="50" t="inlineStr">
        <is>
          <t>1993-01-01</t>
        </is>
      </c>
      <c r="B317" s="50" t="n">
        <v>18.1</v>
      </c>
    </row>
    <row r="318">
      <c r="A318" s="50" t="inlineStr">
        <is>
          <t>1993-02-01</t>
        </is>
      </c>
      <c r="B318" s="50" t="n">
        <v>19.6</v>
      </c>
    </row>
    <row r="319">
      <c r="A319" s="50" t="inlineStr">
        <is>
          <t>1993-03-01</t>
        </is>
      </c>
      <c r="B319" s="50" t="n">
        <v>26.2</v>
      </c>
    </row>
    <row r="320">
      <c r="A320" s="50" t="inlineStr">
        <is>
          <t>1993-04-01</t>
        </is>
      </c>
      <c r="B320" s="50" t="n">
        <v>27.7</v>
      </c>
    </row>
    <row r="321">
      <c r="A321" s="50" t="inlineStr">
        <is>
          <t>1993-05-01</t>
        </is>
      </c>
      <c r="B321" s="50" t="n">
        <v>25.7</v>
      </c>
    </row>
    <row r="322">
      <c r="A322" s="50" t="inlineStr">
        <is>
          <t>1993-06-01</t>
        </is>
      </c>
      <c r="B322" s="50" t="n">
        <v>29.3</v>
      </c>
    </row>
    <row r="323">
      <c r="A323" s="50" t="inlineStr">
        <is>
          <t>1993-07-01</t>
        </is>
      </c>
      <c r="B323" s="50" t="n">
        <v>26.4</v>
      </c>
    </row>
    <row r="324">
      <c r="A324" s="50" t="inlineStr">
        <is>
          <t>1993-08-01</t>
        </is>
      </c>
      <c r="B324" s="50" t="n">
        <v>25.4</v>
      </c>
    </row>
    <row r="325">
      <c r="A325" s="50" t="inlineStr">
        <is>
          <t>1993-09-01</t>
        </is>
      </c>
      <c r="B325" s="50" t="n">
        <v>26.1</v>
      </c>
    </row>
    <row r="326">
      <c r="A326" s="50" t="inlineStr">
        <is>
          <t>1993-10-01</t>
        </is>
      </c>
      <c r="B326" s="50" t="n">
        <v>25.5</v>
      </c>
    </row>
    <row r="327">
      <c r="A327" s="50" t="inlineStr">
        <is>
          <t>1993-11-01</t>
        </is>
      </c>
      <c r="B327" s="50" t="n">
        <v>25</v>
      </c>
    </row>
    <row r="328">
      <c r="A328" s="50" t="inlineStr">
        <is>
          <t>1993-12-01</t>
        </is>
      </c>
      <c r="B328" s="50" t="n">
        <v>27.8</v>
      </c>
    </row>
    <row r="329">
      <c r="A329" s="50" t="inlineStr">
        <is>
          <t>1994-01-01</t>
        </is>
      </c>
      <c r="B329" s="50" t="n">
        <v>23.6</v>
      </c>
    </row>
    <row r="330">
      <c r="A330" s="50" t="inlineStr">
        <is>
          <t>1994-02-01</t>
        </is>
      </c>
      <c r="B330" s="50" t="n">
        <v>23.7</v>
      </c>
    </row>
    <row r="331">
      <c r="A331" s="50" t="inlineStr">
        <is>
          <t>1994-03-01</t>
        </is>
      </c>
      <c r="B331" s="50" t="n">
        <v>30.2</v>
      </c>
    </row>
    <row r="332">
      <c r="A332" s="50" t="inlineStr">
        <is>
          <t>1994-04-01</t>
        </is>
      </c>
      <c r="B332" s="50" t="n">
        <v>30.5</v>
      </c>
    </row>
    <row r="333">
      <c r="A333" s="50" t="inlineStr">
        <is>
          <t>1994-05-01</t>
        </is>
      </c>
      <c r="B333" s="50" t="n">
        <v>28.1</v>
      </c>
    </row>
    <row r="334">
      <c r="A334" s="50" t="inlineStr">
        <is>
          <t>1994-06-01</t>
        </is>
      </c>
      <c r="B334" s="50" t="n">
        <v>33.9</v>
      </c>
    </row>
    <row r="335">
      <c r="A335" s="50" t="inlineStr">
        <is>
          <t>1994-07-01</t>
        </is>
      </c>
      <c r="B335" s="50" t="n">
        <v>28.8</v>
      </c>
    </row>
    <row r="336">
      <c r="A336" s="50" t="inlineStr">
        <is>
          <t>1994-08-01</t>
        </is>
      </c>
      <c r="B336" s="50" t="n">
        <v>32.2</v>
      </c>
    </row>
    <row r="337">
      <c r="A337" s="50" t="inlineStr">
        <is>
          <t>1994-09-01</t>
        </is>
      </c>
      <c r="B337" s="50" t="n">
        <v>29.8</v>
      </c>
    </row>
    <row r="338">
      <c r="A338" s="50" t="inlineStr">
        <is>
          <t>1994-10-01</t>
        </is>
      </c>
      <c r="B338" s="50" t="n">
        <v>31.3</v>
      </c>
    </row>
    <row r="339">
      <c r="A339" s="50" t="inlineStr">
        <is>
          <t>1994-11-01</t>
        </is>
      </c>
      <c r="B339" s="50" t="n">
        <v>28.7</v>
      </c>
    </row>
    <row r="340">
      <c r="A340" s="50" t="inlineStr">
        <is>
          <t>1994-12-01</t>
        </is>
      </c>
      <c r="B340" s="50" t="n">
        <v>32</v>
      </c>
    </row>
    <row r="341">
      <c r="A341" s="50" t="inlineStr">
        <is>
          <t>1995-01-01</t>
        </is>
      </c>
      <c r="B341" s="50" t="n">
        <v>30.5</v>
      </c>
    </row>
    <row r="342">
      <c r="A342" s="50" t="inlineStr">
        <is>
          <t>1995-02-01</t>
        </is>
      </c>
      <c r="B342" s="50" t="n">
        <v>29.6</v>
      </c>
    </row>
    <row r="343">
      <c r="A343" s="50" t="inlineStr">
        <is>
          <t>1995-03-01</t>
        </is>
      </c>
      <c r="B343" s="50" t="n">
        <v>36.7</v>
      </c>
    </row>
    <row r="344">
      <c r="A344" s="50" t="inlineStr">
        <is>
          <t>1995-04-01</t>
        </is>
      </c>
      <c r="B344" s="50" t="n">
        <v>34.7</v>
      </c>
    </row>
    <row r="345">
      <c r="A345" s="50" t="inlineStr">
        <is>
          <t>1995-05-01</t>
        </is>
      </c>
      <c r="B345" s="50" t="n">
        <v>35.3</v>
      </c>
    </row>
    <row r="346">
      <c r="A346" s="50" t="inlineStr">
        <is>
          <t>1995-06-01</t>
        </is>
      </c>
      <c r="B346" s="50" t="n">
        <v>37.6</v>
      </c>
    </row>
    <row r="347">
      <c r="A347" s="50" t="inlineStr">
        <is>
          <t>1995-07-01</t>
        </is>
      </c>
      <c r="B347" s="50" t="n">
        <v>30.4</v>
      </c>
    </row>
    <row r="348">
      <c r="A348" s="50" t="inlineStr">
        <is>
          <t>1995-08-01</t>
        </is>
      </c>
      <c r="B348" s="50" t="n">
        <v>31.5</v>
      </c>
    </row>
    <row r="349">
      <c r="A349" s="50" t="inlineStr">
        <is>
          <t>1995-09-01</t>
        </is>
      </c>
      <c r="B349" s="50" t="n">
        <v>30.1</v>
      </c>
    </row>
    <row r="350">
      <c r="A350" s="50" t="inlineStr">
        <is>
          <t>1995-10-01</t>
        </is>
      </c>
      <c r="B350" s="50" t="n">
        <v>33</v>
      </c>
    </row>
    <row r="351">
      <c r="A351" s="50" t="inlineStr">
        <is>
          <t>1995-11-01</t>
        </is>
      </c>
      <c r="B351" s="50" t="n">
        <v>27.5</v>
      </c>
    </row>
    <row r="352">
      <c r="A352" s="50" t="inlineStr">
        <is>
          <t>1995-12-01</t>
        </is>
      </c>
      <c r="B352" s="50" t="n">
        <v>31.5</v>
      </c>
    </row>
    <row r="353">
      <c r="A353" s="50" t="inlineStr">
        <is>
          <t>1996-01-01</t>
        </is>
      </c>
      <c r="B353" s="50" t="n">
        <v>26.5</v>
      </c>
    </row>
    <row r="354">
      <c r="A354" s="50" t="inlineStr">
        <is>
          <t>1996-02-01</t>
        </is>
      </c>
      <c r="B354" s="50" t="n">
        <v>28.7</v>
      </c>
    </row>
    <row r="355">
      <c r="A355" s="50" t="inlineStr">
        <is>
          <t>1996-03-01</t>
        </is>
      </c>
      <c r="B355" s="50" t="n">
        <v>31.9</v>
      </c>
    </row>
    <row r="356">
      <c r="A356" s="50" t="inlineStr">
        <is>
          <t>1996-04-01</t>
        </is>
      </c>
      <c r="B356" s="50" t="n">
        <v>32.9</v>
      </c>
    </row>
    <row r="357">
      <c r="A357" s="50" t="inlineStr">
        <is>
          <t>1996-05-01</t>
        </is>
      </c>
      <c r="B357" s="50" t="n">
        <v>33.9</v>
      </c>
    </row>
    <row r="358">
      <c r="A358" s="50" t="inlineStr">
        <is>
          <t>1996-06-01</t>
        </is>
      </c>
      <c r="B358" s="50" t="n">
        <v>35.2</v>
      </c>
    </row>
    <row r="359">
      <c r="A359" s="50" t="inlineStr">
        <is>
          <t>1996-07-01</t>
        </is>
      </c>
      <c r="B359" s="50" t="n">
        <v>32.3</v>
      </c>
    </row>
    <row r="360">
      <c r="A360" s="50" t="inlineStr">
        <is>
          <t>1996-08-01</t>
        </is>
      </c>
      <c r="B360" s="50" t="n">
        <v>30.3</v>
      </c>
    </row>
    <row r="361">
      <c r="A361" s="50" t="inlineStr">
        <is>
          <t>1996-09-01</t>
        </is>
      </c>
      <c r="B361" s="50" t="n">
        <v>27.4</v>
      </c>
    </row>
    <row r="362">
      <c r="A362" s="50" t="inlineStr">
        <is>
          <t>1996-10-01</t>
        </is>
      </c>
      <c r="B362" s="50" t="n">
        <v>29.9</v>
      </c>
    </row>
    <row r="363">
      <c r="A363" s="50" t="inlineStr">
        <is>
          <t>1996-11-01</t>
        </is>
      </c>
      <c r="B363" s="50" t="n">
        <v>23.2</v>
      </c>
    </row>
    <row r="364">
      <c r="A364" s="50" t="inlineStr">
        <is>
          <t>1996-12-01</t>
        </is>
      </c>
      <c r="B364" s="50" t="n">
        <v>26.9</v>
      </c>
    </row>
    <row r="365">
      <c r="A365" s="50" t="inlineStr">
        <is>
          <t>1997-01-01</t>
        </is>
      </c>
      <c r="B365" s="50" t="n">
        <v>25.4</v>
      </c>
    </row>
    <row r="366">
      <c r="A366" s="50" t="inlineStr">
        <is>
          <t>1997-02-01</t>
        </is>
      </c>
      <c r="B366" s="50" t="n">
        <v>26.2</v>
      </c>
    </row>
    <row r="367">
      <c r="A367" s="50" t="inlineStr">
        <is>
          <t>1997-03-01</t>
        </is>
      </c>
      <c r="B367" s="50" t="n">
        <v>33</v>
      </c>
    </row>
    <row r="368">
      <c r="A368" s="50" t="inlineStr">
        <is>
          <t>1997-04-01</t>
        </is>
      </c>
      <c r="B368" s="50" t="n">
        <v>33.9</v>
      </c>
    </row>
    <row r="369">
      <c r="A369" s="50" t="inlineStr">
        <is>
          <t>1997-05-01</t>
        </is>
      </c>
      <c r="B369" s="50" t="n">
        <v>33.1</v>
      </c>
    </row>
    <row r="370">
      <c r="A370" s="50" t="inlineStr">
        <is>
          <t>1997-06-01</t>
        </is>
      </c>
      <c r="B370" s="50" t="n">
        <v>31.6</v>
      </c>
    </row>
    <row r="371">
      <c r="A371" s="50" t="inlineStr">
        <is>
          <t>1997-07-01</t>
        </is>
      </c>
      <c r="B371" s="50" t="n">
        <v>32</v>
      </c>
    </row>
    <row r="372">
      <c r="A372" s="50" t="inlineStr">
        <is>
          <t>1997-08-01</t>
        </is>
      </c>
      <c r="B372" s="50" t="n">
        <v>31.1</v>
      </c>
    </row>
    <row r="373">
      <c r="A373" s="50" t="inlineStr">
        <is>
          <t>1997-09-01</t>
        </is>
      </c>
      <c r="B373" s="50" t="n">
        <v>31.1</v>
      </c>
    </row>
    <row r="374">
      <c r="A374" s="50" t="inlineStr">
        <is>
          <t>1997-10-01</t>
        </is>
      </c>
      <c r="B374" s="50" t="n">
        <v>35.3</v>
      </c>
    </row>
    <row r="375">
      <c r="A375" s="50" t="inlineStr">
        <is>
          <t>1997-11-01</t>
        </is>
      </c>
      <c r="B375" s="50" t="n">
        <v>28.3</v>
      </c>
    </row>
    <row r="376">
      <c r="A376" s="50" t="inlineStr">
        <is>
          <t>1997-12-01</t>
        </is>
      </c>
      <c r="B376" s="50" t="n">
        <v>35.2</v>
      </c>
    </row>
    <row r="377">
      <c r="A377" s="50" t="inlineStr">
        <is>
          <t>1998-01-01</t>
        </is>
      </c>
      <c r="B377" s="50" t="n">
        <v>27</v>
      </c>
    </row>
    <row r="378">
      <c r="A378" s="50" t="inlineStr">
        <is>
          <t>1998-02-01</t>
        </is>
      </c>
      <c r="B378" s="50" t="n">
        <v>29</v>
      </c>
    </row>
    <row r="379">
      <c r="A379" s="50" t="inlineStr">
        <is>
          <t>1998-03-01</t>
        </is>
      </c>
      <c r="B379" s="50" t="n">
        <v>36.7</v>
      </c>
    </row>
    <row r="380">
      <c r="A380" s="50" t="inlineStr">
        <is>
          <t>1998-04-01</t>
        </is>
      </c>
      <c r="B380" s="50" t="n">
        <v>37.8</v>
      </c>
    </row>
    <row r="381">
      <c r="A381" s="50" t="inlineStr">
        <is>
          <t>1998-05-01</t>
        </is>
      </c>
      <c r="B381" s="50" t="n">
        <v>35.1</v>
      </c>
    </row>
    <row r="382">
      <c r="A382" s="50" t="inlineStr">
        <is>
          <t>1998-06-01</t>
        </is>
      </c>
      <c r="B382" s="50" t="n">
        <v>37.1</v>
      </c>
    </row>
    <row r="383">
      <c r="A383" s="50" t="inlineStr">
        <is>
          <t>1998-07-01</t>
        </is>
      </c>
      <c r="B383" s="50" t="n">
        <v>35.3</v>
      </c>
    </row>
    <row r="384">
      <c r="A384" s="50" t="inlineStr">
        <is>
          <t>1998-08-01</t>
        </is>
      </c>
      <c r="B384" s="50" t="n">
        <v>36</v>
      </c>
    </row>
    <row r="385">
      <c r="A385" s="50" t="inlineStr">
        <is>
          <t>1998-09-01</t>
        </is>
      </c>
      <c r="B385" s="50" t="n">
        <v>36.5</v>
      </c>
    </row>
    <row r="386">
      <c r="A386" s="50" t="inlineStr">
        <is>
          <t>1998-10-01</t>
        </is>
      </c>
      <c r="B386" s="50" t="n">
        <v>39</v>
      </c>
    </row>
    <row r="387">
      <c r="A387" s="50" t="inlineStr">
        <is>
          <t>1998-11-01</t>
        </is>
      </c>
      <c r="B387" s="50" t="n">
        <v>35.3</v>
      </c>
    </row>
    <row r="388">
      <c r="A388" s="50" t="inlineStr">
        <is>
          <t>1998-12-01</t>
        </is>
      </c>
      <c r="B388" s="50" t="n">
        <v>39.5</v>
      </c>
    </row>
    <row r="389">
      <c r="A389" s="50" t="inlineStr">
        <is>
          <t>1999-01-01</t>
        </is>
      </c>
      <c r="B389" s="50" t="n">
        <v>33</v>
      </c>
    </row>
    <row r="390">
      <c r="A390" s="50" t="inlineStr">
        <is>
          <t>1999-02-01</t>
        </is>
      </c>
      <c r="B390" s="50" t="n">
        <v>38.9</v>
      </c>
    </row>
    <row r="391">
      <c r="A391" s="50" t="inlineStr">
        <is>
          <t>1999-03-01</t>
        </is>
      </c>
      <c r="B391" s="50" t="n">
        <v>47.8</v>
      </c>
    </row>
    <row r="392">
      <c r="A392" s="50" t="inlineStr">
        <is>
          <t>1999-04-01</t>
        </is>
      </c>
      <c r="B392" s="50" t="n">
        <v>47.4</v>
      </c>
    </row>
    <row r="393">
      <c r="A393" s="50" t="inlineStr">
        <is>
          <t>1999-05-01</t>
        </is>
      </c>
      <c r="B393" s="50" t="n">
        <v>44.2</v>
      </c>
    </row>
    <row r="394">
      <c r="A394" s="50" t="inlineStr">
        <is>
          <t>1999-06-01</t>
        </is>
      </c>
      <c r="B394" s="50" t="n">
        <v>47.9</v>
      </c>
    </row>
    <row r="395">
      <c r="A395" s="50" t="inlineStr">
        <is>
          <t>1999-07-01</t>
        </is>
      </c>
      <c r="B395" s="50" t="n">
        <v>42.5</v>
      </c>
    </row>
    <row r="396">
      <c r="A396" s="50" t="inlineStr">
        <is>
          <t>1999-08-01</t>
        </is>
      </c>
      <c r="B396" s="50" t="n">
        <v>43.8</v>
      </c>
    </row>
    <row r="397">
      <c r="A397" s="50" t="inlineStr">
        <is>
          <t>1999-09-01</t>
        </is>
      </c>
      <c r="B397" s="50" t="n">
        <v>44.3</v>
      </c>
    </row>
    <row r="398">
      <c r="A398" s="50" t="inlineStr">
        <is>
          <t>1999-10-01</t>
        </is>
      </c>
      <c r="B398" s="50" t="n">
        <v>44.9</v>
      </c>
    </row>
    <row r="399">
      <c r="A399" s="50" t="inlineStr">
        <is>
          <t>1999-11-01</t>
        </is>
      </c>
      <c r="B399" s="50" t="n">
        <v>41.4</v>
      </c>
    </row>
    <row r="400">
      <c r="A400" s="50" t="inlineStr">
        <is>
          <t>1999-12-01</t>
        </is>
      </c>
      <c r="B400" s="50" t="n">
        <v>45.2</v>
      </c>
    </row>
    <row r="401">
      <c r="A401" s="50" t="inlineStr">
        <is>
          <t>2000-01-01</t>
        </is>
      </c>
      <c r="B401" s="50" t="n">
        <v>34.5</v>
      </c>
    </row>
    <row r="402">
      <c r="A402" s="50" t="inlineStr">
        <is>
          <t>2000-02-01</t>
        </is>
      </c>
      <c r="B402" s="50" t="n">
        <v>39.5</v>
      </c>
    </row>
    <row r="403">
      <c r="A403" s="50" t="inlineStr">
        <is>
          <t>2000-03-01</t>
        </is>
      </c>
      <c r="B403" s="50" t="n">
        <v>49.5</v>
      </c>
    </row>
    <row r="404">
      <c r="A404" s="50" t="inlineStr">
        <is>
          <t>2000-04-01</t>
        </is>
      </c>
      <c r="B404" s="50" t="n">
        <v>43.5</v>
      </c>
    </row>
    <row r="405">
      <c r="A405" s="50" t="inlineStr">
        <is>
          <t>2000-05-01</t>
        </is>
      </c>
      <c r="B405" s="50" t="n">
        <v>45.2</v>
      </c>
    </row>
    <row r="406">
      <c r="A406" s="50" t="inlineStr">
        <is>
          <t>2000-06-01</t>
        </is>
      </c>
      <c r="B406" s="50" t="n">
        <v>48.8</v>
      </c>
    </row>
    <row r="407">
      <c r="A407" s="50" t="inlineStr">
        <is>
          <t>2000-07-01</t>
        </is>
      </c>
      <c r="B407" s="50" t="n">
        <v>36.6</v>
      </c>
    </row>
    <row r="408">
      <c r="A408" s="50" t="inlineStr">
        <is>
          <t>2000-08-01</t>
        </is>
      </c>
      <c r="B408" s="50" t="n">
        <v>39.2</v>
      </c>
    </row>
    <row r="409">
      <c r="A409" s="50" t="inlineStr">
        <is>
          <t>2000-09-01</t>
        </is>
      </c>
      <c r="B409" s="50" t="n">
        <v>31.9</v>
      </c>
    </row>
    <row r="410">
      <c r="A410" s="50" t="inlineStr">
        <is>
          <t>2000-10-01</t>
        </is>
      </c>
      <c r="B410" s="50" t="n">
        <v>33.7</v>
      </c>
    </row>
    <row r="411">
      <c r="A411" s="50" t="inlineStr">
        <is>
          <t>2000-11-01</t>
        </is>
      </c>
      <c r="B411" s="50" t="n">
        <v>28.6</v>
      </c>
    </row>
    <row r="412">
      <c r="A412" s="50" t="inlineStr">
        <is>
          <t>2000-12-01</t>
        </is>
      </c>
      <c r="B412" s="50" t="n">
        <v>30.9</v>
      </c>
    </row>
    <row r="413">
      <c r="A413" s="50" t="inlineStr">
        <is>
          <t>2001-01-01</t>
        </is>
      </c>
      <c r="B413" s="50" t="n">
        <v>28.4</v>
      </c>
    </row>
    <row r="414">
      <c r="A414" s="50" t="inlineStr">
        <is>
          <t>2001-02-01</t>
        </is>
      </c>
      <c r="B414" s="50" t="n">
        <v>28.4</v>
      </c>
    </row>
    <row r="415">
      <c r="A415" s="50" t="inlineStr">
        <is>
          <t>2001-03-01</t>
        </is>
      </c>
      <c r="B415" s="50" t="n">
        <v>34.2</v>
      </c>
    </row>
    <row r="416">
      <c r="A416" s="50" t="inlineStr">
        <is>
          <t>2001-04-01</t>
        </is>
      </c>
      <c r="B416" s="50" t="n">
        <v>30.7</v>
      </c>
    </row>
    <row r="417">
      <c r="A417" s="50" t="inlineStr">
        <is>
          <t>2001-05-01</t>
        </is>
      </c>
      <c r="B417" s="50" t="n">
        <v>35.4</v>
      </c>
    </row>
    <row r="418">
      <c r="A418" s="50" t="inlineStr">
        <is>
          <t>2001-06-01</t>
        </is>
      </c>
      <c r="B418" s="50" t="n">
        <v>32.6</v>
      </c>
    </row>
    <row r="419">
      <c r="A419" s="50" t="inlineStr">
        <is>
          <t>2001-07-01</t>
        </is>
      </c>
      <c r="B419" s="50" t="n">
        <v>27.7</v>
      </c>
    </row>
    <row r="420">
      <c r="A420" s="50" t="inlineStr">
        <is>
          <t>2001-08-01</t>
        </is>
      </c>
      <c r="B420" s="50" t="n">
        <v>29.7</v>
      </c>
    </row>
    <row r="421">
      <c r="A421" s="50" t="inlineStr">
        <is>
          <t>2001-09-01</t>
        </is>
      </c>
      <c r="B421" s="50" t="n">
        <v>23.4</v>
      </c>
    </row>
    <row r="422">
      <c r="A422" s="50" t="inlineStr">
        <is>
          <t>2001-10-01</t>
        </is>
      </c>
      <c r="B422" s="50" t="n">
        <v>30.8</v>
      </c>
    </row>
    <row r="423">
      <c r="A423" s="50" t="inlineStr">
        <is>
          <t>2001-11-01</t>
        </is>
      </c>
      <c r="B423" s="50" t="n">
        <v>23.4</v>
      </c>
    </row>
    <row r="424">
      <c r="A424" s="50" t="inlineStr">
        <is>
          <t>2001-12-01</t>
        </is>
      </c>
      <c r="B424" s="50" t="n">
        <v>25.4</v>
      </c>
    </row>
    <row r="425">
      <c r="A425" s="50" t="inlineStr">
        <is>
          <t>2002-01-01</t>
        </is>
      </c>
      <c r="B425" s="50" t="n">
        <v>21.517</v>
      </c>
    </row>
    <row r="426">
      <c r="A426" s="50" t="inlineStr">
        <is>
          <t>2002-02-01</t>
        </is>
      </c>
      <c r="B426" s="50" t="n">
        <v>21.752</v>
      </c>
    </row>
    <row r="427">
      <c r="A427" s="50" t="inlineStr">
        <is>
          <t>2002-03-01</t>
        </is>
      </c>
      <c r="B427" s="50" t="n">
        <v>26.485</v>
      </c>
    </row>
    <row r="428">
      <c r="A428" s="50" t="inlineStr">
        <is>
          <t>2002-04-01</t>
        </is>
      </c>
      <c r="B428" s="50" t="n">
        <v>30.007</v>
      </c>
    </row>
    <row r="429">
      <c r="A429" s="50" t="inlineStr">
        <is>
          <t>2002-05-01</t>
        </is>
      </c>
      <c r="B429" s="50" t="n">
        <v>31.736</v>
      </c>
    </row>
    <row r="430">
      <c r="A430" s="50" t="inlineStr">
        <is>
          <t>2002-06-01</t>
        </is>
      </c>
      <c r="B430" s="50" t="n">
        <v>27.43</v>
      </c>
    </row>
    <row r="431">
      <c r="A431" s="50" t="inlineStr">
        <is>
          <t>2002-07-01</t>
        </is>
      </c>
      <c r="B431" s="50" t="n">
        <v>27.574</v>
      </c>
    </row>
    <row r="432">
      <c r="A432" s="50" t="inlineStr">
        <is>
          <t>2002-08-01</t>
        </is>
      </c>
      <c r="B432" s="50" t="n">
        <v>29.361</v>
      </c>
    </row>
    <row r="433">
      <c r="A433" s="50" t="inlineStr">
        <is>
          <t>2002-09-01</t>
        </is>
      </c>
      <c r="B433" s="50" t="n">
        <v>27.096</v>
      </c>
    </row>
    <row r="434">
      <c r="A434" s="50" t="inlineStr">
        <is>
          <t>2002-10-01</t>
        </is>
      </c>
      <c r="B434" s="50" t="n">
        <v>29.977</v>
      </c>
    </row>
    <row r="435">
      <c r="A435" s="50" t="inlineStr">
        <is>
          <t>2002-11-01</t>
        </is>
      </c>
      <c r="B435" s="50" t="n">
        <v>24.464</v>
      </c>
    </row>
    <row r="436">
      <c r="A436" s="50" t="inlineStr">
        <is>
          <t>2002-12-01</t>
        </is>
      </c>
      <c r="B436" s="50" t="n">
        <v>24.885</v>
      </c>
    </row>
    <row r="437">
      <c r="A437" s="50" t="inlineStr">
        <is>
          <t>2003-01-01</t>
        </is>
      </c>
      <c r="B437" s="50" t="n">
        <v>20.08</v>
      </c>
    </row>
    <row r="438">
      <c r="A438" s="50" t="inlineStr">
        <is>
          <t>2003-02-01</t>
        </is>
      </c>
      <c r="B438" s="50" t="n">
        <v>21.601</v>
      </c>
    </row>
    <row r="439">
      <c r="A439" s="50" t="inlineStr">
        <is>
          <t>2003-03-01</t>
        </is>
      </c>
      <c r="B439" s="50" t="n">
        <v>25.138</v>
      </c>
    </row>
    <row r="440">
      <c r="A440" s="50" t="inlineStr">
        <is>
          <t>2003-04-01</t>
        </is>
      </c>
      <c r="B440" s="50" t="n">
        <v>28.585</v>
      </c>
    </row>
    <row r="441">
      <c r="A441" s="50" t="inlineStr">
        <is>
          <t>2003-05-01</t>
        </is>
      </c>
      <c r="B441" s="50" t="n">
        <v>27.594</v>
      </c>
    </row>
    <row r="442">
      <c r="A442" s="50" t="inlineStr">
        <is>
          <t>2003-06-01</t>
        </is>
      </c>
      <c r="B442" s="50" t="n">
        <v>28.431</v>
      </c>
    </row>
    <row r="443">
      <c r="A443" s="50" t="inlineStr">
        <is>
          <t>2003-07-01</t>
        </is>
      </c>
      <c r="B443" s="50" t="n">
        <v>29.292</v>
      </c>
    </row>
    <row r="444">
      <c r="A444" s="50" t="inlineStr">
        <is>
          <t>2003-08-01</t>
        </is>
      </c>
      <c r="B444" s="50" t="n">
        <v>27.256</v>
      </c>
    </row>
    <row r="445">
      <c r="A445" s="50" t="inlineStr">
        <is>
          <t>2003-09-01</t>
        </is>
      </c>
      <c r="B445" s="50" t="n">
        <v>28.223</v>
      </c>
    </row>
    <row r="446">
      <c r="A446" s="50" t="inlineStr">
        <is>
          <t>2003-10-01</t>
        </is>
      </c>
      <c r="B446" s="50" t="n">
        <v>30.897</v>
      </c>
    </row>
    <row r="447">
      <c r="A447" s="50" t="inlineStr">
        <is>
          <t>2003-11-01</t>
        </is>
      </c>
      <c r="B447" s="50" t="n">
        <v>26.679</v>
      </c>
    </row>
    <row r="448">
      <c r="A448" s="50" t="inlineStr">
        <is>
          <t>2003-12-01</t>
        </is>
      </c>
      <c r="B448" s="50" t="n">
        <v>34.613</v>
      </c>
    </row>
    <row r="449">
      <c r="A449" s="50" t="inlineStr">
        <is>
          <t>2004-01-01</t>
        </is>
      </c>
      <c r="B449" s="50" t="n">
        <v>27.147</v>
      </c>
    </row>
    <row r="450">
      <c r="A450" s="50" t="inlineStr">
        <is>
          <t>2004-02-01</t>
        </is>
      </c>
      <c r="B450" s="50" t="n">
        <v>29.207</v>
      </c>
    </row>
    <row r="451">
      <c r="A451" s="50" t="inlineStr">
        <is>
          <t>2004-03-01</t>
        </is>
      </c>
      <c r="B451" s="50" t="n">
        <v>37.601</v>
      </c>
    </row>
    <row r="452">
      <c r="A452" s="50" t="inlineStr">
        <is>
          <t>2004-04-01</t>
        </is>
      </c>
      <c r="B452" s="50" t="n">
        <v>36.256</v>
      </c>
    </row>
    <row r="453">
      <c r="A453" s="50" t="inlineStr">
        <is>
          <t>2004-05-01</t>
        </is>
      </c>
      <c r="B453" s="50" t="n">
        <v>35.599</v>
      </c>
    </row>
    <row r="454">
      <c r="A454" s="50" t="inlineStr">
        <is>
          <t>2004-06-01</t>
        </is>
      </c>
      <c r="B454" s="50" t="n">
        <v>37.114</v>
      </c>
    </row>
    <row r="455">
      <c r="A455" s="50" t="inlineStr">
        <is>
          <t>2004-07-01</t>
        </is>
      </c>
      <c r="B455" s="50" t="n">
        <v>36.233</v>
      </c>
    </row>
    <row r="456">
      <c r="A456" s="50" t="inlineStr">
        <is>
          <t>2004-08-01</t>
        </is>
      </c>
      <c r="B456" s="50" t="n">
        <v>37.218</v>
      </c>
    </row>
    <row r="457">
      <c r="A457" s="50" t="inlineStr">
        <is>
          <t>2004-09-01</t>
        </is>
      </c>
      <c r="B457" s="50" t="n">
        <v>36.463</v>
      </c>
    </row>
    <row r="458">
      <c r="A458" s="50" t="inlineStr">
        <is>
          <t>2004-10-01</t>
        </is>
      </c>
      <c r="B458" s="50" t="n">
        <v>38.266</v>
      </c>
    </row>
    <row r="459">
      <c r="A459" s="50" t="inlineStr">
        <is>
          <t>2004-11-01</t>
        </is>
      </c>
      <c r="B459" s="50" t="n">
        <v>35.032</v>
      </c>
    </row>
    <row r="460">
      <c r="A460" s="50" t="inlineStr">
        <is>
          <t>2004-12-01</t>
        </is>
      </c>
      <c r="B460" s="50" t="n">
        <v>45.517</v>
      </c>
    </row>
    <row r="461">
      <c r="A461" s="50" t="inlineStr">
        <is>
          <t>2005-01-01</t>
        </is>
      </c>
      <c r="B461" s="50" t="n">
        <v>35.34</v>
      </c>
    </row>
    <row r="462">
      <c r="A462" s="50" t="inlineStr">
        <is>
          <t>2005-02-01</t>
        </is>
      </c>
      <c r="B462" s="50" t="n">
        <v>35.391</v>
      </c>
    </row>
    <row r="463">
      <c r="A463" s="50" t="inlineStr">
        <is>
          <t>2005-03-01</t>
        </is>
      </c>
      <c r="B463" s="50" t="n">
        <v>43.398</v>
      </c>
    </row>
    <row r="464">
      <c r="A464" s="50" t="inlineStr">
        <is>
          <t>2005-04-01</t>
        </is>
      </c>
      <c r="B464" s="50" t="n">
        <v>42.644</v>
      </c>
    </row>
    <row r="465">
      <c r="A465" s="50" t="inlineStr">
        <is>
          <t>2005-05-01</t>
        </is>
      </c>
      <c r="B465" s="50" t="n">
        <v>41.541</v>
      </c>
    </row>
    <row r="466">
      <c r="A466" s="50" t="inlineStr">
        <is>
          <t>2005-06-01</t>
        </is>
      </c>
      <c r="B466" s="50" t="n">
        <v>46.25</v>
      </c>
    </row>
    <row r="467">
      <c r="A467" s="50" t="inlineStr">
        <is>
          <t>2005-07-01</t>
        </is>
      </c>
      <c r="B467" s="50" t="n">
        <v>41.388</v>
      </c>
    </row>
    <row r="468">
      <c r="A468" s="50" t="inlineStr">
        <is>
          <t>2005-08-01</t>
        </is>
      </c>
      <c r="B468" s="50" t="n">
        <v>43.336</v>
      </c>
    </row>
    <row r="469">
      <c r="A469" s="50" t="inlineStr">
        <is>
          <t>2005-09-01</t>
        </is>
      </c>
      <c r="B469" s="50" t="n">
        <v>40.974</v>
      </c>
    </row>
    <row r="470">
      <c r="A470" s="50" t="inlineStr">
        <is>
          <t>2005-10-01</t>
        </is>
      </c>
      <c r="B470" s="50" t="n">
        <v>41.088</v>
      </c>
    </row>
    <row r="471">
      <c r="A471" s="50" t="inlineStr">
        <is>
          <t>2005-11-01</t>
        </is>
      </c>
      <c r="B471" s="50" t="n">
        <v>39.219</v>
      </c>
    </row>
    <row r="472">
      <c r="A472" s="50" t="inlineStr">
        <is>
          <t>2005-12-01</t>
        </is>
      </c>
      <c r="B472" s="50" t="n">
        <v>46.006</v>
      </c>
    </row>
    <row r="473">
      <c r="A473" s="50" t="inlineStr">
        <is>
          <t>2006-01-01</t>
        </is>
      </c>
      <c r="B473" s="50" t="n">
        <v>36.236</v>
      </c>
    </row>
    <row r="474">
      <c r="A474" s="50" t="inlineStr">
        <is>
          <t>2006-02-01</t>
        </is>
      </c>
      <c r="B474" s="50" t="n">
        <v>40.948</v>
      </c>
    </row>
    <row r="475">
      <c r="A475" s="50" t="inlineStr">
        <is>
          <t>2006-03-01</t>
        </is>
      </c>
      <c r="B475" s="50" t="n">
        <v>50.987</v>
      </c>
    </row>
    <row r="476">
      <c r="A476" s="50" t="inlineStr">
        <is>
          <t>2006-04-01</t>
        </is>
      </c>
      <c r="B476" s="50" t="n">
        <v>46.025</v>
      </c>
    </row>
    <row r="477">
      <c r="A477" s="50" t="inlineStr">
        <is>
          <t>2006-05-01</t>
        </is>
      </c>
      <c r="B477" s="50" t="n">
        <v>48.774</v>
      </c>
    </row>
    <row r="478">
      <c r="A478" s="50" t="inlineStr">
        <is>
          <t>2006-06-01</t>
        </is>
      </c>
      <c r="B478" s="50" t="n">
        <v>49.349</v>
      </c>
    </row>
    <row r="479">
      <c r="A479" s="50" t="inlineStr">
        <is>
          <t>2006-07-01</t>
        </is>
      </c>
      <c r="B479" s="50" t="n">
        <v>41.517</v>
      </c>
    </row>
    <row r="480">
      <c r="A480" s="50" t="inlineStr">
        <is>
          <t>2006-08-01</t>
        </is>
      </c>
      <c r="B480" s="50" t="n">
        <v>47.497</v>
      </c>
    </row>
    <row r="481">
      <c r="A481" s="50" t="inlineStr">
        <is>
          <t>2006-09-01</t>
        </is>
      </c>
      <c r="B481" s="50" t="n">
        <v>43.733</v>
      </c>
    </row>
    <row r="482">
      <c r="A482" s="50" t="inlineStr">
        <is>
          <t>2006-10-01</t>
        </is>
      </c>
      <c r="B482" s="50" t="n">
        <v>47.502</v>
      </c>
    </row>
    <row r="483">
      <c r="A483" s="50" t="inlineStr">
        <is>
          <t>2006-11-01</t>
        </is>
      </c>
      <c r="B483" s="50" t="n">
        <v>41.689</v>
      </c>
    </row>
    <row r="484">
      <c r="A484" s="50" t="inlineStr">
        <is>
          <t>2006-12-01</t>
        </is>
      </c>
      <c r="B484" s="50" t="n">
        <v>50.324</v>
      </c>
    </row>
    <row r="485">
      <c r="A485" s="50" t="inlineStr">
        <is>
          <t>2007-01-01</t>
        </is>
      </c>
      <c r="B485" s="50" t="n">
        <v>36.826</v>
      </c>
    </row>
    <row r="486">
      <c r="A486" s="50" t="inlineStr">
        <is>
          <t>2007-02-01</t>
        </is>
      </c>
      <c r="B486" s="50" t="n">
        <v>34.034</v>
      </c>
    </row>
    <row r="487">
      <c r="A487" s="50" t="inlineStr">
        <is>
          <t>2007-03-01</t>
        </is>
      </c>
      <c r="B487" s="50" t="n">
        <v>37.965</v>
      </c>
    </row>
    <row r="488">
      <c r="A488" s="50" t="inlineStr">
        <is>
          <t>2007-04-01</t>
        </is>
      </c>
      <c r="B488" s="50" t="n">
        <v>33.563</v>
      </c>
    </row>
    <row r="489">
      <c r="A489" s="50" t="inlineStr">
        <is>
          <t>2007-05-01</t>
        </is>
      </c>
      <c r="B489" s="50" t="n">
        <v>31.54</v>
      </c>
    </row>
    <row r="490">
      <c r="A490" s="50" t="inlineStr">
        <is>
          <t>2007-06-01</t>
        </is>
      </c>
      <c r="B490" s="50" t="n">
        <v>31.06</v>
      </c>
    </row>
    <row r="491">
      <c r="A491" s="50" t="inlineStr">
        <is>
          <t>2007-07-01</t>
        </is>
      </c>
      <c r="B491" s="50" t="n">
        <v>26.754</v>
      </c>
    </row>
    <row r="492">
      <c r="A492" s="50" t="inlineStr">
        <is>
          <t>2007-08-01</t>
        </is>
      </c>
      <c r="B492" s="50" t="n">
        <v>29.163</v>
      </c>
    </row>
    <row r="493">
      <c r="A493" s="50" t="inlineStr">
        <is>
          <t>2007-09-01</t>
        </is>
      </c>
      <c r="B493" s="50" t="n">
        <v>25.363</v>
      </c>
    </row>
    <row r="494">
      <c r="A494" s="50" t="inlineStr">
        <is>
          <t>2007-10-01</t>
        </is>
      </c>
      <c r="B494" s="50" t="n">
        <v>29.944</v>
      </c>
    </row>
    <row r="495">
      <c r="A495" s="50" t="inlineStr">
        <is>
          <t>2007-11-01</t>
        </is>
      </c>
      <c r="B495" s="50" t="n">
        <v>25.148</v>
      </c>
    </row>
    <row r="496">
      <c r="A496" s="50" t="inlineStr">
        <is>
          <t>2007-12-01</t>
        </is>
      </c>
      <c r="B496" s="50" t="n">
        <v>29.733</v>
      </c>
    </row>
    <row r="497">
      <c r="A497" s="50" t="inlineStr">
        <is>
          <t>2008-01-01</t>
        </is>
      </c>
      <c r="B497" s="50" t="n">
        <v>24.282</v>
      </c>
    </row>
    <row r="498">
      <c r="A498" s="50" t="inlineStr">
        <is>
          <t>2008-02-01</t>
        </is>
      </c>
      <c r="B498" s="50" t="n">
        <v>24.751</v>
      </c>
    </row>
    <row r="499">
      <c r="A499" s="50" t="inlineStr">
        <is>
          <t>2008-03-01</t>
        </is>
      </c>
      <c r="B499" s="50" t="n">
        <v>27.066</v>
      </c>
    </row>
    <row r="500">
      <c r="A500" s="50" t="inlineStr">
        <is>
          <t>2008-04-01</t>
        </is>
      </c>
      <c r="B500" s="50" t="n">
        <v>29.492</v>
      </c>
    </row>
    <row r="501">
      <c r="A501" s="50" t="inlineStr">
        <is>
          <t>2008-05-01</t>
        </is>
      </c>
      <c r="B501" s="50" t="n">
        <v>27.661</v>
      </c>
    </row>
    <row r="502">
      <c r="A502" s="50" t="inlineStr">
        <is>
          <t>2008-06-01</t>
        </is>
      </c>
      <c r="B502" s="50" t="n">
        <v>27.267</v>
      </c>
    </row>
    <row r="503">
      <c r="A503" s="50" t="inlineStr">
        <is>
          <t>2008-07-01</t>
        </is>
      </c>
      <c r="B503" s="50" t="n">
        <v>23.741</v>
      </c>
    </row>
    <row r="504">
      <c r="A504" s="50" t="inlineStr">
        <is>
          <t>2008-08-01</t>
        </is>
      </c>
      <c r="B504" s="50" t="n">
        <v>22.315</v>
      </c>
    </row>
    <row r="505">
      <c r="A505" s="50" t="inlineStr">
        <is>
          <t>2008-09-01</t>
        </is>
      </c>
      <c r="B505" s="50" t="n">
        <v>22.286</v>
      </c>
    </row>
    <row r="506">
      <c r="A506" s="50" t="inlineStr">
        <is>
          <t>2008-10-01</t>
        </is>
      </c>
      <c r="B506" s="50" t="n">
        <v>24.434</v>
      </c>
    </row>
    <row r="507">
      <c r="A507" s="50" t="inlineStr">
        <is>
          <t>2008-11-01</t>
        </is>
      </c>
      <c r="B507" s="50" t="n">
        <v>20.327</v>
      </c>
    </row>
    <row r="508">
      <c r="A508" s="50" t="inlineStr">
        <is>
          <t>2008-12-01</t>
        </is>
      </c>
      <c r="B508" s="50" t="n">
        <v>24.802</v>
      </c>
    </row>
    <row r="509">
      <c r="A509" s="50" t="inlineStr">
        <is>
          <t>2009-01-01</t>
        </is>
      </c>
      <c r="B509" s="50" t="n">
        <v>15.573</v>
      </c>
    </row>
    <row r="510">
      <c r="A510" s="50" t="inlineStr">
        <is>
          <t>2009-02-01</t>
        </is>
      </c>
      <c r="B510" s="50" t="n">
        <v>14.461</v>
      </c>
    </row>
    <row r="511">
      <c r="A511" s="50" t="inlineStr">
        <is>
          <t>2009-03-01</t>
        </is>
      </c>
      <c r="B511" s="50" t="n">
        <v>17.667</v>
      </c>
    </row>
    <row r="512">
      <c r="A512" s="50" t="inlineStr">
        <is>
          <t>2009-04-01</t>
        </is>
      </c>
      <c r="B512" s="50" t="n">
        <v>15.263</v>
      </c>
    </row>
    <row r="513">
      <c r="A513" s="50" t="inlineStr">
        <is>
          <t>2009-05-01</t>
        </is>
      </c>
      <c r="B513" s="50" t="n">
        <v>14.508</v>
      </c>
    </row>
    <row r="514">
      <c r="A514" s="50" t="inlineStr">
        <is>
          <t>2009-06-01</t>
        </is>
      </c>
      <c r="B514" s="50" t="n">
        <v>17.449</v>
      </c>
    </row>
    <row r="515">
      <c r="A515" s="50" t="inlineStr">
        <is>
          <t>2009-07-01</t>
        </is>
      </c>
      <c r="B515" s="50" t="n">
        <v>16.07</v>
      </c>
    </row>
    <row r="516">
      <c r="A516" s="50" t="inlineStr">
        <is>
          <t>2009-08-01</t>
        </is>
      </c>
      <c r="B516" s="50" t="n">
        <v>14.608</v>
      </c>
    </row>
    <row r="517">
      <c r="A517" s="50" t="inlineStr">
        <is>
          <t>2009-09-01</t>
        </is>
      </c>
      <c r="B517" s="50" t="n">
        <v>15.435</v>
      </c>
    </row>
    <row r="518">
      <c r="A518" s="50" t="inlineStr">
        <is>
          <t>2009-10-01</t>
        </is>
      </c>
      <c r="B518" s="50" t="n">
        <v>18.251</v>
      </c>
    </row>
    <row r="519">
      <c r="A519" s="50" t="inlineStr">
        <is>
          <t>2009-11-01</t>
        </is>
      </c>
      <c r="B519" s="50" t="n">
        <v>17.387</v>
      </c>
    </row>
    <row r="520">
      <c r="A520" s="50" t="inlineStr">
        <is>
          <t>2009-12-01</t>
        </is>
      </c>
      <c r="B520" s="50" t="n">
        <v>23.014</v>
      </c>
    </row>
    <row r="521">
      <c r="A521" s="50" t="inlineStr">
        <is>
          <t>2010-01-01</t>
        </is>
      </c>
      <c r="B521" s="50" t="n">
        <v>15.898</v>
      </c>
    </row>
    <row r="522">
      <c r="A522" s="50" t="inlineStr">
        <is>
          <t>2010-02-01</t>
        </is>
      </c>
      <c r="B522" s="50" t="n">
        <v>14.905</v>
      </c>
    </row>
    <row r="523">
      <c r="A523" s="50" t="inlineStr">
        <is>
          <t>2010-03-01</t>
        </is>
      </c>
      <c r="B523" s="50" t="n">
        <v>20.321</v>
      </c>
    </row>
    <row r="524">
      <c r="A524" s="50" t="inlineStr">
        <is>
          <t>2010-04-01</t>
        </is>
      </c>
      <c r="B524" s="50" t="n">
        <v>16.91</v>
      </c>
    </row>
    <row r="525">
      <c r="A525" s="50" t="inlineStr">
        <is>
          <t>2010-05-01</t>
        </is>
      </c>
      <c r="B525" s="50" t="n">
        <v>16.815</v>
      </c>
    </row>
    <row r="526">
      <c r="A526" s="50" t="inlineStr">
        <is>
          <t>2010-06-01</t>
        </is>
      </c>
      <c r="B526" s="50" t="n">
        <v>19.167</v>
      </c>
    </row>
    <row r="527">
      <c r="A527" s="50" t="inlineStr">
        <is>
          <t>2010-07-01</t>
        </is>
      </c>
      <c r="B527" s="50" t="n">
        <v>18.742</v>
      </c>
    </row>
    <row r="528">
      <c r="A528" s="50" t="inlineStr">
        <is>
          <t>2010-08-01</t>
        </is>
      </c>
      <c r="B528" s="50" t="n">
        <v>17.238</v>
      </c>
    </row>
    <row r="529">
      <c r="A529" s="50" t="inlineStr">
        <is>
          <t>2010-09-01</t>
        </is>
      </c>
      <c r="B529" s="50" t="n">
        <v>18.012</v>
      </c>
    </row>
    <row r="530">
      <c r="A530" s="50" t="inlineStr">
        <is>
          <t>2010-10-01</t>
        </is>
      </c>
      <c r="B530" s="50" t="n">
        <v>18.522</v>
      </c>
    </row>
    <row r="531">
      <c r="A531" s="50" t="inlineStr">
        <is>
          <t>2010-11-01</t>
        </is>
      </c>
      <c r="B531" s="50" t="n">
        <v>18.405</v>
      </c>
    </row>
    <row r="532">
      <c r="A532" s="50" t="inlineStr">
        <is>
          <t>2010-12-01</t>
        </is>
      </c>
      <c r="B532" s="50" t="n">
        <v>22.767</v>
      </c>
    </row>
    <row r="533">
      <c r="A533" s="50" t="inlineStr">
        <is>
          <t>2011-01-01</t>
        </is>
      </c>
      <c r="B533" s="50" t="n">
        <v>18.228</v>
      </c>
    </row>
    <row r="534">
      <c r="A534" s="50" t="inlineStr">
        <is>
          <t>2011-02-01</t>
        </is>
      </c>
      <c r="B534" s="50" t="n">
        <v>19.139</v>
      </c>
    </row>
    <row r="535">
      <c r="A535" s="50" t="inlineStr">
        <is>
          <t>2011-03-01</t>
        </is>
      </c>
      <c r="B535" s="50" t="n">
        <v>25.522</v>
      </c>
    </row>
    <row r="536">
      <c r="A536" s="50" t="inlineStr">
        <is>
          <t>2011-04-01</t>
        </is>
      </c>
      <c r="B536" s="50" t="n">
        <v>23.047</v>
      </c>
    </row>
    <row r="537">
      <c r="A537" s="50" t="inlineStr">
        <is>
          <t>2011-05-01</t>
        </is>
      </c>
      <c r="B537" s="50" t="n">
        <v>25.136</v>
      </c>
    </row>
    <row r="538">
      <c r="A538" s="50" t="inlineStr">
        <is>
          <t>2011-06-01</t>
        </is>
      </c>
      <c r="B538" s="50" t="n">
        <v>27.475</v>
      </c>
    </row>
    <row r="539">
      <c r="A539" s="50" t="inlineStr">
        <is>
          <t>2011-07-01</t>
        </is>
      </c>
      <c r="B539" s="50" t="n">
        <v>23.653</v>
      </c>
    </row>
    <row r="540">
      <c r="A540" s="50" t="inlineStr">
        <is>
          <t>2011-08-01</t>
        </is>
      </c>
      <c r="B540" s="50" t="n">
        <v>27.682</v>
      </c>
    </row>
    <row r="541">
      <c r="A541" s="50" t="inlineStr">
        <is>
          <t>2011-09-01</t>
        </is>
      </c>
      <c r="B541" s="50" t="n">
        <v>27.34</v>
      </c>
    </row>
    <row r="542">
      <c r="A542" s="50" t="inlineStr">
        <is>
          <t>2011-10-01</t>
        </is>
      </c>
      <c r="B542" s="50" t="n">
        <v>29.062</v>
      </c>
    </row>
    <row r="543">
      <c r="A543" s="50" t="inlineStr">
        <is>
          <t>2011-11-01</t>
        </is>
      </c>
      <c r="B543" s="50" t="n">
        <v>26.724</v>
      </c>
    </row>
    <row r="544">
      <c r="A544" s="50" t="inlineStr">
        <is>
          <t>2011-12-01</t>
        </is>
      </c>
      <c r="B544" s="50" t="n">
        <v>33.562</v>
      </c>
    </row>
    <row r="545">
      <c r="A545" s="50" t="inlineStr">
        <is>
          <t>2012-01-01</t>
        </is>
      </c>
      <c r="B545" s="50" t="n">
        <v>24.294</v>
      </c>
    </row>
    <row r="546">
      <c r="A546" s="50" t="inlineStr">
        <is>
          <t>2012-02-01</t>
        </is>
      </c>
      <c r="B546" s="50" t="n">
        <v>26.96</v>
      </c>
    </row>
    <row r="547">
      <c r="A547" s="50" t="inlineStr">
        <is>
          <t>2012-03-01</t>
        </is>
      </c>
      <c r="B547" s="50" t="n">
        <v>31.839</v>
      </c>
    </row>
    <row r="548">
      <c r="A548" s="50" t="inlineStr">
        <is>
          <t>2012-04-01</t>
        </is>
      </c>
      <c r="B548" s="50" t="n">
        <v>28.805</v>
      </c>
    </row>
    <row r="549">
      <c r="A549" s="50" t="inlineStr">
        <is>
          <t>2012-05-01</t>
        </is>
      </c>
      <c r="B549" s="50" t="n">
        <v>31.453</v>
      </c>
    </row>
    <row r="550">
      <c r="A550" s="50" t="inlineStr">
        <is>
          <t>2012-06-01</t>
        </is>
      </c>
      <c r="B550" s="50" t="n">
        <v>30.411</v>
      </c>
    </row>
    <row r="551">
      <c r="A551" s="50" t="inlineStr">
        <is>
          <t>2012-07-01</t>
        </is>
      </c>
      <c r="B551" s="50" t="n">
        <v>28.96</v>
      </c>
    </row>
    <row r="552">
      <c r="A552" s="50" t="inlineStr">
        <is>
          <t>2012-08-01</t>
        </is>
      </c>
      <c r="B552" s="50" t="n">
        <v>30.362</v>
      </c>
    </row>
    <row r="553">
      <c r="A553" s="50" t="inlineStr">
        <is>
          <t>2012-09-01</t>
        </is>
      </c>
      <c r="B553" s="50" t="n">
        <v>26.537</v>
      </c>
    </row>
    <row r="554">
      <c r="A554" s="50" t="inlineStr">
        <is>
          <t>2012-10-01</t>
        </is>
      </c>
      <c r="B554" s="50" t="n">
        <v>28.85</v>
      </c>
    </row>
    <row r="555">
      <c r="A555" s="50" t="inlineStr">
        <is>
          <t>2012-11-01</t>
        </is>
      </c>
      <c r="B555" s="50" t="n">
        <v>25.783</v>
      </c>
    </row>
    <row r="556">
      <c r="A556" s="50" t="inlineStr">
        <is>
          <t>2012-12-01</t>
        </is>
      </c>
      <c r="B556" s="50" t="n">
        <v>32.027</v>
      </c>
    </row>
    <row r="557">
      <c r="A557" s="50" t="inlineStr">
        <is>
          <t>2013-01-01</t>
        </is>
      </c>
      <c r="B557" s="50" t="n">
        <v>24.99</v>
      </c>
    </row>
    <row r="558">
      <c r="A558" s="50" t="inlineStr">
        <is>
          <t>2013-02-01</t>
        </is>
      </c>
      <c r="B558" s="50" t="n">
        <v>24.836</v>
      </c>
    </row>
    <row r="559">
      <c r="A559" s="50" t="inlineStr">
        <is>
          <t>2013-03-01</t>
        </is>
      </c>
      <c r="B559" s="50" t="n">
        <v>25.773</v>
      </c>
    </row>
    <row r="560">
      <c r="A560" s="50" t="inlineStr">
        <is>
          <t>2013-04-01</t>
        </is>
      </c>
      <c r="B560" s="50" t="n">
        <v>30.565</v>
      </c>
    </row>
    <row r="561">
      <c r="A561" s="50" t="inlineStr">
        <is>
          <t>2013-05-01</t>
        </is>
      </c>
      <c r="B561" s="50" t="n">
        <v>30.366</v>
      </c>
    </row>
    <row r="562">
      <c r="A562" s="50" t="inlineStr">
        <is>
          <t>2013-06-01</t>
        </is>
      </c>
      <c r="B562" s="50" t="n">
        <v>31.528</v>
      </c>
    </row>
    <row r="563">
      <c r="A563" s="50" t="inlineStr">
        <is>
          <t>2013-07-01</t>
        </is>
      </c>
      <c r="B563" s="50" t="n">
        <v>29.586</v>
      </c>
    </row>
    <row r="564">
      <c r="A564" s="50" t="inlineStr">
        <is>
          <t>2013-08-01</t>
        </is>
      </c>
      <c r="B564" s="50" t="n">
        <v>28.82</v>
      </c>
    </row>
    <row r="565">
      <c r="A565" s="50" t="inlineStr">
        <is>
          <t>2013-09-01</t>
        </is>
      </c>
      <c r="B565" s="50" t="n">
        <v>28.551</v>
      </c>
    </row>
    <row r="566">
      <c r="A566" s="50" t="inlineStr">
        <is>
          <t>2013-10-01</t>
        </is>
      </c>
      <c r="B566" s="50" t="n">
        <v>33.87</v>
      </c>
    </row>
    <row r="567">
      <c r="A567" s="50" t="inlineStr">
        <is>
          <t>2013-11-01</t>
        </is>
      </c>
      <c r="B567" s="50" t="n">
        <v>27.78</v>
      </c>
    </row>
    <row r="568">
      <c r="A568" s="50" t="inlineStr">
        <is>
          <t>2013-12-01</t>
        </is>
      </c>
      <c r="B568" s="50" t="n">
        <v>35.946</v>
      </c>
    </row>
    <row r="569">
      <c r="A569" s="50" t="inlineStr">
        <is>
          <t>2014-01-01</t>
        </is>
      </c>
      <c r="B569" s="50" t="n">
        <v>26.642</v>
      </c>
    </row>
    <row r="570">
      <c r="A570" s="50" t="inlineStr">
        <is>
          <t>2014-02-01</t>
        </is>
      </c>
      <c r="B570" s="50" t="n">
        <v>27.063</v>
      </c>
    </row>
    <row r="571">
      <c r="A571" s="50" t="inlineStr">
        <is>
          <t>2014-03-01</t>
        </is>
      </c>
      <c r="B571" s="50" t="n">
        <v>32.266</v>
      </c>
    </row>
    <row r="572">
      <c r="A572" s="50" t="inlineStr">
        <is>
          <t>2014-04-01</t>
        </is>
      </c>
      <c r="B572" s="50" t="n">
        <v>34.403</v>
      </c>
    </row>
    <row r="573">
      <c r="A573" s="50" t="inlineStr">
        <is>
          <t>2014-05-01</t>
        </is>
      </c>
      <c r="B573" s="50" t="n">
        <v>33.764</v>
      </c>
    </row>
    <row r="574">
      <c r="A574" s="50" t="inlineStr">
        <is>
          <t>2014-06-01</t>
        </is>
      </c>
      <c r="B574" s="50" t="n">
        <v>34.195</v>
      </c>
    </row>
    <row r="575">
      <c r="A575" s="50" t="inlineStr">
        <is>
          <t>2014-07-01</t>
        </is>
      </c>
      <c r="B575" s="50" t="n">
        <v>36.346</v>
      </c>
    </row>
    <row r="576">
      <c r="A576" s="50" t="inlineStr">
        <is>
          <t>2014-08-01</t>
        </is>
      </c>
      <c r="B576" s="50" t="n">
        <v>35.643</v>
      </c>
    </row>
    <row r="577">
      <c r="A577" s="50" t="inlineStr">
        <is>
          <t>2014-09-01</t>
        </is>
      </c>
      <c r="B577" s="50" t="n">
        <v>36.497</v>
      </c>
    </row>
    <row r="578">
      <c r="A578" s="50" t="inlineStr">
        <is>
          <t>2014-10-01</t>
        </is>
      </c>
      <c r="B578" s="50" t="n">
        <v>38.631</v>
      </c>
    </row>
    <row r="579">
      <c r="A579" s="50" t="inlineStr">
        <is>
          <t>2014-11-01</t>
        </is>
      </c>
      <c r="B579" s="50" t="n">
        <v>30.011</v>
      </c>
    </row>
    <row r="580">
      <c r="A580" s="50" t="inlineStr">
        <is>
          <t>2014-12-01</t>
        </is>
      </c>
      <c r="B580" s="50" t="n">
        <v>42.192</v>
      </c>
    </row>
    <row r="581">
      <c r="A581" s="50" t="inlineStr">
        <is>
          <t>2015-01-01</t>
        </is>
      </c>
      <c r="B581" s="50" t="n">
        <v>30.735</v>
      </c>
    </row>
    <row r="582">
      <c r="A582" s="50" t="inlineStr">
        <is>
          <t>2015-02-01</t>
        </is>
      </c>
      <c r="B582" s="50" t="n">
        <v>31.254</v>
      </c>
    </row>
    <row r="583">
      <c r="A583" s="50" t="inlineStr">
        <is>
          <t>2015-03-01</t>
        </is>
      </c>
      <c r="B583" s="50" t="n">
        <v>38.044</v>
      </c>
    </row>
    <row r="584">
      <c r="A584" s="50" t="inlineStr">
        <is>
          <t>2015-04-01</t>
        </is>
      </c>
      <c r="B584" s="50" t="n">
        <v>36.231</v>
      </c>
    </row>
    <row r="585">
      <c r="A585" s="50" t="inlineStr">
        <is>
          <t>2015-05-01</t>
        </is>
      </c>
      <c r="B585" s="50" t="n">
        <v>37.11</v>
      </c>
    </row>
    <row r="586">
      <c r="A586" s="50" t="inlineStr">
        <is>
          <t>2015-06-01</t>
        </is>
      </c>
      <c r="B586" s="50" t="n">
        <v>43.508</v>
      </c>
    </row>
    <row r="587">
      <c r="A587" s="50" t="inlineStr">
        <is>
          <t>2015-07-01</t>
        </is>
      </c>
      <c r="B587" s="50" t="n">
        <v>40.647</v>
      </c>
    </row>
    <row r="588">
      <c r="A588" s="50" t="inlineStr">
        <is>
          <t>2015-08-01</t>
        </is>
      </c>
      <c r="B588" s="50" t="n">
        <v>38.961</v>
      </c>
    </row>
    <row r="589">
      <c r="A589" s="50" t="inlineStr">
        <is>
          <t>2015-09-01</t>
        </is>
      </c>
      <c r="B589" s="50" t="n">
        <v>37.514</v>
      </c>
    </row>
    <row r="590">
      <c r="A590" s="50" t="inlineStr">
        <is>
          <t>2015-10-01</t>
        </is>
      </c>
      <c r="B590" s="50" t="n">
        <v>38.91</v>
      </c>
    </row>
    <row r="591">
      <c r="A591" s="50" t="inlineStr">
        <is>
          <t>2015-11-01</t>
        </is>
      </c>
      <c r="B591" s="50" t="n">
        <v>35.279</v>
      </c>
    </row>
    <row r="592">
      <c r="A592" s="50" t="inlineStr">
        <is>
          <t>2015-12-01</t>
        </is>
      </c>
      <c r="B592" s="50" t="n">
        <v>41.14</v>
      </c>
    </row>
    <row r="593">
      <c r="A593" s="50" t="inlineStr">
        <is>
          <t>2016-01-01</t>
        </is>
      </c>
      <c r="B593" s="50" t="n">
        <v>31.351</v>
      </c>
    </row>
    <row r="594">
      <c r="A594" s="50" t="inlineStr">
        <is>
          <t>2016-02-01</t>
        </is>
      </c>
      <c r="B594" s="50" t="n">
        <v>33.125</v>
      </c>
    </row>
    <row r="595">
      <c r="A595" s="50" t="inlineStr">
        <is>
          <t>2016-03-01</t>
        </is>
      </c>
      <c r="B595" s="50" t="n">
        <v>40.383</v>
      </c>
    </row>
    <row r="596">
      <c r="A596" s="50" t="inlineStr">
        <is>
          <t>2016-04-01</t>
        </is>
      </c>
      <c r="B596" s="50" t="n">
        <v>34.402</v>
      </c>
    </row>
    <row r="597">
      <c r="A597" s="50" t="inlineStr">
        <is>
          <t>2016-05-01</t>
        </is>
      </c>
      <c r="B597" s="50" t="n">
        <v>33.951</v>
      </c>
    </row>
    <row r="598">
      <c r="A598" s="50" t="inlineStr">
        <is>
          <t>2016-06-01</t>
        </is>
      </c>
      <c r="B598" s="50" t="n">
        <v>35.723</v>
      </c>
    </row>
    <row r="599">
      <c r="A599" s="50" t="inlineStr">
        <is>
          <t>2016-07-01</t>
        </is>
      </c>
      <c r="B599" s="50" t="n">
        <v>30.146</v>
      </c>
    </row>
    <row r="600">
      <c r="A600" s="50" t="inlineStr">
        <is>
          <t>2016-08-01</t>
        </is>
      </c>
      <c r="B600" s="50" t="n">
        <v>33.556</v>
      </c>
    </row>
    <row r="601">
      <c r="A601" s="50" t="inlineStr">
        <is>
          <t>2016-09-01</t>
        </is>
      </c>
      <c r="B601" s="50" t="n">
        <v>32.357</v>
      </c>
    </row>
    <row r="602">
      <c r="A602" s="50" t="inlineStr">
        <is>
          <t>2016-10-01</t>
        </is>
      </c>
      <c r="B602" s="50" t="n">
        <v>29.885</v>
      </c>
    </row>
    <row r="603">
      <c r="A603" s="50" t="inlineStr">
        <is>
          <t>2016-11-01</t>
        </is>
      </c>
      <c r="B603" s="50" t="n">
        <v>29.752</v>
      </c>
    </row>
    <row r="604">
      <c r="A604" s="50" t="inlineStr">
        <is>
          <t>2016-12-01</t>
        </is>
      </c>
      <c r="B604" s="50" t="n">
        <v>36.365</v>
      </c>
    </row>
    <row r="605">
      <c r="A605" s="50" t="inlineStr">
        <is>
          <t>2017-01-01</t>
        </is>
      </c>
      <c r="B605" s="50" t="n">
        <v>25.726</v>
      </c>
    </row>
    <row r="606">
      <c r="A606" s="50" t="inlineStr">
        <is>
          <t>2017-02-01</t>
        </is>
      </c>
      <c r="B606" s="50" t="n">
        <v>27.968</v>
      </c>
    </row>
    <row r="607">
      <c r="A607" s="50" t="inlineStr">
        <is>
          <t>2017-03-01</t>
        </is>
      </c>
      <c r="B607" s="50" t="n">
        <v>35.155</v>
      </c>
    </row>
    <row r="608">
      <c r="A608" s="50" t="inlineStr">
        <is>
          <t>2017-04-01</t>
        </is>
      </c>
      <c r="B608" s="50" t="n">
        <v>32.019</v>
      </c>
    </row>
    <row r="609">
      <c r="A609" s="50" t="inlineStr">
        <is>
          <t>2017-05-01</t>
        </is>
      </c>
      <c r="B609" s="50" t="n">
        <v>34.55</v>
      </c>
    </row>
    <row r="610">
      <c r="A610" s="50" t="inlineStr">
        <is>
          <t>2017-06-01</t>
        </is>
      </c>
      <c r="B610" s="50" t="n">
        <v>37.66</v>
      </c>
    </row>
    <row r="611">
      <c r="A611" s="50" t="inlineStr">
        <is>
          <t>2017-07-01</t>
        </is>
      </c>
      <c r="B611" s="50" t="n">
        <v>32.371</v>
      </c>
    </row>
    <row r="612">
      <c r="A612" s="50" t="inlineStr">
        <is>
          <t>2017-08-01</t>
        </is>
      </c>
      <c r="B612" s="50" t="n">
        <v>38.176</v>
      </c>
    </row>
    <row r="613">
      <c r="A613" s="50" t="inlineStr">
        <is>
          <t>2017-09-01</t>
        </is>
      </c>
      <c r="B613" s="50" t="n">
        <v>36.057</v>
      </c>
    </row>
    <row r="614">
      <c r="A614" s="50" t="inlineStr">
        <is>
          <t>2017-10-01</t>
        </is>
      </c>
      <c r="B614" s="50" t="n">
        <v>36.494</v>
      </c>
    </row>
    <row r="615">
      <c r="A615" s="50" t="inlineStr">
        <is>
          <t>2017-11-01</t>
        </is>
      </c>
      <c r="B615" s="50" t="n">
        <v>35.332</v>
      </c>
    </row>
    <row r="616">
      <c r="A616" s="50" t="inlineStr">
        <is>
          <t>2017-12-01</t>
        </is>
      </c>
      <c r="B616" s="50" t="n">
        <v>43.534</v>
      </c>
    </row>
    <row r="617">
      <c r="A617" s="50" t="inlineStr">
        <is>
          <t>2018-01-01</t>
        </is>
      </c>
      <c r="B617" s="50" t="n">
        <v>30.704</v>
      </c>
    </row>
    <row r="618">
      <c r="A618" s="50" t="inlineStr">
        <is>
          <t>2018-02-01</t>
        </is>
      </c>
      <c r="B618" s="50" t="n">
        <v>34.377</v>
      </c>
    </row>
    <row r="619">
      <c r="A619" s="50" t="inlineStr">
        <is>
          <t>2018-03-01</t>
        </is>
      </c>
      <c r="B619" s="50" t="n">
        <v>40.519</v>
      </c>
    </row>
    <row r="620">
      <c r="A620" s="50" t="inlineStr">
        <is>
          <t>2018-04-01</t>
        </is>
      </c>
      <c r="B620" s="50" t="n">
        <v>37.68</v>
      </c>
    </row>
    <row r="621">
      <c r="A621" s="50" t="inlineStr">
        <is>
          <t>2018-05-01</t>
        </is>
      </c>
      <c r="B621" s="50" t="n">
        <v>39.991</v>
      </c>
    </row>
    <row r="622">
      <c r="A622" s="50" t="inlineStr">
        <is>
          <t>2018-06-01</t>
        </is>
      </c>
      <c r="B622" s="50" t="n">
        <v>42.948</v>
      </c>
    </row>
    <row r="623">
      <c r="A623" s="50" t="inlineStr">
        <is>
          <t>2018-07-01</t>
        </is>
      </c>
      <c r="B623" s="50" t="n">
        <v>40.154</v>
      </c>
    </row>
    <row r="624">
      <c r="A624" s="50" t="inlineStr">
        <is>
          <t>2018-08-01</t>
        </is>
      </c>
      <c r="B624" s="50" t="n">
        <v>45.201</v>
      </c>
    </row>
    <row r="625">
      <c r="A625" s="50" t="inlineStr">
        <is>
          <t>2018-09-01</t>
        </is>
      </c>
      <c r="B625" s="50" t="n">
        <v>42.861</v>
      </c>
    </row>
    <row r="626">
      <c r="A626" s="50" t="inlineStr">
        <is>
          <t>2018-10-01</t>
        </is>
      </c>
      <c r="B626" s="50" t="n">
        <v>45.627</v>
      </c>
    </row>
    <row r="627">
      <c r="A627" s="50" t="inlineStr">
        <is>
          <t>2018-11-01</t>
        </is>
      </c>
      <c r="B627" s="50" t="n">
        <v>39.666</v>
      </c>
    </row>
    <row r="628">
      <c r="A628" s="50" t="inlineStr">
        <is>
          <t>2018-12-01</t>
        </is>
      </c>
      <c r="B628" s="50" t="n">
        <v>48.128</v>
      </c>
    </row>
    <row r="629">
      <c r="A629" s="50" t="inlineStr">
        <is>
          <t>2019-01-01</t>
        </is>
      </c>
      <c r="B629" s="50" t="n">
        <v>38.338</v>
      </c>
    </row>
    <row r="630">
      <c r="A630" s="50" t="inlineStr">
        <is>
          <t>2019-02-01</t>
        </is>
      </c>
      <c r="B630" s="50" t="n">
        <v>36.765</v>
      </c>
    </row>
    <row r="631">
      <c r="A631" s="50" t="inlineStr">
        <is>
          <t>2019-03-01</t>
        </is>
      </c>
      <c r="B631" s="50" t="n">
        <v>43.935</v>
      </c>
    </row>
    <row r="632">
      <c r="A632" s="50" t="inlineStr">
        <is>
          <t>2019-04-01</t>
        </is>
      </c>
      <c r="B632" s="50" t="n">
        <v>46.141</v>
      </c>
    </row>
    <row r="633">
      <c r="A633" s="50" t="inlineStr">
        <is>
          <t>2019-05-01</t>
        </is>
      </c>
      <c r="B633" s="50" t="n">
        <v>46.595</v>
      </c>
    </row>
    <row r="634">
      <c r="A634" s="50" t="inlineStr">
        <is>
          <t>2019-06-01</t>
        </is>
      </c>
      <c r="B634" s="50" t="n">
        <v>45.073</v>
      </c>
    </row>
    <row r="635">
      <c r="A635" s="50" t="inlineStr">
        <is>
          <t>2019-07-01</t>
        </is>
      </c>
      <c r="B635" s="50" t="n">
        <v>47.443</v>
      </c>
    </row>
    <row r="636">
      <c r="A636" s="50" t="inlineStr">
        <is>
          <t>2019-08-01</t>
        </is>
      </c>
      <c r="B636" s="50" t="n">
        <v>46.617</v>
      </c>
    </row>
    <row r="637">
      <c r="A637" s="50" t="inlineStr">
        <is>
          <t>2019-09-01</t>
        </is>
      </c>
      <c r="B637" s="50" t="n">
        <v>48.528</v>
      </c>
    </row>
    <row r="638">
      <c r="A638" s="50" t="inlineStr">
        <is>
          <t>2019-10-01</t>
        </is>
      </c>
      <c r="B638" s="50" t="n">
        <v>46.179</v>
      </c>
    </row>
    <row r="639">
      <c r="A639" s="50" t="inlineStr">
        <is>
          <t>2019-11-01</t>
        </is>
      </c>
      <c r="B639" s="50" t="n">
        <v>35.291</v>
      </c>
    </row>
    <row r="640">
      <c r="A640" s="50" t="inlineStr">
        <is>
          <t>2019-12-01</t>
        </is>
      </c>
      <c r="B640" s="50" t="n">
        <v>46.187</v>
      </c>
    </row>
    <row r="641">
      <c r="A641" s="50" t="inlineStr">
        <is>
          <t>2020-01-01</t>
        </is>
      </c>
      <c r="B641" s="50" t="n">
        <v>31.897</v>
      </c>
    </row>
    <row r="642">
      <c r="A642" s="50" t="inlineStr">
        <is>
          <t>2020-02-01</t>
        </is>
      </c>
      <c r="B642" s="50" t="n">
        <v>33.144</v>
      </c>
    </row>
    <row r="643">
      <c r="A643" s="50" t="inlineStr">
        <is>
          <t>2020-03-01</t>
        </is>
      </c>
      <c r="B643" s="50" t="n">
        <v>33.363</v>
      </c>
    </row>
    <row r="644">
      <c r="A644" s="50" t="inlineStr">
        <is>
          <t>2020-04-01</t>
        </is>
      </c>
      <c r="B644" s="50" t="n">
        <v>27.954</v>
      </c>
    </row>
    <row r="645">
      <c r="A645" s="50" t="inlineStr">
        <is>
          <t>2020-05-01</t>
        </is>
      </c>
      <c r="B645" s="50" t="n">
        <v>23.616</v>
      </c>
    </row>
    <row r="646">
      <c r="A646" s="50" t="inlineStr">
        <is>
          <t>2020-06-01</t>
        </is>
      </c>
      <c r="B646" s="50" t="n">
        <v>30.405</v>
      </c>
    </row>
    <row r="647">
      <c r="A647" s="50" t="inlineStr">
        <is>
          <t>2020-07-01</t>
        </is>
      </c>
      <c r="B647" s="50" t="n">
        <v>31.812</v>
      </c>
    </row>
    <row r="648">
      <c r="A648" s="50" t="inlineStr">
        <is>
          <t>2020-08-01</t>
        </is>
      </c>
      <c r="B648" s="50" t="n">
        <v>36.327</v>
      </c>
    </row>
    <row r="649">
      <c r="A649" s="50" t="inlineStr">
        <is>
          <t>2020-09-01</t>
        </is>
      </c>
      <c r="B649" s="50" t="n">
        <v>38.577</v>
      </c>
    </row>
    <row r="650">
      <c r="A650" s="50" t="inlineStr">
        <is>
          <t>2020-10-01</t>
        </is>
      </c>
      <c r="B650" s="50" t="n">
        <v>40.383</v>
      </c>
    </row>
    <row r="651">
      <c r="A651" s="50" t="inlineStr">
        <is>
          <t>2020-11-01</t>
        </is>
      </c>
      <c r="B651" s="50" t="n">
        <v>36.121</v>
      </c>
    </row>
    <row r="652">
      <c r="A652" s="50" t="inlineStr">
        <is>
          <t>2020-12-01</t>
        </is>
      </c>
      <c r="B652" s="50" t="n">
        <v>45.909</v>
      </c>
    </row>
    <row r="653">
      <c r="A653" s="50" t="inlineStr">
        <is>
          <t>2021-01-01</t>
        </is>
      </c>
      <c r="B653" s="50" t="n">
        <v>35.423</v>
      </c>
    </row>
    <row r="654">
      <c r="A654" s="50" t="inlineStr">
        <is>
          <t>2021-02-01</t>
        </is>
      </c>
      <c r="B654" s="50" t="n">
        <v>32.938</v>
      </c>
    </row>
    <row r="655">
      <c r="A655" s="50" t="inlineStr">
        <is>
          <t>2021-03-01</t>
        </is>
      </c>
      <c r="B655" s="50" t="n">
        <v>45.597</v>
      </c>
    </row>
    <row r="656">
      <c r="A656" s="50" t="inlineStr">
        <is>
          <t>2021-04-01</t>
        </is>
      </c>
      <c r="B656" s="50" t="n">
        <v>38.737</v>
      </c>
    </row>
    <row r="657">
      <c r="A657" s="50" t="inlineStr">
        <is>
          <t>2021-05-01</t>
        </is>
      </c>
      <c r="B657" s="50" t="n">
        <v>38.315</v>
      </c>
    </row>
    <row r="658">
      <c r="A658" s="50" t="inlineStr">
        <is>
          <t>2021-06-01</t>
        </is>
      </c>
      <c r="B658" s="50" t="n">
        <v>40.786</v>
      </c>
    </row>
    <row r="659">
      <c r="A659" s="50" t="inlineStr">
        <is>
          <t>2021-07-01</t>
        </is>
      </c>
      <c r="B659" s="50" t="n">
        <v>35.894</v>
      </c>
    </row>
    <row r="660">
      <c r="A660" s="50" t="inlineStr">
        <is>
          <t>2021-08-01</t>
        </is>
      </c>
      <c r="B660" s="50" t="n">
        <v>36.304</v>
      </c>
    </row>
    <row r="661">
      <c r="A661" s="50" t="inlineStr">
        <is>
          <t>2021-09-01</t>
        </is>
      </c>
      <c r="B661" s="50" t="n">
        <v>37.03</v>
      </c>
    </row>
    <row r="662">
      <c r="A662" s="50" t="inlineStr">
        <is>
          <t>2021-10-01</t>
        </is>
      </c>
      <c r="B662" s="50" t="n">
        <v>38.333</v>
      </c>
    </row>
    <row r="663">
      <c r="A663" s="50" t="inlineStr">
        <is>
          <t>2021-11-01</t>
        </is>
      </c>
      <c r="B663" s="50" t="n">
        <v>35.193</v>
      </c>
    </row>
    <row r="664">
      <c r="A664" s="50" t="inlineStr">
        <is>
          <t>2021-12-01</t>
        </is>
      </c>
      <c r="B664" s="50" t="n">
        <v>47.042</v>
      </c>
    </row>
    <row r="665">
      <c r="A665" s="50" t="inlineStr">
        <is>
          <t>2022-01-01</t>
        </is>
      </c>
      <c r="B665" s="50" t="n">
        <v>30.761</v>
      </c>
    </row>
    <row r="666">
      <c r="A666" s="50" t="inlineStr">
        <is>
          <t>2022-02-01</t>
        </is>
      </c>
      <c r="B666" s="50" t="n">
        <v>32.245</v>
      </c>
    </row>
    <row r="667">
      <c r="A667" s="50" t="inlineStr">
        <is>
          <t>2022-03-01</t>
        </is>
      </c>
      <c r="B667" s="50" t="n">
        <v>41.344</v>
      </c>
    </row>
    <row r="668">
      <c r="A668" s="50" t="inlineStr">
        <is>
          <t>2022-04-01</t>
        </is>
      </c>
      <c r="B668" s="50" t="n">
        <v>35.456</v>
      </c>
    </row>
    <row r="669">
      <c r="A669" s="50" t="inlineStr">
        <is>
          <t>2022-05-01</t>
        </is>
      </c>
      <c r="B669" s="50" t="n">
        <v>37.56</v>
      </c>
    </row>
    <row r="670">
      <c r="A670" s="50" t="inlineStr">
        <is>
          <t>2022-06-01</t>
        </is>
      </c>
      <c r="B670" s="50" t="n">
        <v>40.617</v>
      </c>
    </row>
    <row r="671">
      <c r="A671" s="50" t="inlineStr">
        <is>
          <t>2022-07-01</t>
        </is>
      </c>
      <c r="B671" s="50" t="n">
        <v>38.168</v>
      </c>
    </row>
    <row r="672">
      <c r="A672" s="50" t="inlineStr">
        <is>
          <t>2022-08-01</t>
        </is>
      </c>
      <c r="B672" s="50" t="n">
        <v>43.801</v>
      </c>
    </row>
    <row r="673">
      <c r="A673" s="50" t="inlineStr">
        <is>
          <t>2022-09-01</t>
        </is>
      </c>
      <c r="B673" s="50" t="n">
        <v>41.718</v>
      </c>
    </row>
    <row r="674">
      <c r="A674" s="50" t="inlineStr">
        <is>
          <t>2022-10-01</t>
        </is>
      </c>
      <c r="B674" s="50" t="n">
        <v>43.139</v>
      </c>
    </row>
    <row r="675">
      <c r="A675" s="50" t="inlineStr">
        <is>
          <t>2022-11-01</t>
        </is>
      </c>
      <c r="B675" s="50" t="n">
        <v>41.072</v>
      </c>
    </row>
    <row r="676">
      <c r="A676" s="50" t="inlineStr">
        <is>
          <t>2022-12-01</t>
        </is>
      </c>
      <c r="B676" s="50" t="n">
        <v>50.104</v>
      </c>
    </row>
    <row r="677">
      <c r="A677" s="50" t="inlineStr">
        <is>
          <t>2023-01-01</t>
        </is>
      </c>
      <c r="B677" s="50" t="n">
        <v>36.457</v>
      </c>
    </row>
    <row r="678">
      <c r="A678" s="50" t="inlineStr">
        <is>
          <t>2023-02-01</t>
        </is>
      </c>
      <c r="B678" s="50" t="n">
        <v>36.872</v>
      </c>
    </row>
    <row r="679">
      <c r="A679" s="50" t="inlineStr">
        <is>
          <t>2023-03-01</t>
        </is>
      </c>
      <c r="B679" s="50" t="n">
        <v>44.67</v>
      </c>
    </row>
    <row r="680">
      <c r="A680" s="50" t="inlineStr">
        <is>
          <t>2023-04-01</t>
        </is>
      </c>
      <c r="B680" s="50" t="n">
        <v>41.868</v>
      </c>
    </row>
    <row r="681">
      <c r="A681" s="50" t="inlineStr">
        <is>
          <t>2023-05-01</t>
        </is>
      </c>
      <c r="B681" s="50" t="n">
        <v>45.783</v>
      </c>
    </row>
    <row r="682">
      <c r="A682" s="50" t="inlineStr">
        <is>
          <t>2023-06-01</t>
        </is>
      </c>
      <c r="B682" s="50" t="n">
        <v>46.289</v>
      </c>
    </row>
    <row r="683">
      <c r="A683" s="50" t="inlineStr">
        <is>
          <t>2023-07-01</t>
        </is>
      </c>
      <c r="B683" s="50" t="n">
        <v>40.633</v>
      </c>
    </row>
    <row r="684">
      <c r="A684" s="50" t="inlineStr">
        <is>
          <t>2023-08-01</t>
        </is>
      </c>
      <c r="B684" s="50" t="n">
        <v>46.38</v>
      </c>
    </row>
    <row r="685">
      <c r="A685" s="50" t="inlineStr">
        <is>
          <t>2023-09-01</t>
        </is>
      </c>
      <c r="B685" s="50" t="n">
        <v>42.401</v>
      </c>
    </row>
    <row r="686">
      <c r="A686" s="50" t="inlineStr">
        <is>
          <t>2023-10-01</t>
        </is>
      </c>
      <c r="B686" s="50" t="n">
        <v>40.835</v>
      </c>
    </row>
    <row r="687">
      <c r="A687" s="50" t="inlineStr">
        <is>
          <t>2023-11-01</t>
        </is>
      </c>
      <c r="B687" s="50" t="n">
        <v>38.405</v>
      </c>
    </row>
    <row r="688">
      <c r="A688" s="50" t="inlineStr">
        <is>
          <t>2023-12-01</t>
        </is>
      </c>
      <c r="B688" s="50" t="n">
        <v>46.196</v>
      </c>
    </row>
    <row r="689">
      <c r="A689" s="50" t="inlineStr">
        <is>
          <t>2024-01-01</t>
        </is>
      </c>
      <c r="B689" s="50" t="n">
        <v>36.856</v>
      </c>
    </row>
    <row r="690">
      <c r="A690" s="50" t="inlineStr">
        <is>
          <t>2024-02-01</t>
        </is>
      </c>
      <c r="B690" s="50" t="n">
        <v>36.602</v>
      </c>
    </row>
    <row r="691">
      <c r="A691" s="50" t="inlineStr">
        <is>
          <t>2024-03-01</t>
        </is>
      </c>
      <c r="B691" s="50" t="n">
        <v>39.562</v>
      </c>
    </row>
    <row r="692">
      <c r="A692" s="50" t="inlineStr">
        <is>
          <t>2024-04-01</t>
        </is>
      </c>
      <c r="B692" s="50" t="n">
        <v>40.347</v>
      </c>
    </row>
    <row r="693">
      <c r="A693" s="50" t="inlineStr">
        <is>
          <t>2024-05-01</t>
        </is>
      </c>
      <c r="B693" s="50" t="n">
        <v>40.102</v>
      </c>
    </row>
    <row r="694">
      <c r="A694" s="50" t="inlineStr">
        <is>
          <t>2024-06-01</t>
        </is>
      </c>
      <c r="B694" s="50" t="n">
        <v>38.076</v>
      </c>
    </row>
    <row r="695">
      <c r="A695" s="50" t="inlineStr">
        <is>
          <t>2024-07-01</t>
        </is>
      </c>
      <c r="B695" s="50" t="n">
        <v>42.175</v>
      </c>
    </row>
    <row r="696">
      <c r="A696" s="50" t="inlineStr">
        <is>
          <t>2024-08-01</t>
        </is>
      </c>
      <c r="B696" s="50" t="n">
        <v>43.442</v>
      </c>
    </row>
    <row r="697">
      <c r="A697" s="50" t="inlineStr">
        <is>
          <t>2024-09-01</t>
        </is>
      </c>
      <c r="B697" s="50" t="n">
        <v>40.121</v>
      </c>
    </row>
    <row r="698">
      <c r="A698" s="50" t="inlineStr">
        <is>
          <t>2024-10-01</t>
        </is>
      </c>
      <c r="B698" s="50" t="n">
        <v>41.325</v>
      </c>
    </row>
    <row r="699">
      <c r="A699" s="50" t="inlineStr">
        <is>
          <t>2024-11-01</t>
        </is>
      </c>
      <c r="B699" s="50" t="n">
        <v>38.477</v>
      </c>
    </row>
    <row r="700">
      <c r="A700" s="50" t="inlineStr">
        <is>
          <t>2024-12-01</t>
        </is>
      </c>
      <c r="B700" s="50" t="n">
        <v>44.969</v>
      </c>
    </row>
    <row r="701">
      <c r="A701" s="50" t="inlineStr">
        <is>
          <t>2025-01-01</t>
        </is>
      </c>
      <c r="B701" s="50" t="n">
        <v>35.47</v>
      </c>
    </row>
    <row r="702">
      <c r="A702" s="50" t="inlineStr">
        <is>
          <t>2025-02-01</t>
        </is>
      </c>
      <c r="B702" s="50" t="n">
        <v>31.542</v>
      </c>
    </row>
    <row r="703">
      <c r="A703" s="50" t="inlineStr">
        <is>
          <t>2025-03-01</t>
        </is>
      </c>
      <c r="B703" s="50" t="n">
        <v>38.62</v>
      </c>
    </row>
    <row r="704">
      <c r="A704" s="50" t="inlineStr">
        <is>
          <t>2025-04-01</t>
        </is>
      </c>
      <c r="B704" s="50" t="n">
        <v>36.817</v>
      </c>
    </row>
    <row r="705">
      <c r="A705" s="50" t="inlineStr">
        <is>
          <t>2025-05-01</t>
        </is>
      </c>
      <c r="B705" s="50" t="n">
        <v>37.295</v>
      </c>
    </row>
    <row r="706">
      <c r="A706" s="50" t="inlineStr">
        <is>
          <t>2025-06-01</t>
        </is>
      </c>
      <c r="B706" s="50" t="n">
        <v>38.18</v>
      </c>
    </row>
    <row r="707">
      <c r="A707" s="50" t="inlineStr">
        <is>
          <t>2025-07-01</t>
        </is>
      </c>
      <c r="B707" s="50" t="n">
        <v>36.035</v>
      </c>
    </row>
    <row r="708">
      <c r="A708" s="50" t="inlineStr">
        <is>
          <t>2025-08-01</t>
        </is>
      </c>
      <c r="B708" s="50" t="n">
        <v>34.252</v>
      </c>
    </row>
    <row r="709">
      <c r="A709" s="50" t="inlineStr">
        <is>
          <t>2025-09-01</t>
        </is>
      </c>
      <c r="B709" s="50" t="n">
        <v>33.138</v>
      </c>
    </row>
    <row r="710">
      <c r="A710" s="50" t="inlineStr">
        <is>
          <t>2025-10-01</t>
        </is>
      </c>
      <c r="B710" s="50" t="n">
        <v>30.044</v>
      </c>
    </row>
    <row r="711">
      <c r="A711" s="50" t="inlineStr">
        <is>
          <t>2025-11-01</t>
        </is>
      </c>
      <c r="B711" s="50" t="n">
        <v>25.539</v>
      </c>
    </row>
    <row r="712">
      <c r="A712" s="50" t="inlineStr">
        <is>
          <t>2025-12-01</t>
        </is>
      </c>
      <c r="B712" s="50" t="n">
        <v>39.307</v>
      </c>
    </row>
    <row r="713">
      <c r="A713" s="50" t="inlineStr">
        <is>
          <t>2026-01-01</t>
        </is>
      </c>
      <c r="B713" s="50" t="n">
        <v>28.312</v>
      </c>
    </row>
    <row r="714">
      <c r="A714" s="50" t="inlineStr">
        <is>
          <t>2026-02-01</t>
        </is>
      </c>
      <c r="B714" s="50" t="n">
        <v>26.588</v>
      </c>
    </row>
    <row r="715">
      <c r="A715" s="50" t="inlineStr">
        <is>
          <t>2026-03-01</t>
        </is>
      </c>
      <c r="B715" s="50" t="n">
        <v>31.955</v>
      </c>
    </row>
    <row r="716">
      <c r="A716" s="50" t="inlineStr">
        <is>
          <t>2026-04-01</t>
        </is>
      </c>
      <c r="B716" s="50" t="n">
        <v>31.232</v>
      </c>
    </row>
    <row r="717">
      <c r="A717" s="50" t="inlineStr">
        <is>
          <t>2026-05-01</t>
        </is>
      </c>
      <c r="B717" s="50" t="n">
        <v>34.942</v>
      </c>
    </row>
    <row r="718">
      <c r="A718" s="50" t="inlineStr">
        <is>
          <t>2026-06-01</t>
        </is>
      </c>
      <c r="B718" s="50" t="n">
        <v>40.663</v>
      </c>
    </row>
    <row r="719">
      <c r="A719" s="50" t="inlineStr">
        <is>
          <t>2026-07-01</t>
        </is>
      </c>
      <c r="B719" s="50" t="n">
        <v>37.277</v>
      </c>
    </row>
    <row r="720">
      <c r="A720" s="50" t="inlineStr">
        <is>
          <t>2026-08-01</t>
        </is>
      </c>
      <c r="B720" s="50" t="n">
        <v>36.464</v>
      </c>
    </row>
  </sheetData>
  <mergeCells count="1">
    <mergeCell ref="A2:F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0" customWidth="1" min="3" max="3"/>
  </cols>
  <sheetData>
    <row r="1">
      <c r="A1" s="1" t="inlineStr">
        <is>
          <t>ornl_tedb40_miles_by_age.csv</t>
        </is>
      </c>
    </row>
    <row r="2" ht="42" customHeight="1">
      <c r="A2" s="6" t="inlineStr">
        <is>
          <t>ORNL Transportation Energy Data Book Ed.40 (June 2022) spreadsheets, https://tedb.ornl.gov/wp-content/uploads/2022/06/TEDB_40_Spreadsheets_06012022.zip (robots-open, fetched 2026-09-14) | Table 3.14 (Table3_14_01312022.xlsx): EPA estimated annual miles per vehicle by age, cars and light trucks</t>
        </is>
      </c>
    </row>
    <row r="3">
      <c r="A3" s="2" t="inlineStr">
        <is>
          <t>data/csv/ornl_tedb40_miles_by_age.csv · 31 rows · BLUE = raw data as committed; do not type over it — edit the CSV and rebuild.</t>
        </is>
      </c>
    </row>
    <row r="4">
      <c r="A4" s="7" t="inlineStr">
        <is>
          <t>age</t>
        </is>
      </c>
      <c r="B4" s="7" t="inlineStr">
        <is>
          <t>miles_cars</t>
        </is>
      </c>
      <c r="C4" s="7" t="inlineStr">
        <is>
          <t>miles_light_trucks</t>
        </is>
      </c>
    </row>
    <row r="5">
      <c r="A5" s="50" t="n">
        <v>0</v>
      </c>
      <c r="B5" s="50" t="n">
        <v>13843</v>
      </c>
      <c r="C5" s="50" t="n">
        <v>15962</v>
      </c>
    </row>
    <row r="6">
      <c r="A6" s="50" t="n">
        <v>1</v>
      </c>
      <c r="B6" s="50" t="n">
        <v>13580</v>
      </c>
      <c r="C6" s="50" t="n">
        <v>15670</v>
      </c>
    </row>
    <row r="7">
      <c r="A7" s="50" t="n">
        <v>2</v>
      </c>
      <c r="B7" s="50" t="n">
        <v>13296</v>
      </c>
      <c r="C7" s="50" t="n">
        <v>15320</v>
      </c>
    </row>
    <row r="8">
      <c r="A8" s="50" t="n">
        <v>3</v>
      </c>
      <c r="B8" s="50" t="n">
        <v>12992</v>
      </c>
      <c r="C8" s="50" t="n">
        <v>15098</v>
      </c>
    </row>
    <row r="9">
      <c r="A9" s="50" t="n">
        <v>4</v>
      </c>
      <c r="B9" s="50" t="n">
        <v>12672</v>
      </c>
      <c r="C9" s="50" t="n">
        <v>14528</v>
      </c>
    </row>
    <row r="10">
      <c r="A10" s="50" t="n">
        <v>5</v>
      </c>
      <c r="B10" s="50" t="n">
        <v>12337</v>
      </c>
      <c r="C10" s="50" t="n">
        <v>14081</v>
      </c>
    </row>
    <row r="11">
      <c r="A11" s="50" t="n">
        <v>6</v>
      </c>
      <c r="B11" s="50" t="n">
        <v>11989</v>
      </c>
      <c r="C11" s="50" t="n">
        <v>13548</v>
      </c>
    </row>
    <row r="12">
      <c r="A12" s="50" t="n">
        <v>7</v>
      </c>
      <c r="B12" s="50" t="n">
        <v>11630</v>
      </c>
      <c r="C12" s="50" t="n">
        <v>13112</v>
      </c>
    </row>
    <row r="13">
      <c r="A13" s="50" t="n">
        <v>8</v>
      </c>
      <c r="B13" s="50" t="n">
        <v>11262</v>
      </c>
      <c r="C13" s="50" t="n">
        <v>12544</v>
      </c>
    </row>
    <row r="14">
      <c r="A14" s="50" t="n">
        <v>9</v>
      </c>
      <c r="B14" s="50" t="n">
        <v>10887</v>
      </c>
      <c r="C14" s="50" t="n">
        <v>12078</v>
      </c>
    </row>
    <row r="15">
      <c r="A15" s="50" t="n">
        <v>10</v>
      </c>
      <c r="B15" s="50" t="n">
        <v>10509</v>
      </c>
      <c r="C15" s="50" t="n">
        <v>11595</v>
      </c>
    </row>
    <row r="16">
      <c r="A16" s="50" t="n">
        <v>11</v>
      </c>
      <c r="B16" s="50" t="n">
        <v>10129</v>
      </c>
      <c r="C16" s="50" t="n">
        <v>11131</v>
      </c>
    </row>
    <row r="17">
      <c r="A17" s="50" t="n">
        <v>12</v>
      </c>
      <c r="B17" s="50" t="n">
        <v>9748</v>
      </c>
      <c r="C17" s="50" t="n">
        <v>10641</v>
      </c>
    </row>
    <row r="18">
      <c r="A18" s="50" t="n">
        <v>13</v>
      </c>
      <c r="B18" s="50" t="n">
        <v>9370</v>
      </c>
      <c r="C18" s="50" t="n">
        <v>10153</v>
      </c>
    </row>
    <row r="19">
      <c r="A19" s="50" t="n">
        <v>14</v>
      </c>
      <c r="B19" s="50" t="n">
        <v>8997</v>
      </c>
      <c r="C19" s="50" t="n">
        <v>9691</v>
      </c>
    </row>
    <row r="20">
      <c r="A20" s="50" t="n">
        <v>15</v>
      </c>
      <c r="B20" s="50" t="n">
        <v>8629</v>
      </c>
      <c r="C20" s="50" t="n">
        <v>9239</v>
      </c>
    </row>
    <row r="21">
      <c r="A21" s="50" t="n">
        <v>16</v>
      </c>
      <c r="B21" s="50" t="n">
        <v>8270</v>
      </c>
      <c r="C21" s="50" t="n">
        <v>8797</v>
      </c>
    </row>
    <row r="22">
      <c r="A22" s="50" t="n">
        <v>17</v>
      </c>
      <c r="B22" s="50" t="n">
        <v>7922</v>
      </c>
      <c r="C22" s="50" t="n">
        <v>8383</v>
      </c>
    </row>
    <row r="23">
      <c r="A23" s="50" t="n">
        <v>18</v>
      </c>
      <c r="B23" s="50" t="n">
        <v>7586</v>
      </c>
      <c r="C23" s="50" t="n">
        <v>8009</v>
      </c>
    </row>
    <row r="24">
      <c r="A24" s="50" t="n">
        <v>19</v>
      </c>
      <c r="B24" s="50" t="n">
        <v>7265</v>
      </c>
      <c r="C24" s="50" t="n">
        <v>7666</v>
      </c>
    </row>
    <row r="25">
      <c r="A25" s="50" t="n">
        <v>20</v>
      </c>
      <c r="B25" s="50" t="n">
        <v>6962</v>
      </c>
      <c r="C25" s="50" t="n">
        <v>7358</v>
      </c>
    </row>
    <row r="26">
      <c r="A26" s="50" t="n">
        <v>21</v>
      </c>
      <c r="B26" s="50" t="n">
        <v>6679</v>
      </c>
      <c r="C26" s="50" t="n">
        <v>7089</v>
      </c>
    </row>
    <row r="27">
      <c r="A27" s="50" t="n">
        <v>22</v>
      </c>
      <c r="B27" s="50" t="n">
        <v>6416</v>
      </c>
      <c r="C27" s="50" t="n">
        <v>6862</v>
      </c>
    </row>
    <row r="28">
      <c r="A28" s="50" t="n">
        <v>23</v>
      </c>
      <c r="B28" s="50" t="n">
        <v>6177</v>
      </c>
      <c r="C28" s="50" t="n">
        <v>6684</v>
      </c>
    </row>
    <row r="29">
      <c r="A29" s="50" t="n">
        <v>24</v>
      </c>
      <c r="B29" s="50" t="n">
        <v>5963</v>
      </c>
      <c r="C29" s="50" t="n">
        <v>6556</v>
      </c>
    </row>
    <row r="30">
      <c r="A30" s="50" t="n">
        <v>25</v>
      </c>
      <c r="B30" s="50" t="n">
        <v>5778</v>
      </c>
      <c r="C30" s="50" t="n">
        <v>6481</v>
      </c>
    </row>
    <row r="31">
      <c r="A31" s="50" t="n">
        <v>26</v>
      </c>
      <c r="B31" s="50" t="n">
        <v>5623</v>
      </c>
      <c r="C31" s="50" t="n">
        <v>6466</v>
      </c>
    </row>
    <row r="32">
      <c r="A32" s="50" t="n">
        <v>27</v>
      </c>
      <c r="B32" s="50" t="n">
        <v>5499</v>
      </c>
      <c r="C32" s="50" t="n">
        <v>6466</v>
      </c>
    </row>
    <row r="33">
      <c r="A33" s="50" t="n">
        <v>28</v>
      </c>
      <c r="B33" s="50" t="n">
        <v>5410</v>
      </c>
      <c r="C33" s="50" t="n">
        <v>6466</v>
      </c>
    </row>
    <row r="34">
      <c r="A34" s="50" t="n">
        <v>29</v>
      </c>
      <c r="B34" s="50" t="n">
        <v>5358</v>
      </c>
      <c r="C34" s="50" t="n">
        <v>6466</v>
      </c>
    </row>
    <row r="35">
      <c r="A35" s="50" t="n">
        <v>30</v>
      </c>
      <c r="B35" s="50" t="n">
        <v>5358</v>
      </c>
      <c r="C35" s="50" t="n">
        <v>6466</v>
      </c>
    </row>
  </sheetData>
  <mergeCells count="1">
    <mergeCell ref="A2:F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50"/>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1" customWidth="1" min="5" max="5"/>
    <col width="12" customWidth="1" min="6" max="6"/>
    <col width="10" customWidth="1" min="7" max="7"/>
    <col width="10" customWidth="1" min="8" max="8"/>
    <col width="10" customWidth="1" min="9" max="9"/>
    <col width="14" customWidth="1" min="10" max="10"/>
    <col width="19" customWidth="1" min="11" max="11"/>
    <col width="15" customWidth="1" min="12" max="12"/>
  </cols>
  <sheetData>
    <row r="1">
      <c r="A1" s="1" t="inlineStr">
        <is>
          <t>age_curves.csv</t>
        </is>
      </c>
    </row>
    <row r="2" ht="42" customHeight="1">
      <c r="A2" s="6" t="inlineStr">
        <is>
          <t>Mechanism A age curves (scripts/age_curves.py, 2026-09-14). S_epa_* = ORNL TEDB40 T3.15 raw; S_2024_* = stretched S(a/k) with k_cars=1.270, k_LT=1.099 (fitted: IHS 2013 census shape, then S&amp;P 2024 counts: VIO 289M, 66% aged 7+); miles = T3.14; | R(a) = exposure(a) * exp(-0.09027*max(a-6,0)) [flat through age 6], exposure(0)=0.5; P(a) = 0.0483 + (0.4804-0.0483)/(1+exp(-(a-9.216)/3.726)); both fitted jointly to 8 CCC 2024 statistics (see age_curves_validation.csv) | fleet_2024_M = modelled light vehicles by age (end-2024). claims_share / tl_share = modelled 2024 distribution of claims and total losses by age.</t>
        </is>
      </c>
    </row>
    <row r="3">
      <c r="A3" s="2" t="inlineStr">
        <is>
          <t>data/csv/age_curves.csv · 46 rows · BLUE = raw data as committed; do not type over it — edit the CSV and rebuild.</t>
        </is>
      </c>
    </row>
    <row r="4">
      <c r="A4" s="7" t="inlineStr">
        <is>
          <t>age</t>
        </is>
      </c>
      <c r="B4" s="7" t="inlineStr">
        <is>
          <t>S_epa_cars</t>
        </is>
      </c>
      <c r="C4" s="7" t="inlineStr">
        <is>
          <t>S_epa_lt</t>
        </is>
      </c>
      <c r="D4" s="7" t="inlineStr">
        <is>
          <t>S_2024_cars</t>
        </is>
      </c>
      <c r="E4" s="7" t="inlineStr">
        <is>
          <t>S_2024_lt</t>
        </is>
      </c>
      <c r="F4" s="7" t="inlineStr">
        <is>
          <t>miles_cars</t>
        </is>
      </c>
      <c r="G4" s="7" t="inlineStr">
        <is>
          <t>miles_lt</t>
        </is>
      </c>
      <c r="H4" s="7" t="inlineStr">
        <is>
          <t>R</t>
        </is>
      </c>
      <c r="I4" s="7" t="inlineStr">
        <is>
          <t>P</t>
        </is>
      </c>
      <c r="J4" s="7" t="inlineStr">
        <is>
          <t>fleet_2024_M</t>
        </is>
      </c>
      <c r="K4" s="7" t="inlineStr">
        <is>
          <t>claims_share_2024</t>
        </is>
      </c>
      <c r="L4" s="7" t="inlineStr">
        <is>
          <t>tl_share_2024</t>
        </is>
      </c>
    </row>
    <row r="5">
      <c r="A5" s="50" t="n">
        <v>0</v>
      </c>
      <c r="B5" s="50" t="n">
        <v>1</v>
      </c>
      <c r="C5" s="50" t="n">
        <v>1</v>
      </c>
      <c r="D5" s="50" t="n">
        <v>1</v>
      </c>
      <c r="E5" s="50" t="n">
        <v>1</v>
      </c>
      <c r="F5" s="50" t="n">
        <v>13843</v>
      </c>
      <c r="G5" s="50" t="n">
        <v>15962</v>
      </c>
      <c r="H5" s="50" t="n">
        <v>0.5</v>
      </c>
      <c r="I5" s="50" t="n">
        <v>0.0819</v>
      </c>
      <c r="J5" s="50" t="n">
        <v>15.496</v>
      </c>
      <c r="K5" s="50" t="n">
        <v>0.04</v>
      </c>
      <c r="L5" s="50" t="n">
        <v>0.0147</v>
      </c>
    </row>
    <row r="6">
      <c r="A6" s="50" t="n">
        <v>1</v>
      </c>
      <c r="B6" s="50" t="n">
        <v>0.997</v>
      </c>
      <c r="C6" s="50" t="n">
        <v>0.991</v>
      </c>
      <c r="D6" s="50" t="n">
        <v>0.9976</v>
      </c>
      <c r="E6" s="50" t="n">
        <v>0.9918</v>
      </c>
      <c r="F6" s="50" t="n">
        <v>13580</v>
      </c>
      <c r="G6" s="50" t="n">
        <v>15670</v>
      </c>
      <c r="H6" s="50" t="n">
        <v>1</v>
      </c>
      <c r="I6" s="50" t="n">
        <v>0.0912</v>
      </c>
      <c r="J6" s="50" t="n">
        <v>15.062</v>
      </c>
      <c r="K6" s="50" t="n">
        <v>0.07779999999999999</v>
      </c>
      <c r="L6" s="50" t="n">
        <v>0.0319</v>
      </c>
    </row>
    <row r="7">
      <c r="A7" s="50" t="n">
        <v>2</v>
      </c>
      <c r="B7" s="50" t="n">
        <v>0.994</v>
      </c>
      <c r="C7" s="50" t="n">
        <v>0.982</v>
      </c>
      <c r="D7" s="50" t="n">
        <v>0.9953</v>
      </c>
      <c r="E7" s="50" t="n">
        <v>0.9836</v>
      </c>
      <c r="F7" s="50" t="n">
        <v>13296</v>
      </c>
      <c r="G7" s="50" t="n">
        <v>15320</v>
      </c>
      <c r="H7" s="50" t="n">
        <v>1</v>
      </c>
      <c r="I7" s="50" t="n">
        <v>0.1028</v>
      </c>
      <c r="J7" s="50" t="n">
        <v>13.286</v>
      </c>
      <c r="K7" s="50" t="n">
        <v>0.06859999999999999</v>
      </c>
      <c r="L7" s="50" t="n">
        <v>0.0317</v>
      </c>
    </row>
    <row r="8">
      <c r="A8" s="50" t="n">
        <v>3</v>
      </c>
      <c r="B8" s="50" t="n">
        <v>0.991</v>
      </c>
      <c r="C8" s="50" t="n">
        <v>0.973</v>
      </c>
      <c r="D8" s="50" t="n">
        <v>0.9929</v>
      </c>
      <c r="E8" s="50" t="n">
        <v>0.9754</v>
      </c>
      <c r="F8" s="50" t="n">
        <v>12992</v>
      </c>
      <c r="G8" s="50" t="n">
        <v>15098</v>
      </c>
      <c r="H8" s="50" t="n">
        <v>1</v>
      </c>
      <c r="I8" s="50" t="n">
        <v>0.1169</v>
      </c>
      <c r="J8" s="50" t="n">
        <v>14.271</v>
      </c>
      <c r="K8" s="50" t="n">
        <v>0.0737</v>
      </c>
      <c r="L8" s="50" t="n">
        <v>0.0387</v>
      </c>
    </row>
    <row r="9">
      <c r="A9" s="50" t="n">
        <v>4</v>
      </c>
      <c r="B9" s="50" t="n">
        <v>0.984</v>
      </c>
      <c r="C9" s="50" t="n">
        <v>0.96</v>
      </c>
      <c r="D9" s="50" t="n">
        <v>0.99</v>
      </c>
      <c r="E9" s="50" t="n">
        <v>0.9647</v>
      </c>
      <c r="F9" s="50" t="n">
        <v>12672</v>
      </c>
      <c r="G9" s="50" t="n">
        <v>14528</v>
      </c>
      <c r="H9" s="50" t="n">
        <v>1</v>
      </c>
      <c r="I9" s="50" t="n">
        <v>0.1338</v>
      </c>
      <c r="J9" s="50" t="n">
        <v>13.71</v>
      </c>
      <c r="K9" s="50" t="n">
        <v>0.0708</v>
      </c>
      <c r="L9" s="50" t="n">
        <v>0.0426</v>
      </c>
    </row>
    <row r="10">
      <c r="A10" s="50" t="n">
        <v>5</v>
      </c>
      <c r="B10" s="50" t="n">
        <v>0.974</v>
      </c>
      <c r="C10" s="50" t="n">
        <v>0.9409999999999999</v>
      </c>
      <c r="D10" s="50" t="n">
        <v>0.9844000000000001</v>
      </c>
      <c r="E10" s="50" t="n">
        <v>0.9496</v>
      </c>
      <c r="F10" s="50" t="n">
        <v>12337</v>
      </c>
      <c r="G10" s="50" t="n">
        <v>14081</v>
      </c>
      <c r="H10" s="50" t="n">
        <v>1</v>
      </c>
      <c r="I10" s="50" t="n">
        <v>0.1537</v>
      </c>
      <c r="J10" s="50" t="n">
        <v>15.956</v>
      </c>
      <c r="K10" s="50" t="n">
        <v>0.0824</v>
      </c>
      <c r="L10" s="50" t="n">
        <v>0.0569</v>
      </c>
    </row>
    <row r="11">
      <c r="A11" s="50" t="n">
        <v>6</v>
      </c>
      <c r="B11" s="50" t="n">
        <v>0.961</v>
      </c>
      <c r="C11" s="50" t="n">
        <v>0.919</v>
      </c>
      <c r="D11" s="50" t="n">
        <v>0.9768</v>
      </c>
      <c r="E11" s="50" t="n">
        <v>0.9308999999999999</v>
      </c>
      <c r="F11" s="50" t="n">
        <v>11989</v>
      </c>
      <c r="G11" s="50" t="n">
        <v>13548</v>
      </c>
      <c r="H11" s="50" t="n">
        <v>1</v>
      </c>
      <c r="I11" s="50" t="n">
        <v>0.1765</v>
      </c>
      <c r="J11" s="50" t="n">
        <v>15.994</v>
      </c>
      <c r="K11" s="50" t="n">
        <v>0.08260000000000001</v>
      </c>
      <c r="L11" s="50" t="n">
        <v>0.0655</v>
      </c>
    </row>
    <row r="12">
      <c r="A12" s="50" t="n">
        <v>7</v>
      </c>
      <c r="B12" s="50" t="n">
        <v>0.9419999999999999</v>
      </c>
      <c r="C12" s="50" t="n">
        <v>0.891</v>
      </c>
      <c r="D12" s="50" t="n">
        <v>0.9674</v>
      </c>
      <c r="E12" s="50" t="n">
        <v>0.9087</v>
      </c>
      <c r="F12" s="50" t="n">
        <v>11630</v>
      </c>
      <c r="G12" s="50" t="n">
        <v>13112</v>
      </c>
      <c r="H12" s="50" t="n">
        <v>0.9137</v>
      </c>
      <c r="I12" s="50" t="n">
        <v>0.2019</v>
      </c>
      <c r="J12" s="50" t="n">
        <v>15.648</v>
      </c>
      <c r="K12" s="50" t="n">
        <v>0.07389999999999999</v>
      </c>
      <c r="L12" s="50" t="n">
        <v>0.067</v>
      </c>
    </row>
    <row r="13">
      <c r="A13" s="50" t="n">
        <v>8</v>
      </c>
      <c r="B13" s="50" t="n">
        <v>0.92</v>
      </c>
      <c r="C13" s="50" t="n">
        <v>0.859</v>
      </c>
      <c r="D13" s="50" t="n">
        <v>0.9553</v>
      </c>
      <c r="E13" s="50" t="n">
        <v>0.8821</v>
      </c>
      <c r="F13" s="50" t="n">
        <v>11262</v>
      </c>
      <c r="G13" s="50" t="n">
        <v>12544</v>
      </c>
      <c r="H13" s="50" t="n">
        <v>0.8348</v>
      </c>
      <c r="I13" s="50" t="n">
        <v>0.2294</v>
      </c>
      <c r="J13" s="50" t="n">
        <v>15.658</v>
      </c>
      <c r="K13" s="50" t="n">
        <v>0.0675</v>
      </c>
      <c r="L13" s="50" t="n">
        <v>0.0696</v>
      </c>
    </row>
    <row r="14">
      <c r="A14" s="50" t="n">
        <v>9</v>
      </c>
      <c r="B14" s="50" t="n">
        <v>0.893</v>
      </c>
      <c r="C14" s="50" t="n">
        <v>0.823</v>
      </c>
      <c r="D14" s="50" t="n">
        <v>0.9401</v>
      </c>
      <c r="E14" s="50" t="n">
        <v>0.8522999999999999</v>
      </c>
      <c r="F14" s="50" t="n">
        <v>10887</v>
      </c>
      <c r="G14" s="50" t="n">
        <v>12078</v>
      </c>
      <c r="H14" s="50" t="n">
        <v>0.7628</v>
      </c>
      <c r="I14" s="50" t="n">
        <v>0.2581</v>
      </c>
      <c r="J14" s="50" t="n">
        <v>15.241</v>
      </c>
      <c r="K14" s="50" t="n">
        <v>0.0601</v>
      </c>
      <c r="L14" s="50" t="n">
        <v>0.0697</v>
      </c>
    </row>
    <row r="15">
      <c r="A15" s="50" t="n">
        <v>10</v>
      </c>
      <c r="B15" s="50" t="n">
        <v>0.862</v>
      </c>
      <c r="C15" s="50" t="n">
        <v>0.784</v>
      </c>
      <c r="D15" s="50" t="n">
        <v>0.9228</v>
      </c>
      <c r="E15" s="50" t="n">
        <v>0.8193</v>
      </c>
      <c r="F15" s="50" t="n">
        <v>10509</v>
      </c>
      <c r="G15" s="50" t="n">
        <v>11595</v>
      </c>
      <c r="H15" s="50" t="n">
        <v>0.6969</v>
      </c>
      <c r="I15" s="50" t="n">
        <v>0.287</v>
      </c>
      <c r="J15" s="50" t="n">
        <v>14.063</v>
      </c>
      <c r="K15" s="50" t="n">
        <v>0.0506</v>
      </c>
      <c r="L15" s="50" t="n">
        <v>0.0653</v>
      </c>
    </row>
    <row r="16">
      <c r="A16" s="50" t="n">
        <v>11</v>
      </c>
      <c r="B16" s="50" t="n">
        <v>0.826</v>
      </c>
      <c r="C16" s="50" t="n">
        <v>0.741</v>
      </c>
      <c r="D16" s="50" t="n">
        <v>0.9022</v>
      </c>
      <c r="E16" s="50" t="n">
        <v>0.7838000000000001</v>
      </c>
      <c r="F16" s="50" t="n">
        <v>10129</v>
      </c>
      <c r="G16" s="50" t="n">
        <v>11131</v>
      </c>
      <c r="H16" s="50" t="n">
        <v>0.6368</v>
      </c>
      <c r="I16" s="50" t="n">
        <v>0.3151</v>
      </c>
      <c r="J16" s="50" t="n">
        <v>12.873</v>
      </c>
      <c r="K16" s="50" t="n">
        <v>0.0423</v>
      </c>
      <c r="L16" s="50" t="n">
        <v>0.06</v>
      </c>
    </row>
    <row r="17">
      <c r="A17" s="50" t="n">
        <v>12</v>
      </c>
      <c r="B17" s="50" t="n">
        <v>0.788</v>
      </c>
      <c r="C17" s="50" t="n">
        <v>0.697</v>
      </c>
      <c r="D17" s="50" t="n">
        <v>0.8791</v>
      </c>
      <c r="E17" s="50" t="n">
        <v>0.7447</v>
      </c>
      <c r="F17" s="50" t="n">
        <v>9748</v>
      </c>
      <c r="G17" s="50" t="n">
        <v>10641</v>
      </c>
      <c r="H17" s="50" t="n">
        <v>0.5818</v>
      </c>
      <c r="I17" s="50" t="n">
        <v>0.3415</v>
      </c>
      <c r="J17" s="50" t="n">
        <v>11.563</v>
      </c>
      <c r="K17" s="50" t="n">
        <v>0.0348</v>
      </c>
      <c r="L17" s="50" t="n">
        <v>0.0533</v>
      </c>
    </row>
    <row r="18">
      <c r="A18" s="50" t="n">
        <v>13</v>
      </c>
      <c r="B18" s="50" t="n">
        <v>0.718</v>
      </c>
      <c r="C18" s="50" t="n">
        <v>0.651</v>
      </c>
      <c r="D18" s="50" t="n">
        <v>0.8535</v>
      </c>
      <c r="E18" s="50" t="n">
        <v>0.7047</v>
      </c>
      <c r="F18" s="50" t="n">
        <v>9370</v>
      </c>
      <c r="G18" s="50" t="n">
        <v>10153</v>
      </c>
      <c r="H18" s="50" t="n">
        <v>0.5316</v>
      </c>
      <c r="I18" s="50" t="n">
        <v>0.3655</v>
      </c>
      <c r="J18" s="50" t="n">
        <v>9.744999999999999</v>
      </c>
      <c r="K18" s="50" t="n">
        <v>0.0268</v>
      </c>
      <c r="L18" s="50" t="n">
        <v>0.044</v>
      </c>
    </row>
    <row r="19">
      <c r="A19" s="50" t="n">
        <v>14</v>
      </c>
      <c r="B19" s="50" t="n">
        <v>0.613</v>
      </c>
      <c r="C19" s="50" t="n">
        <v>0.605</v>
      </c>
      <c r="D19" s="50" t="n">
        <v>0.8250999999999999</v>
      </c>
      <c r="E19" s="50" t="n">
        <v>0.6632</v>
      </c>
      <c r="F19" s="50" t="n">
        <v>8997</v>
      </c>
      <c r="G19" s="50" t="n">
        <v>9691</v>
      </c>
      <c r="H19" s="50" t="n">
        <v>0.4857</v>
      </c>
      <c r="I19" s="50" t="n">
        <v>0.3867</v>
      </c>
      <c r="J19" s="50" t="n">
        <v>8.468999999999999</v>
      </c>
      <c r="K19" s="50" t="n">
        <v>0.0213</v>
      </c>
      <c r="L19" s="50" t="n">
        <v>0.0369</v>
      </c>
    </row>
    <row r="20">
      <c r="A20" s="50" t="n">
        <v>15</v>
      </c>
      <c r="B20" s="50" t="n">
        <v>0.51</v>
      </c>
      <c r="C20" s="50" t="n">
        <v>0.553</v>
      </c>
      <c r="D20" s="50" t="n">
        <v>0.7952</v>
      </c>
      <c r="E20" s="50" t="n">
        <v>0.6214</v>
      </c>
      <c r="F20" s="50" t="n">
        <v>8629</v>
      </c>
      <c r="G20" s="50" t="n">
        <v>9239</v>
      </c>
      <c r="H20" s="50" t="n">
        <v>0.4438</v>
      </c>
      <c r="I20" s="50" t="n">
        <v>0.4049</v>
      </c>
      <c r="J20" s="50" t="n">
        <v>7.299</v>
      </c>
      <c r="K20" s="50" t="n">
        <v>0.0167</v>
      </c>
      <c r="L20" s="50" t="n">
        <v>0.0304</v>
      </c>
    </row>
    <row r="21">
      <c r="A21" s="50" t="n">
        <v>16</v>
      </c>
      <c r="B21" s="50" t="n">
        <v>0.415</v>
      </c>
      <c r="C21" s="50" t="n">
        <v>0.502</v>
      </c>
      <c r="D21" s="50" t="n">
        <v>0.7462</v>
      </c>
      <c r="E21" s="50" t="n">
        <v>0.5762</v>
      </c>
      <c r="F21" s="50" t="n">
        <v>8270</v>
      </c>
      <c r="G21" s="50" t="n">
        <v>8797</v>
      </c>
      <c r="H21" s="50" t="n">
        <v>0.4055</v>
      </c>
      <c r="I21" s="50" t="n">
        <v>0.4202</v>
      </c>
      <c r="J21" s="50" t="n">
        <v>8.65</v>
      </c>
      <c r="K21" s="50" t="n">
        <v>0.0181</v>
      </c>
      <c r="L21" s="50" t="n">
        <v>0.0342</v>
      </c>
    </row>
    <row r="22">
      <c r="A22" s="50" t="n">
        <v>17</v>
      </c>
      <c r="B22" s="50" t="n">
        <v>0.332</v>
      </c>
      <c r="C22" s="50" t="n">
        <v>0.453</v>
      </c>
      <c r="D22" s="50" t="n">
        <v>0.6776</v>
      </c>
      <c r="E22" s="50" t="n">
        <v>0.5294</v>
      </c>
      <c r="F22" s="50" t="n">
        <v>7922</v>
      </c>
      <c r="G22" s="50" t="n">
        <v>8383</v>
      </c>
      <c r="H22" s="50" t="n">
        <v>0.3705</v>
      </c>
      <c r="I22" s="50" t="n">
        <v>0.4328</v>
      </c>
      <c r="J22" s="50" t="n">
        <v>9.521000000000001</v>
      </c>
      <c r="K22" s="50" t="n">
        <v>0.0182</v>
      </c>
      <c r="L22" s="50" t="n">
        <v>0.0354</v>
      </c>
    </row>
    <row r="23">
      <c r="A23" s="50" t="n">
        <v>18</v>
      </c>
      <c r="B23" s="50" t="n">
        <v>0.261</v>
      </c>
      <c r="C23" s="50" t="n">
        <v>0.407</v>
      </c>
      <c r="D23" s="50" t="n">
        <v>0.5953000000000001</v>
      </c>
      <c r="E23" s="50" t="n">
        <v>0.4838</v>
      </c>
      <c r="F23" s="50" t="n">
        <v>7586</v>
      </c>
      <c r="G23" s="50" t="n">
        <v>8009</v>
      </c>
      <c r="H23" s="50" t="n">
        <v>0.3385</v>
      </c>
      <c r="I23" s="50" t="n">
        <v>0.443</v>
      </c>
      <c r="J23" s="50" t="n">
        <v>8.768000000000001</v>
      </c>
      <c r="K23" s="50" t="n">
        <v>0.0153</v>
      </c>
      <c r="L23" s="50" t="n">
        <v>0.0305</v>
      </c>
    </row>
    <row r="24">
      <c r="A24" s="50" t="n">
        <v>19</v>
      </c>
      <c r="B24" s="50" t="n">
        <v>0.203</v>
      </c>
      <c r="C24" s="50" t="n">
        <v>0.364</v>
      </c>
      <c r="D24" s="50" t="n">
        <v>0.5142</v>
      </c>
      <c r="E24" s="50" t="n">
        <v>0.44</v>
      </c>
      <c r="F24" s="50" t="n">
        <v>7265</v>
      </c>
      <c r="G24" s="50" t="n">
        <v>7666</v>
      </c>
      <c r="H24" s="50" t="n">
        <v>0.3093</v>
      </c>
      <c r="I24" s="50" t="n">
        <v>0.4512</v>
      </c>
      <c r="J24" s="50" t="n">
        <v>7.949</v>
      </c>
      <c r="K24" s="50" t="n">
        <v>0.0127</v>
      </c>
      <c r="L24" s="50" t="n">
        <v>0.0258</v>
      </c>
    </row>
    <row r="25">
      <c r="A25" s="50" t="n">
        <v>20</v>
      </c>
      <c r="B25" s="50" t="n">
        <v>0.157</v>
      </c>
      <c r="C25" s="50" t="n">
        <v>0.324</v>
      </c>
      <c r="D25" s="50" t="n">
        <v>0.4391</v>
      </c>
      <c r="E25" s="50" t="n">
        <v>0.3988</v>
      </c>
      <c r="F25" s="50" t="n">
        <v>6962</v>
      </c>
      <c r="G25" s="50" t="n">
        <v>7358</v>
      </c>
      <c r="H25" s="50" t="n">
        <v>0.2826</v>
      </c>
      <c r="I25" s="50" t="n">
        <v>0.4578</v>
      </c>
      <c r="J25" s="50" t="n">
        <v>6.976</v>
      </c>
      <c r="K25" s="50" t="n">
        <v>0.0102</v>
      </c>
      <c r="L25" s="50" t="n">
        <v>0.0209</v>
      </c>
    </row>
    <row r="26">
      <c r="A26" s="50" t="n">
        <v>21</v>
      </c>
      <c r="B26" s="50" t="n">
        <v>0.12</v>
      </c>
      <c r="C26" s="50" t="n">
        <v>0.288</v>
      </c>
      <c r="D26" s="50" t="n">
        <v>0.3707</v>
      </c>
      <c r="E26" s="50" t="n">
        <v>0.36</v>
      </c>
      <c r="F26" s="50" t="n">
        <v>6679</v>
      </c>
      <c r="G26" s="50" t="n">
        <v>7089</v>
      </c>
      <c r="H26" s="50" t="n">
        <v>0.2582</v>
      </c>
      <c r="I26" s="50" t="n">
        <v>0.4629</v>
      </c>
      <c r="J26" s="50" t="n">
        <v>6.018</v>
      </c>
      <c r="K26" s="50" t="n">
        <v>0.008</v>
      </c>
      <c r="L26" s="50" t="n">
        <v>0.0167</v>
      </c>
    </row>
    <row r="27">
      <c r="A27" s="50" t="n">
        <v>22</v>
      </c>
      <c r="B27" s="50" t="n">
        <v>0.092</v>
      </c>
      <c r="C27" s="50" t="n">
        <v>0.255</v>
      </c>
      <c r="D27" s="50" t="n">
        <v>0.3092</v>
      </c>
      <c r="E27" s="50" t="n">
        <v>0.3236</v>
      </c>
      <c r="F27" s="50" t="n">
        <v>6416</v>
      </c>
      <c r="G27" s="50" t="n">
        <v>6862</v>
      </c>
      <c r="H27" s="50" t="n">
        <v>0.2359</v>
      </c>
      <c r="I27" s="50" t="n">
        <v>0.4669</v>
      </c>
      <c r="J27" s="50" t="n">
        <v>5.281</v>
      </c>
      <c r="K27" s="50" t="n">
        <v>0.0064</v>
      </c>
      <c r="L27" s="50" t="n">
        <v>0.0135</v>
      </c>
    </row>
    <row r="28">
      <c r="A28" s="50" t="n">
        <v>23</v>
      </c>
      <c r="B28" s="50" t="n">
        <v>0.07000000000000001</v>
      </c>
      <c r="C28" s="50" t="n">
        <v>0.225</v>
      </c>
      <c r="D28" s="50" t="n">
        <v>0.2547</v>
      </c>
      <c r="E28" s="50" t="n">
        <v>0.2909</v>
      </c>
      <c r="F28" s="50" t="n">
        <v>6177</v>
      </c>
      <c r="G28" s="50" t="n">
        <v>6684</v>
      </c>
      <c r="H28" s="50" t="n">
        <v>0.2155</v>
      </c>
      <c r="I28" s="50" t="n">
        <v>0.47</v>
      </c>
      <c r="J28" s="50" t="n">
        <v>4.628</v>
      </c>
      <c r="K28" s="50" t="n">
        <v>0.0052</v>
      </c>
      <c r="L28" s="50" t="n">
        <v>0.0109</v>
      </c>
    </row>
    <row r="29">
      <c r="A29" s="50" t="n">
        <v>24</v>
      </c>
      <c r="B29" s="50" t="n">
        <v>0.053</v>
      </c>
      <c r="C29" s="50" t="n">
        <v>0.198</v>
      </c>
      <c r="D29" s="50" t="n">
        <v>0.2091</v>
      </c>
      <c r="E29" s="50" t="n">
        <v>0.2606</v>
      </c>
      <c r="F29" s="50" t="n">
        <v>5963</v>
      </c>
      <c r="G29" s="50" t="n">
        <v>6556</v>
      </c>
      <c r="H29" s="50" t="n">
        <v>0.1969</v>
      </c>
      <c r="I29" s="50" t="n">
        <v>0.4724</v>
      </c>
      <c r="J29" s="50" t="n">
        <v>4.021</v>
      </c>
      <c r="K29" s="50" t="n">
        <v>0.0041</v>
      </c>
      <c r="L29" s="50" t="n">
        <v>0.008699999999999999</v>
      </c>
    </row>
    <row r="30">
      <c r="A30" s="50" t="n">
        <v>25</v>
      </c>
      <c r="B30" s="50" t="n">
        <v>0.04</v>
      </c>
      <c r="C30" s="50" t="n">
        <v>0.174</v>
      </c>
      <c r="D30" s="50" t="n">
        <v>0.1716</v>
      </c>
      <c r="E30" s="50" t="n">
        <v>0.2328</v>
      </c>
      <c r="F30" s="50" t="n">
        <v>5778</v>
      </c>
      <c r="G30" s="50" t="n">
        <v>6481</v>
      </c>
      <c r="H30" s="50" t="n">
        <v>0.1799</v>
      </c>
      <c r="I30" s="50" t="n">
        <v>0.4742</v>
      </c>
      <c r="J30" s="50" t="n">
        <v>3.362</v>
      </c>
      <c r="K30" s="50" t="n">
        <v>0.0031</v>
      </c>
      <c r="L30" s="50" t="n">
        <v>0.0067</v>
      </c>
    </row>
    <row r="31">
      <c r="A31" s="50" t="n">
        <v>26</v>
      </c>
      <c r="B31" s="50" t="n">
        <v>0.03</v>
      </c>
      <c r="C31" s="50" t="n">
        <v>0.153</v>
      </c>
      <c r="D31" s="50" t="n">
        <v>0.1396</v>
      </c>
      <c r="E31" s="50" t="n">
        <v>0.2075</v>
      </c>
      <c r="F31" s="50" t="n">
        <v>5623</v>
      </c>
      <c r="G31" s="50" t="n">
        <v>6466</v>
      </c>
      <c r="H31" s="50" t="n">
        <v>0.1644</v>
      </c>
      <c r="I31" s="50" t="n">
        <v>0.4757</v>
      </c>
      <c r="J31" s="50" t="n">
        <v>2.643</v>
      </c>
      <c r="K31" s="50" t="n">
        <v>0.0022</v>
      </c>
      <c r="L31" s="50" t="n">
        <v>0.0048</v>
      </c>
    </row>
    <row r="32">
      <c r="A32" s="50" t="n">
        <v>27</v>
      </c>
      <c r="B32" s="50" t="n">
        <v>0.023</v>
      </c>
      <c r="C32" s="50" t="n">
        <v>0.133</v>
      </c>
      <c r="D32" s="50" t="n">
        <v>0.1128</v>
      </c>
      <c r="E32" s="50" t="n">
        <v>0.1846</v>
      </c>
      <c r="F32" s="50" t="n">
        <v>5499</v>
      </c>
      <c r="G32" s="50" t="n">
        <v>6466</v>
      </c>
      <c r="H32" s="50" t="n">
        <v>0.1502</v>
      </c>
      <c r="I32" s="50" t="n">
        <v>0.4768</v>
      </c>
      <c r="J32" s="50" t="n">
        <v>2.182</v>
      </c>
      <c r="K32" s="50" t="n">
        <v>0.0017</v>
      </c>
      <c r="L32" s="50" t="n">
        <v>0.0036</v>
      </c>
    </row>
    <row r="33">
      <c r="A33" s="50" t="n">
        <v>28</v>
      </c>
      <c r="B33" s="50" t="n">
        <v>0.013</v>
      </c>
      <c r="C33" s="50" t="n">
        <v>0.117</v>
      </c>
      <c r="D33" s="50" t="n">
        <v>0.091</v>
      </c>
      <c r="E33" s="50" t="n">
        <v>0.1642</v>
      </c>
      <c r="F33" s="50" t="n">
        <v>5410</v>
      </c>
      <c r="G33" s="50" t="n">
        <v>6466</v>
      </c>
      <c r="H33" s="50" t="n">
        <v>0.1372</v>
      </c>
      <c r="I33" s="50" t="n">
        <v>0.4776</v>
      </c>
      <c r="J33" s="50" t="n">
        <v>1.842</v>
      </c>
      <c r="K33" s="50" t="n">
        <v>0.0013</v>
      </c>
      <c r="L33" s="50" t="n">
        <v>0.0028</v>
      </c>
    </row>
    <row r="34">
      <c r="A34" s="50" t="n">
        <v>29</v>
      </c>
      <c r="B34" s="50" t="n">
        <v>0.01</v>
      </c>
      <c r="C34" s="50" t="n">
        <v>0.102</v>
      </c>
      <c r="D34" s="50" t="n">
        <v>0.0737</v>
      </c>
      <c r="E34" s="50" t="n">
        <v>0.1454</v>
      </c>
      <c r="F34" s="50" t="n">
        <v>5358</v>
      </c>
      <c r="G34" s="50" t="n">
        <v>6466</v>
      </c>
      <c r="H34" s="50" t="n">
        <v>0.1254</v>
      </c>
      <c r="I34" s="50" t="n">
        <v>0.4783</v>
      </c>
      <c r="J34" s="50" t="n">
        <v>1.516</v>
      </c>
      <c r="K34" s="50" t="n">
        <v>0.001</v>
      </c>
      <c r="L34" s="50" t="n">
        <v>0.0021</v>
      </c>
    </row>
    <row r="35">
      <c r="A35" s="50" t="n">
        <v>30</v>
      </c>
      <c r="B35" s="50" t="n">
        <v>0.007</v>
      </c>
      <c r="C35" s="50" t="n">
        <v>0.089</v>
      </c>
      <c r="D35" s="50" t="n">
        <v>0.0595</v>
      </c>
      <c r="E35" s="50" t="n">
        <v>0.1284</v>
      </c>
      <c r="F35" s="50" t="n">
        <v>5358</v>
      </c>
      <c r="G35" s="50" t="n">
        <v>6466</v>
      </c>
      <c r="H35" s="50" t="n">
        <v>0.1146</v>
      </c>
      <c r="I35" s="50" t="n">
        <v>0.4788</v>
      </c>
      <c r="J35" s="50" t="n">
        <v>1.309</v>
      </c>
      <c r="K35" s="50" t="n">
        <v>0.0008</v>
      </c>
      <c r="L35" s="50" t="n">
        <v>0.0017</v>
      </c>
    </row>
    <row r="36">
      <c r="A36" s="50" t="n">
        <v>31</v>
      </c>
      <c r="B36" s="50" t="n">
        <v>0.002</v>
      </c>
      <c r="C36" s="50" t="n">
        <v>0.027</v>
      </c>
      <c r="D36" s="50" t="n">
        <v>0.0477</v>
      </c>
      <c r="E36" s="50" t="n">
        <v>0.114</v>
      </c>
      <c r="F36" s="50" t="n">
        <v>5358</v>
      </c>
      <c r="G36" s="50" t="n">
        <v>6466</v>
      </c>
      <c r="H36" s="50" t="n">
        <v>0.1047</v>
      </c>
      <c r="I36" s="50" t="n">
        <v>0.4792</v>
      </c>
      <c r="J36" s="50" t="n">
        <v>1.017</v>
      </c>
      <c r="K36" s="50" t="n">
        <v>0.0005</v>
      </c>
      <c r="L36" s="50" t="n">
        <v>0.0012</v>
      </c>
    </row>
    <row r="37">
      <c r="A37" s="50" t="n">
        <v>32</v>
      </c>
      <c r="B37" s="50" t="n">
        <v>0</v>
      </c>
      <c r="C37" s="50" t="n">
        <v>0</v>
      </c>
      <c r="D37" s="50" t="n">
        <v>0.0381</v>
      </c>
      <c r="E37" s="50" t="n">
        <v>0.1006</v>
      </c>
      <c r="F37" s="50" t="n">
        <v>5358</v>
      </c>
      <c r="G37" s="50" t="n">
        <v>6466</v>
      </c>
      <c r="H37" s="50" t="n">
        <v>0.0956</v>
      </c>
      <c r="I37" s="50" t="n">
        <v>0.4795</v>
      </c>
      <c r="J37" s="50" t="n">
        <v>0.778</v>
      </c>
      <c r="K37" s="50" t="n">
        <v>0.0004</v>
      </c>
      <c r="L37" s="50" t="n">
        <v>0.0008</v>
      </c>
    </row>
    <row r="38">
      <c r="A38" s="50" t="n">
        <v>33</v>
      </c>
      <c r="B38" s="50" t="n">
        <v>0</v>
      </c>
      <c r="C38" s="50" t="n">
        <v>0</v>
      </c>
      <c r="D38" s="50" t="n">
        <v>0.0302</v>
      </c>
      <c r="E38" s="50" t="n">
        <v>0.08799999999999999</v>
      </c>
      <c r="F38" s="50" t="n">
        <v>5358</v>
      </c>
      <c r="G38" s="50" t="n">
        <v>6466</v>
      </c>
      <c r="H38" s="50" t="n">
        <v>0.08740000000000001</v>
      </c>
      <c r="I38" s="50" t="n">
        <v>0.4797</v>
      </c>
      <c r="J38" s="50" t="n">
        <v>0.61</v>
      </c>
      <c r="K38" s="50" t="n">
        <v>0.0003</v>
      </c>
      <c r="L38" s="50" t="n">
        <v>0.0005999999999999999</v>
      </c>
    </row>
    <row r="39">
      <c r="A39" s="50" t="n">
        <v>34</v>
      </c>
      <c r="B39" s="50" t="n">
        <v>0</v>
      </c>
      <c r="C39" s="50" t="n">
        <v>0</v>
      </c>
      <c r="D39" s="50" t="n">
        <v>0.0246</v>
      </c>
      <c r="E39" s="50" t="n">
        <v>0.0316</v>
      </c>
      <c r="F39" s="50" t="n">
        <v>5358</v>
      </c>
      <c r="G39" s="50" t="n">
        <v>6466</v>
      </c>
      <c r="H39" s="50" t="n">
        <v>0.0798</v>
      </c>
      <c r="I39" s="50" t="n">
        <v>0.4799</v>
      </c>
      <c r="J39" s="50" t="n">
        <v>0.373</v>
      </c>
      <c r="K39" s="50" t="n">
        <v>0.0002</v>
      </c>
      <c r="L39" s="50" t="n">
        <v>0.0003</v>
      </c>
    </row>
    <row r="40">
      <c r="A40" s="50" t="n">
        <v>35</v>
      </c>
      <c r="B40" s="50" t="n">
        <v>0</v>
      </c>
      <c r="C40" s="50" t="n">
        <v>0</v>
      </c>
      <c r="D40" s="50" t="n">
        <v>0.0174</v>
      </c>
      <c r="E40" s="50" t="n">
        <v>0</v>
      </c>
      <c r="F40" s="50" t="n">
        <v>5358</v>
      </c>
      <c r="G40" s="50" t="n">
        <v>6466</v>
      </c>
      <c r="H40" s="50" t="n">
        <v>0.073</v>
      </c>
      <c r="I40" s="50" t="n">
        <v>0.48</v>
      </c>
      <c r="J40" s="50" t="n">
        <v>0.17</v>
      </c>
      <c r="K40" s="50" t="n">
        <v>0.0001</v>
      </c>
      <c r="L40" s="50" t="n">
        <v>0.0001</v>
      </c>
    </row>
    <row r="41">
      <c r="A41" s="50" t="n">
        <v>36</v>
      </c>
      <c r="B41" s="50" t="n">
        <v>0</v>
      </c>
      <c r="C41" s="50" t="n">
        <v>0</v>
      </c>
      <c r="D41" s="50" t="n">
        <v>0.012</v>
      </c>
      <c r="E41" s="50" t="n">
        <v>0</v>
      </c>
      <c r="F41" s="50" t="n">
        <v>5358</v>
      </c>
      <c r="G41" s="50" t="n">
        <v>6466</v>
      </c>
      <c r="H41" s="50" t="n">
        <v>0.0667</v>
      </c>
      <c r="I41" s="50" t="n">
        <v>0.4801</v>
      </c>
      <c r="J41" s="50" t="n">
        <v>0.126</v>
      </c>
      <c r="K41" s="50" t="n">
        <v>0</v>
      </c>
      <c r="L41" s="50" t="n">
        <v>0.0001</v>
      </c>
    </row>
    <row r="42">
      <c r="A42" s="50" t="n">
        <v>37</v>
      </c>
      <c r="B42" s="50" t="n">
        <v>0</v>
      </c>
      <c r="C42" s="50" t="n">
        <v>0</v>
      </c>
      <c r="D42" s="50" t="n">
        <v>0.009599999999999999</v>
      </c>
      <c r="E42" s="50" t="n">
        <v>0</v>
      </c>
      <c r="F42" s="50" t="n">
        <v>5358</v>
      </c>
      <c r="G42" s="50" t="n">
        <v>6466</v>
      </c>
      <c r="H42" s="50" t="n">
        <v>0.0609</v>
      </c>
      <c r="I42" s="50" t="n">
        <v>0.4802</v>
      </c>
      <c r="J42" s="50" t="n">
        <v>0.098</v>
      </c>
      <c r="K42" s="50" t="n">
        <v>0</v>
      </c>
      <c r="L42" s="50" t="n">
        <v>0.0001</v>
      </c>
    </row>
    <row r="43">
      <c r="A43" s="50" t="n">
        <v>38</v>
      </c>
      <c r="B43" s="50" t="n">
        <v>0</v>
      </c>
      <c r="C43" s="50" t="n">
        <v>0</v>
      </c>
      <c r="D43" s="50" t="n">
        <v>0.0072</v>
      </c>
      <c r="E43" s="50" t="n">
        <v>0</v>
      </c>
      <c r="F43" s="50" t="n">
        <v>5358</v>
      </c>
      <c r="G43" s="50" t="n">
        <v>6466</v>
      </c>
      <c r="H43" s="50" t="n">
        <v>0.0556</v>
      </c>
      <c r="I43" s="50" t="n">
        <v>0.4802</v>
      </c>
      <c r="J43" s="50" t="n">
        <v>0.083</v>
      </c>
      <c r="K43" s="50" t="n">
        <v>0</v>
      </c>
      <c r="L43" s="50" t="n">
        <v>0.0001</v>
      </c>
    </row>
    <row r="44">
      <c r="A44" s="50" t="n">
        <v>39</v>
      </c>
      <c r="B44" s="50" t="n">
        <v>0</v>
      </c>
      <c r="C44" s="50" t="n">
        <v>0</v>
      </c>
      <c r="D44" s="50" t="n">
        <v>0.0035</v>
      </c>
      <c r="E44" s="50" t="n">
        <v>0</v>
      </c>
      <c r="F44" s="50" t="n">
        <v>5358</v>
      </c>
      <c r="G44" s="50" t="n">
        <v>6466</v>
      </c>
      <c r="H44" s="50" t="n">
        <v>0.0508</v>
      </c>
      <c r="I44" s="50" t="n">
        <v>0.4803</v>
      </c>
      <c r="J44" s="50" t="n">
        <v>0.038</v>
      </c>
      <c r="K44" s="50" t="n">
        <v>0</v>
      </c>
      <c r="L44" s="50" t="n">
        <v>0</v>
      </c>
    </row>
    <row r="45">
      <c r="A45" s="50" t="n">
        <v>40</v>
      </c>
      <c r="B45" s="50" t="n">
        <v>0</v>
      </c>
      <c r="C45" s="50" t="n">
        <v>0</v>
      </c>
      <c r="D45" s="50" t="n">
        <v>0</v>
      </c>
      <c r="E45" s="50" t="n">
        <v>0</v>
      </c>
      <c r="F45" s="50" t="n">
        <v>5358</v>
      </c>
      <c r="G45" s="50" t="n">
        <v>6466</v>
      </c>
      <c r="H45" s="50" t="n">
        <v>0.0465</v>
      </c>
      <c r="I45" s="50" t="n">
        <v>0.4803</v>
      </c>
      <c r="J45" s="50" t="n">
        <v>0</v>
      </c>
      <c r="K45" s="50" t="n">
        <v>0</v>
      </c>
      <c r="L45" s="50" t="n">
        <v>0</v>
      </c>
    </row>
    <row r="46">
      <c r="A46" s="50" t="n">
        <v>41</v>
      </c>
      <c r="B46" s="50" t="n">
        <v>0</v>
      </c>
      <c r="C46" s="50" t="n">
        <v>0</v>
      </c>
      <c r="D46" s="50" t="n">
        <v>0</v>
      </c>
      <c r="E46" s="50" t="n">
        <v>0</v>
      </c>
      <c r="F46" s="50" t="n">
        <v>5358</v>
      </c>
      <c r="G46" s="50" t="n">
        <v>6466</v>
      </c>
      <c r="H46" s="50" t="n">
        <v>0.0424</v>
      </c>
      <c r="I46" s="50" t="n">
        <v>0.4803</v>
      </c>
      <c r="J46" s="50" t="n">
        <v>0</v>
      </c>
      <c r="K46" s="50" t="n">
        <v>0</v>
      </c>
      <c r="L46" s="50" t="n">
        <v>0</v>
      </c>
    </row>
    <row r="47">
      <c r="A47" s="50" t="n">
        <v>42</v>
      </c>
      <c r="B47" s="50" t="n">
        <v>0</v>
      </c>
      <c r="C47" s="50" t="n">
        <v>0</v>
      </c>
      <c r="D47" s="50" t="n">
        <v>0</v>
      </c>
      <c r="E47" s="50" t="n">
        <v>0</v>
      </c>
      <c r="F47" s="50" t="n">
        <v>5358</v>
      </c>
      <c r="G47" s="50" t="n">
        <v>6466</v>
      </c>
      <c r="H47" s="50" t="n">
        <v>0.0388</v>
      </c>
      <c r="I47" s="50" t="n">
        <v>0.4803</v>
      </c>
      <c r="J47" s="50" t="n">
        <v>0</v>
      </c>
      <c r="K47" s="50" t="n">
        <v>0</v>
      </c>
      <c r="L47" s="50" t="n">
        <v>0</v>
      </c>
    </row>
    <row r="48">
      <c r="A48" s="50" t="n">
        <v>43</v>
      </c>
      <c r="B48" s="50" t="n">
        <v>0</v>
      </c>
      <c r="C48" s="50" t="n">
        <v>0</v>
      </c>
      <c r="D48" s="50" t="n">
        <v>0</v>
      </c>
      <c r="E48" s="50" t="n">
        <v>0</v>
      </c>
      <c r="F48" s="50" t="n">
        <v>5358</v>
      </c>
      <c r="G48" s="50" t="n">
        <v>6466</v>
      </c>
      <c r="H48" s="50" t="n">
        <v>0.0354</v>
      </c>
      <c r="I48" s="50" t="n">
        <v>0.4804</v>
      </c>
      <c r="J48" s="50" t="n">
        <v>0</v>
      </c>
      <c r="K48" s="50" t="n">
        <v>0</v>
      </c>
      <c r="L48" s="50" t="n">
        <v>0</v>
      </c>
    </row>
    <row r="49">
      <c r="A49" s="50" t="n">
        <v>44</v>
      </c>
      <c r="B49" s="50" t="n">
        <v>0</v>
      </c>
      <c r="C49" s="50" t="n">
        <v>0</v>
      </c>
      <c r="D49" s="50" t="n">
        <v>0</v>
      </c>
      <c r="E49" s="50" t="n">
        <v>0</v>
      </c>
      <c r="F49" s="50" t="n">
        <v>5358</v>
      </c>
      <c r="G49" s="50" t="n">
        <v>6466</v>
      </c>
      <c r="H49" s="50" t="n">
        <v>0.0324</v>
      </c>
      <c r="I49" s="50" t="n">
        <v>0.4804</v>
      </c>
      <c r="J49" s="50" t="n">
        <v>0</v>
      </c>
      <c r="K49" s="50" t="n">
        <v>0</v>
      </c>
      <c r="L49" s="50" t="n">
        <v>0</v>
      </c>
    </row>
    <row r="50">
      <c r="A50" s="50" t="n">
        <v>45</v>
      </c>
      <c r="B50" s="50" t="n">
        <v>0</v>
      </c>
      <c r="C50" s="50" t="n">
        <v>0</v>
      </c>
      <c r="D50" s="50" t="n">
        <v>0</v>
      </c>
      <c r="E50" s="50" t="n">
        <v>0</v>
      </c>
      <c r="F50" s="50" t="n">
        <v>5358</v>
      </c>
      <c r="G50" s="50" t="n">
        <v>6466</v>
      </c>
      <c r="H50" s="50" t="n">
        <v>0.0296</v>
      </c>
      <c r="I50" s="50" t="n">
        <v>0.4804</v>
      </c>
      <c r="J50" s="50" t="n">
        <v>0</v>
      </c>
      <c r="K50" s="50" t="n">
        <v>0</v>
      </c>
      <c r="L50" s="50" t="n">
        <v>0</v>
      </c>
    </row>
  </sheetData>
  <mergeCells count="1">
    <mergeCell ref="A2:L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0" customWidth="1" min="6" max="6"/>
  </cols>
  <sheetData>
    <row r="1">
      <c r="A1" s="1" t="inlineStr">
        <is>
          <t>age_curves_validation.csv</t>
        </is>
      </c>
    </row>
    <row r="2" ht="42" customHeight="1">
      <c r="A2" s="6" t="inlineStr">
        <is>
          <t>Targets and model values for the age curves (scripts/age_curves.py, 2026-09-14). 'fit' rows were used to fit R,P; 'out_of_sample' rows were not.</t>
        </is>
      </c>
    </row>
    <row r="3">
      <c r="A3" s="2" t="inlineStr">
        <is>
          <t>data/csv/age_curves_validation.csv · 37 rows · BLUE = raw data as committed; do not type over it — edit the CSV and rebuild.</t>
        </is>
      </c>
    </row>
    <row r="4">
      <c r="A4" s="7" t="inlineStr">
        <is>
          <t>kind</t>
        </is>
      </c>
      <c r="B4" s="7" t="inlineStr">
        <is>
          <t>year</t>
        </is>
      </c>
      <c r="C4" s="7" t="inlineStr">
        <is>
          <t>statistic</t>
        </is>
      </c>
      <c r="D4" s="7" t="inlineStr">
        <is>
          <t>actual</t>
        </is>
      </c>
      <c r="E4" s="7" t="inlineStr">
        <is>
          <t>model</t>
        </is>
      </c>
      <c r="F4" s="7" t="inlineStr">
        <is>
          <t>source</t>
        </is>
      </c>
    </row>
    <row r="5">
      <c r="A5" s="50" t="inlineStr">
        <is>
          <t>fit</t>
        </is>
      </c>
      <c r="B5" s="50" t="n">
        <v>2024</v>
      </c>
      <c r="C5" s="50" t="inlineStr">
        <is>
          <t>tlf</t>
        </is>
      </c>
      <c r="D5" s="50" t="n">
        <v>0.223</v>
      </c>
      <c r="E5" s="50" t="n">
        <v>0.2225</v>
      </c>
      <c r="F5" s="50" t="inlineStr">
        <is>
          <t>CCC annual all-loss TLF 2024 = 22.3% (data/csv/ccc_tlf_annual.csv)</t>
        </is>
      </c>
    </row>
    <row r="6">
      <c r="A6" s="50" t="inlineStr">
        <is>
          <t>fit</t>
        </is>
      </c>
      <c r="B6" s="50" t="n">
        <v>2024</v>
      </c>
      <c r="C6" s="50" t="inlineStr">
        <is>
          <t>tl7</t>
        </is>
      </c>
      <c r="D6" s="50" t="n">
        <v>0.72</v>
      </c>
      <c r="E6" s="50" t="n">
        <v>0.7179</v>
      </c>
      <c r="F6" s="50" t="inlineStr">
        <is>
          <t>Crash Course 2024/Q4: 'almost 72% of valuations across all loss categories are for vehicles 7 years or older'</t>
        </is>
      </c>
    </row>
    <row r="7">
      <c r="A7" s="50" t="inlineStr">
        <is>
          <t>fit</t>
        </is>
      </c>
      <c r="B7" s="50" t="n">
        <v>2024</v>
      </c>
      <c r="C7" s="50" t="inlineStr">
        <is>
          <t>rp7</t>
        </is>
      </c>
      <c r="D7" s="50" t="n">
        <v>0.45</v>
      </c>
      <c r="E7" s="50" t="n">
        <v>0.4426</v>
      </c>
      <c r="F7" s="50" t="inlineStr">
        <is>
          <t>2024/Q4: 'vehicles seven years or older now make up nearly 45% of all repairable claims'</t>
        </is>
      </c>
    </row>
    <row r="8">
      <c r="A8" s="50" t="inlineStr">
        <is>
          <t>fit</t>
        </is>
      </c>
      <c r="B8" s="50" t="n">
        <v>2024</v>
      </c>
      <c r="C8" s="50" t="inlineStr">
        <is>
          <t>rp3</t>
        </is>
      </c>
      <c r="D8" s="50" t="n">
        <v>0.3</v>
      </c>
      <c r="E8" s="50" t="n">
        <v>0.3012</v>
      </c>
      <c r="F8" s="50" t="inlineStr">
        <is>
          <t>2024/Q4: 'only 26.3% of repairable ICE vehicles are three years or newer'; all-fuel ~30% after adding EV/hybrid (79%/60% of which are &lt;=3 yrs)</t>
        </is>
      </c>
    </row>
    <row r="9">
      <c r="A9" s="50" t="inlineStr">
        <is>
          <t>fit</t>
        </is>
      </c>
      <c r="B9" s="50" t="n">
        <v>2024</v>
      </c>
      <c r="C9" s="50" t="inlineStr">
        <is>
          <t>age_cl</t>
        </is>
      </c>
      <c r="D9" s="50" t="n">
        <v>7.6</v>
      </c>
      <c r="E9" s="50" t="n">
        <v>7.6792</v>
      </c>
      <c r="F9" s="50" t="inlineStr">
        <is>
          <t>2025/Q1: 'for claims, the average age of vehicles has increased to 7.6 years' (2024)</t>
        </is>
      </c>
    </row>
    <row r="10">
      <c r="A10" s="50" t="inlineStr">
        <is>
          <t>fit</t>
        </is>
      </c>
      <c r="B10" s="50" t="n">
        <v>2024</v>
      </c>
      <c r="C10" s="50" t="inlineStr">
        <is>
          <t>age_rp</t>
        </is>
      </c>
      <c r="D10" s="50" t="n">
        <v>6.8</v>
      </c>
      <c r="E10" s="50" t="n">
        <v>6.8399</v>
      </c>
      <c r="F10" s="50" t="inlineStr">
        <is>
          <t>2025/Q1: 'the average age of repairable vehicles was 6.8 years in 2024'</t>
        </is>
      </c>
    </row>
    <row r="11">
      <c r="A11" s="50" t="inlineStr">
        <is>
          <t>fit</t>
        </is>
      </c>
      <c r="B11" s="50" t="n">
        <v>2024</v>
      </c>
      <c r="C11" s="50" t="inlineStr">
        <is>
          <t>age_tl</t>
        </is>
      </c>
      <c r="D11" s="50" t="n">
        <v>10.6</v>
      </c>
      <c r="E11" s="50" t="n">
        <v>10.6114</v>
      </c>
      <c r="F11" s="50" t="inlineStr">
        <is>
          <t>2025/Q1: '... and 10.6 years for total loss vehicles' (2024)</t>
        </is>
      </c>
    </row>
    <row r="12">
      <c r="A12" s="50" t="inlineStr">
        <is>
          <t>fit</t>
        </is>
      </c>
      <c r="B12" s="50" t="n">
        <v>2024</v>
      </c>
      <c r="C12" s="50" t="inlineStr">
        <is>
          <t>p03</t>
        </is>
      </c>
      <c r="D12" s="50" t="n">
        <v>0.1</v>
      </c>
      <c r="E12" s="50" t="n">
        <v>0.1001</v>
      </c>
      <c r="F12" s="50" t="inlineStr">
        <is>
          <t>2026 annual: 'for claims that are three years old or newer, 1 in 10 are flagged as a total loss'</t>
        </is>
      </c>
    </row>
    <row r="13">
      <c r="A13" s="50" t="inlineStr">
        <is>
          <t>out_of_sample</t>
        </is>
      </c>
      <c r="B13" s="50" t="n">
        <v>2019</v>
      </c>
      <c r="C13" s="50" t="inlineStr">
        <is>
          <t>2019 repairables 7+ share</t>
        </is>
      </c>
      <c r="D13" s="50" t="n">
        <v>0.35</v>
      </c>
      <c r="E13" s="50" t="n">
        <v>0.3801</v>
      </c>
      <c r="F13" s="50" t="inlineStr">
        <is>
          <t>2024/Q4: 'up from 35% in 2019'</t>
        </is>
      </c>
    </row>
    <row r="14">
      <c r="A14" s="50" t="inlineStr">
        <is>
          <t>out_of_sample</t>
        </is>
      </c>
      <c r="B14" s="50" t="n">
        <v>2019</v>
      </c>
      <c r="C14" s="50" t="inlineStr">
        <is>
          <t>2019 repairables &lt;=3 share</t>
        </is>
      </c>
      <c r="D14" s="50" t="n">
        <v>0.385</v>
      </c>
      <c r="E14" s="50" t="n">
        <v>0.3543</v>
      </c>
      <c r="F14" s="50" t="inlineStr">
        <is>
          <t>2025/Q1: 'vehicles 3 years or newer represented 38.5% of the repairable mix in 2019'</t>
        </is>
      </c>
    </row>
    <row r="15">
      <c r="A15" s="50" t="inlineStr">
        <is>
          <t>out_of_sample</t>
        </is>
      </c>
      <c r="B15" s="50" t="n">
        <v>2020</v>
      </c>
      <c r="C15" s="50" t="inlineStr">
        <is>
          <t>2020 avg age, claims</t>
        </is>
      </c>
      <c r="D15" s="50" t="n">
        <v>6.9</v>
      </c>
      <c r="E15" s="50" t="n">
        <v>7.2468</v>
      </c>
      <c r="F15" s="50" t="inlineStr">
        <is>
          <t>2025/Q1: 'up from 6.9 years in 2020'</t>
        </is>
      </c>
    </row>
    <row r="16">
      <c r="A16" s="50" t="inlineStr">
        <is>
          <t>out_of_sample</t>
        </is>
      </c>
      <c r="B16" s="50" t="n">
        <v>2020</v>
      </c>
      <c r="C16" s="50" t="inlineStr">
        <is>
          <t>2020 avg age, repairables</t>
        </is>
      </c>
      <c r="D16" s="50" t="n">
        <v>6.1</v>
      </c>
      <c r="E16" s="50" t="n">
        <v>6.4268</v>
      </c>
      <c r="F16" s="50" t="inlineStr">
        <is>
          <t>2025/Q1: 'up from 6.1 years old in 2020'</t>
        </is>
      </c>
    </row>
    <row r="17">
      <c r="A17" s="50" t="inlineStr">
        <is>
          <t>out_of_sample</t>
        </is>
      </c>
      <c r="B17" s="50" t="n">
        <v>2020</v>
      </c>
      <c r="C17" s="50" t="inlineStr">
        <is>
          <t>2020 avg age, total loss</t>
        </is>
      </c>
      <c r="D17" s="50" t="n">
        <v>10</v>
      </c>
      <c r="E17" s="50" t="n">
        <v>10.2543</v>
      </c>
      <c r="F17" s="50" t="inlineStr">
        <is>
          <t>2025/Q1: 'up from 10.0 years old in 2020'</t>
        </is>
      </c>
    </row>
    <row r="18">
      <c r="A18" s="50" t="inlineStr">
        <is>
          <t>out_of_sample</t>
        </is>
      </c>
      <c r="B18" s="50" t="n">
        <v>2019</v>
      </c>
      <c r="C18" s="50" t="inlineStr">
        <is>
          <t>2019 TLF (demographics only)</t>
        </is>
      </c>
      <c r="D18" s="50" t="n">
        <v>0.192</v>
      </c>
      <c r="E18" s="50" t="n">
        <v>0.2134</v>
      </c>
      <c r="F18" s="50" t="inlineStr">
        <is>
          <t>CCC annual 2019 = 19.2%; gap = non-demographic (cycle / technology / filing)</t>
        </is>
      </c>
    </row>
    <row r="19">
      <c r="A19" s="50" t="inlineStr">
        <is>
          <t>out_of_sample</t>
        </is>
      </c>
      <c r="B19" s="50" t="n">
        <v>2020</v>
      </c>
      <c r="C19" s="50" t="inlineStr">
        <is>
          <t>2020 TLF (demographics only)</t>
        </is>
      </c>
      <c r="D19" s="50" t="n">
        <v>0.206</v>
      </c>
      <c r="E19" s="50" t="n">
        <v>0.2143</v>
      </c>
      <c r="F19" s="50" t="inlineStr">
        <is>
          <t>CCC annual 2020 = 20.6%</t>
        </is>
      </c>
    </row>
    <row r="20">
      <c r="A20" s="50" t="inlineStr">
        <is>
          <t>out_of_sample</t>
        </is>
      </c>
      <c r="B20" s="50" t="n">
        <v>2025</v>
      </c>
      <c r="C20" s="50" t="inlineStr">
        <is>
          <t>2025 TLF (demographics only)</t>
        </is>
      </c>
      <c r="D20" s="50" t="n">
        <v>0.231</v>
      </c>
      <c r="E20" s="50" t="n">
        <v>0.2229</v>
      </c>
      <c r="F20" s="50" t="inlineStr">
        <is>
          <t>CCC annual 2025 = 23.1%</t>
        </is>
      </c>
    </row>
    <row r="21">
      <c r="A21" s="50" t="inlineStr">
        <is>
          <t>out_of_sample</t>
        </is>
      </c>
      <c r="B21" s="50" t="n">
        <v>2025</v>
      </c>
      <c r="C21" s="50" t="inlineStr">
        <is>
          <t>2025 TL 7+ share</t>
        </is>
      </c>
      <c r="D21" s="50" t="n">
        <v>0.72</v>
      </c>
      <c r="E21" s="50" t="n">
        <v>0.7249</v>
      </c>
      <c r="F21" s="50" t="inlineStr">
        <is>
          <t>2025/Q4: 'over 72% of total loss valuations are on vehicles 7 years or older'</t>
        </is>
      </c>
    </row>
    <row r="22">
      <c r="A22" s="50" t="inlineStr">
        <is>
          <t>out_of_sample</t>
        </is>
      </c>
      <c r="B22" s="50" t="n">
        <v>2025</v>
      </c>
      <c r="C22" s="50" t="inlineStr">
        <is>
          <t>2025 repairables 7+ share</t>
        </is>
      </c>
      <c r="D22" s="50" t="n">
        <v>0.46</v>
      </c>
      <c r="E22" s="50" t="n">
        <v>0.4486</v>
      </c>
      <c r="F22" s="50" t="inlineStr">
        <is>
          <t>2025/Q4: 'almost 46% of repairable vehicles are 7 years or older'</t>
        </is>
      </c>
    </row>
    <row r="23">
      <c r="A23" s="50" t="inlineStr">
        <is>
          <t>S_check</t>
        </is>
      </c>
      <c r="B23" s="50" t="n">
        <v>2024</v>
      </c>
      <c r="C23" s="50" t="inlineStr">
        <is>
          <t>avg age all light (t-MY+0.5)</t>
        </is>
      </c>
      <c r="D23" s="50" t="n">
        <v>12.8</v>
      </c>
      <c r="E23" s="50" t="n">
        <v>11.14</v>
      </c>
      <c r="F23" s="50" t="inlineStr">
        <is>
          <t>S&amp;P via CCC 2026 — NOT fitted; convention gap documented in docs/AGE_CURVES.md</t>
        </is>
      </c>
    </row>
    <row r="24">
      <c r="A24" s="50" t="inlineStr">
        <is>
          <t>S_check</t>
        </is>
      </c>
      <c r="B24" s="50" t="n">
        <v>2024</v>
      </c>
      <c r="C24" s="50" t="inlineStr">
        <is>
          <t>avg age cars</t>
        </is>
      </c>
      <c r="D24" s="50" t="n">
        <v>14.5</v>
      </c>
      <c r="E24" s="50" t="n">
        <v>12.92</v>
      </c>
      <c r="F24" s="50" t="inlineStr">
        <is>
          <t>S&amp;P via CCC 2025/Q2 (not fitted)</t>
        </is>
      </c>
    </row>
    <row r="25">
      <c r="A25" s="50" t="inlineStr">
        <is>
          <t>S_check</t>
        </is>
      </c>
      <c r="B25" s="50" t="n">
        <v>2024</v>
      </c>
      <c r="C25" s="50" t="inlineStr">
        <is>
          <t>avg age light trucks</t>
        </is>
      </c>
      <c r="D25" s="50" t="n">
        <v>11.9</v>
      </c>
      <c r="E25" s="50" t="n">
        <v>9.94</v>
      </c>
      <c r="F25" s="50" t="inlineStr">
        <is>
          <t>S&amp;P via CCC 2025/Q2 (not fitted)</t>
        </is>
      </c>
    </row>
    <row r="26">
      <c r="A26" s="50" t="inlineStr">
        <is>
          <t>S_check</t>
        </is>
      </c>
      <c r="B26" s="50" t="n">
        <v>2024</v>
      </c>
      <c r="C26" s="50" t="inlineStr">
        <is>
          <t>share 7+</t>
        </is>
      </c>
      <c r="D26" s="50" t="n">
        <v>0.66</v>
      </c>
      <c r="E26" s="50" t="n">
        <v>0.645</v>
      </c>
      <c r="F26" s="50" t="inlineStr">
        <is>
          <t>S&amp;P via CCC 2024/Q4 (fitted)</t>
        </is>
      </c>
    </row>
    <row r="27">
      <c r="A27" s="50" t="inlineStr">
        <is>
          <t>S_check</t>
        </is>
      </c>
      <c r="B27" s="50" t="n">
        <v>2024</v>
      </c>
      <c r="C27" s="50" t="inlineStr">
        <is>
          <t>VIO light (M)</t>
        </is>
      </c>
      <c r="D27" s="50" t="n">
        <v>289</v>
      </c>
      <c r="E27" s="50" t="n">
        <v>292.3</v>
      </c>
      <c r="F27" s="50" t="inlineStr">
        <is>
          <t>S&amp;P ~289M light VIO 2025 release (fitted)</t>
        </is>
      </c>
    </row>
    <row r="28">
      <c r="A28" s="50" t="inlineStr">
        <is>
          <t>S_check</t>
        </is>
      </c>
      <c r="B28" s="50" t="n">
        <v>2025</v>
      </c>
      <c r="C28" s="50" t="inlineStr">
        <is>
          <t>change in &lt;=6yr count vs 2020 (M)</t>
        </is>
      </c>
      <c r="D28" s="50" t="n">
        <v>-12</v>
      </c>
      <c r="E28" s="50" t="n">
        <v>-9.6</v>
      </c>
      <c r="F28" s="50" t="inlineStr">
        <is>
          <t>CCC 2026 (Experian): 'over 12 million less newer vehicles (6 years old or newer)' vs 2020 — NOT reproducible from sales under any survival curve; definitional</t>
        </is>
      </c>
    </row>
    <row r="29">
      <c r="A29" s="50" t="inlineStr">
        <is>
          <t>S_check</t>
        </is>
      </c>
      <c r="B29" s="50" t="n">
        <v>2013</v>
      </c>
      <c r="C29" s="50" t="inlineStr">
        <is>
          <t>k cars (census fit)</t>
        </is>
      </c>
      <c r="D29" s="50" t="n"/>
      <c r="E29" s="50" t="n">
        <v>1.064</v>
      </c>
      <c r="F29" s="50" t="inlineStr">
        <is>
          <t>IHS 2013 cars by age</t>
        </is>
      </c>
    </row>
    <row r="30">
      <c r="A30" s="50" t="inlineStr">
        <is>
          <t>S_check</t>
        </is>
      </c>
      <c r="B30" s="50" t="n">
        <v>2013</v>
      </c>
      <c r="C30" s="50" t="inlineStr">
        <is>
          <t>k trucks (census fit)</t>
        </is>
      </c>
      <c r="D30" s="50" t="n"/>
      <c r="E30" s="50" t="n">
        <v>0.921</v>
      </c>
      <c r="F30" s="50" t="inlineStr">
        <is>
          <t>IHS 2013 trucks by age (incl. heavy)</t>
        </is>
      </c>
    </row>
    <row r="31">
      <c r="A31" s="50" t="inlineStr">
        <is>
          <t>S_check</t>
        </is>
      </c>
      <c r="B31" s="50" t="n">
        <v>2000</v>
      </c>
      <c r="C31" s="50" t="inlineStr">
        <is>
          <t>k cars (census fit)</t>
        </is>
      </c>
      <c r="D31" s="50" t="n"/>
      <c r="E31" s="50" t="n">
        <v>0.922</v>
      </c>
      <c r="F31" s="50" t="inlineStr">
        <is>
          <t>IHS 2000 cars by age</t>
        </is>
      </c>
    </row>
    <row r="32">
      <c r="A32" s="50" t="inlineStr">
        <is>
          <t>S_check</t>
        </is>
      </c>
      <c r="B32" s="50" t="n">
        <v>2000</v>
      </c>
      <c r="C32" s="50" t="inlineStr">
        <is>
          <t>k trucks (census fit)</t>
        </is>
      </c>
      <c r="D32" s="50" t="n"/>
      <c r="E32" s="50" t="n">
        <v>0.879</v>
      </c>
      <c r="F32" s="50" t="inlineStr">
        <is>
          <t>IHS 2000 trucks by age (incl. heavy)</t>
        </is>
      </c>
    </row>
    <row r="33">
      <c r="A33" s="50" t="inlineStr">
        <is>
          <t>sensitivity</t>
        </is>
      </c>
      <c r="B33" s="50" t="n">
        <v>2024</v>
      </c>
      <c r="C33" s="50" t="inlineStr">
        <is>
          <t>k mult 1.000: VIO 246M, 7+ 58.2%</t>
        </is>
      </c>
      <c r="D33" s="50" t="n"/>
      <c r="E33" s="50" t="inlineStr">
        <is>
          <t>R7+/0-6 0.751; P7+ 0.314; P0-6 0.127; drift +0.04pp/yr</t>
        </is>
      </c>
      <c r="F33" s="50" t="inlineStr">
        <is>
          <t>R,P refitted under this survival drift</t>
        </is>
      </c>
    </row>
    <row r="34">
      <c r="A34" s="50" t="inlineStr">
        <is>
          <t>sensitivity</t>
        </is>
      </c>
      <c r="B34" s="50" t="n">
        <v>2024</v>
      </c>
      <c r="C34" s="50" t="inlineStr">
        <is>
          <t>k mult 1.100: VIO 270M, 7+ 61.7%</t>
        </is>
      </c>
      <c r="D34" s="50" t="n"/>
      <c r="E34" s="50" t="inlineStr">
        <is>
          <t>R7+/0-6 0.640; P7+ 0.316; P0-6 0.127; drift +0.12pp/yr</t>
        </is>
      </c>
      <c r="F34" s="50" t="inlineStr">
        <is>
          <t>R,P refitted under this survival drift</t>
        </is>
      </c>
    </row>
    <row r="35">
      <c r="A35" s="50" t="inlineStr">
        <is>
          <t>sensitivity</t>
        </is>
      </c>
      <c r="B35" s="50" t="n">
        <v>2024</v>
      </c>
      <c r="C35" s="50" t="inlineStr">
        <is>
          <t>k mult 1.194: VIO 292M, 7+ 64.5%</t>
        </is>
      </c>
      <c r="D35" s="50" t="n"/>
      <c r="E35" s="50" t="inlineStr">
        <is>
          <t>R7+/0-6 0.565; P7+ 0.317; P0-6 0.127; drift +0.16pp/yr</t>
        </is>
      </c>
      <c r="F35" s="50" t="inlineStr">
        <is>
          <t>R,P refitted under this survival drift</t>
        </is>
      </c>
    </row>
    <row r="36">
      <c r="A36" s="50" t="inlineStr">
        <is>
          <t>sensitivity</t>
        </is>
      </c>
      <c r="B36" s="50" t="n">
        <v>2024</v>
      </c>
      <c r="C36" s="50" t="inlineStr">
        <is>
          <t>k mult 1.300: VIO 318M, 7+ 67.2%</t>
        </is>
      </c>
      <c r="D36" s="50" t="n"/>
      <c r="E36" s="50" t="inlineStr">
        <is>
          <t>R7+/0-6 0.500; P7+ 0.318; P0-6 0.126; drift +0.18pp/yr</t>
        </is>
      </c>
      <c r="F36" s="50" t="inlineStr">
        <is>
          <t>R,P refitted under this survival drift</t>
        </is>
      </c>
    </row>
    <row r="37">
      <c r="A37" s="50" t="inlineStr">
        <is>
          <t>bucket</t>
        </is>
      </c>
      <c r="B37" s="50" t="n">
        <v>2024</v>
      </c>
      <c r="C37" s="50" t="inlineStr">
        <is>
          <t>0 (new)</t>
        </is>
      </c>
      <c r="D37" s="50" t="n"/>
      <c r="E37" s="50" t="inlineStr">
        <is>
          <t>fleet 0.053; claims 0.040; TL 0.015; R 0.500; P 0.082; miles 15546</t>
        </is>
      </c>
      <c r="F37" s="50" t="inlineStr">
        <is>
          <t>model 2024</t>
        </is>
      </c>
    </row>
    <row r="38">
      <c r="A38" s="50" t="inlineStr">
        <is>
          <t>bucket</t>
        </is>
      </c>
      <c r="B38" s="50" t="n">
        <v>2024</v>
      </c>
      <c r="C38" s="50" t="inlineStr">
        <is>
          <t>1-3</t>
        </is>
      </c>
      <c r="D38" s="50" t="n"/>
      <c r="E38" s="50" t="inlineStr">
        <is>
          <t>fleet 0.146; claims 0.220; TL 0.102; R 1.000; P 0.103; miles 14911</t>
        </is>
      </c>
      <c r="F38" s="50" t="inlineStr">
        <is>
          <t>model 2024</t>
        </is>
      </c>
    </row>
    <row r="39">
      <c r="A39" s="50" t="inlineStr">
        <is>
          <t>bucket</t>
        </is>
      </c>
      <c r="B39" s="50" t="n">
        <v>2024</v>
      </c>
      <c r="C39" s="50" t="inlineStr">
        <is>
          <t>4-6</t>
        </is>
      </c>
      <c r="D39" s="50" t="n"/>
      <c r="E39" s="50" t="inlineStr">
        <is>
          <t>fleet 0.156; claims 0.236; TL 0.165; R 1.000; P 0.156; miles 13537</t>
        </is>
      </c>
      <c r="F39" s="50" t="inlineStr">
        <is>
          <t>model 2024</t>
        </is>
      </c>
    </row>
    <row r="40">
      <c r="A40" s="50" t="inlineStr">
        <is>
          <t>bucket</t>
        </is>
      </c>
      <c r="B40" s="50" t="n">
        <v>2024</v>
      </c>
      <c r="C40" s="50" t="inlineStr">
        <is>
          <t>7-12</t>
        </is>
      </c>
      <c r="D40" s="50" t="n"/>
      <c r="E40" s="50" t="inlineStr">
        <is>
          <t>fleet 0.291; claims 0.329; TL 0.385; R 0.749; P 0.260; miles 11396</t>
        </is>
      </c>
      <c r="F40" s="50" t="inlineStr">
        <is>
          <t>model 2024</t>
        </is>
      </c>
    </row>
    <row r="41">
      <c r="A41" s="50" t="inlineStr">
        <is>
          <t>bucket</t>
        </is>
      </c>
      <c r="B41" s="50" t="n">
        <v>2024</v>
      </c>
      <c r="C41" s="50" t="inlineStr">
        <is>
          <t>13+</t>
        </is>
      </c>
      <c r="D41" s="50" t="n"/>
      <c r="E41" s="50" t="inlineStr">
        <is>
          <t>fleet 0.354; claims 0.175; TL 0.333; R 0.327; P 0.424; miles 7701</t>
        </is>
      </c>
      <c r="F41" s="50" t="inlineStr">
        <is>
          <t>model 2024</t>
        </is>
      </c>
    </row>
  </sheetData>
  <mergeCells count="1">
    <mergeCell ref="A2:F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1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3" customWidth="1" min="3" max="3"/>
    <col width="13" customWidth="1" min="4" max="4"/>
    <col width="10" customWidth="1" min="5" max="5"/>
    <col width="12" customWidth="1" min="6" max="6"/>
    <col width="17" customWidth="1" min="7" max="7"/>
    <col width="10" customWidth="1" min="8" max="8"/>
    <col width="10" customWidth="1" min="9" max="9"/>
    <col width="14" customWidth="1" min="10" max="10"/>
    <col width="13" customWidth="1" min="11" max="11"/>
    <col width="16" customWidth="1" min="12" max="12"/>
    <col width="10" customWidth="1" min="13" max="13"/>
    <col width="16" customWidth="1" min="14" max="14"/>
  </cols>
  <sheetData>
    <row r="1">
      <c r="A1" s="1" t="inlineStr">
        <is>
          <t>capex_decomp.csv</t>
        </is>
      </c>
    </row>
    <row r="2" ht="42" customHeight="1">
      <c r="A2" s="6" t="inlineStr">
        <is>
          <t>Copart capex decomposition from 10-K PP&amp;E roll-forward (XBRL).</t>
        </is>
      </c>
    </row>
    <row r="3">
      <c r="A3" s="2" t="inlineStr">
        <is>
          <t>data/csv/capex_decomp.csv · 10 rows · BLUE = raw data as committed; do not type over it — edit the CSV and rebuild.</t>
        </is>
      </c>
    </row>
    <row r="4">
      <c r="A4" s="7" t="inlineStr">
        <is>
          <t>fy</t>
        </is>
      </c>
      <c r="B4" s="7" t="inlineStr">
        <is>
          <t>d_land</t>
        </is>
      </c>
      <c r="C4" s="7" t="inlineStr">
        <is>
          <t>d_buildings</t>
        </is>
      </c>
      <c r="D4" s="7" t="inlineStr">
        <is>
          <t>d_transport</t>
        </is>
      </c>
      <c r="E4" s="7" t="inlineStr">
        <is>
          <t>d_office</t>
        </is>
      </c>
      <c r="F4" s="7" t="inlineStr">
        <is>
          <t>d_software</t>
        </is>
      </c>
      <c r="G4" s="7" t="inlineStr">
        <is>
          <t>sum_delta_gross</t>
        </is>
      </c>
      <c r="H4" s="7" t="inlineStr">
        <is>
          <t>capex</t>
        </is>
      </c>
      <c r="I4" s="7" t="inlineStr">
        <is>
          <t>da</t>
        </is>
      </c>
      <c r="J4" s="7" t="inlineStr">
        <is>
          <t>growth_capex</t>
        </is>
      </c>
      <c r="K4" s="7" t="inlineStr">
        <is>
          <t>maint_capex</t>
        </is>
      </c>
      <c r="L4" s="7" t="inlineStr">
        <is>
          <t>maint_minus_da</t>
        </is>
      </c>
      <c r="M4" s="7" t="inlineStr">
        <is>
          <t>ebit</t>
        </is>
      </c>
      <c r="N4" s="7" t="inlineStr">
        <is>
          <t>owner_earnings</t>
        </is>
      </c>
    </row>
    <row r="5">
      <c r="A5" s="50" t="n">
        <v>2016</v>
      </c>
      <c r="B5" s="50" t="n">
        <v>75.03199999999998</v>
      </c>
      <c r="C5" s="50" t="n">
        <v>35.601</v>
      </c>
      <c r="D5" s="50" t="n">
        <v>14.95</v>
      </c>
      <c r="E5" s="50" t="n">
        <v>6.635999999999996</v>
      </c>
      <c r="F5" s="50" t="n">
        <v>-15.646</v>
      </c>
      <c r="G5" s="50" t="n">
        <v>116.573</v>
      </c>
      <c r="H5" s="50" t="n">
        <v>173.917</v>
      </c>
      <c r="I5" s="50" t="n">
        <v>48.575</v>
      </c>
      <c r="J5" s="50" t="n">
        <v>110.633</v>
      </c>
      <c r="K5" s="50" t="n">
        <v>63.28400000000002</v>
      </c>
      <c r="L5" s="50" t="n">
        <v>14.70900000000002</v>
      </c>
      <c r="M5" s="50" t="n">
        <v>406.47</v>
      </c>
      <c r="N5" s="50" t="n">
        <v>391.761</v>
      </c>
    </row>
    <row r="6">
      <c r="A6" s="50" t="n">
        <v>2017</v>
      </c>
      <c r="B6" s="50" t="n">
        <v>73.04600000000005</v>
      </c>
      <c r="C6" s="50" t="n">
        <v>65.959</v>
      </c>
      <c r="D6" s="50" t="n">
        <v>35.337</v>
      </c>
      <c r="E6" s="50" t="n">
        <v>0.3049999999999997</v>
      </c>
      <c r="F6" s="50" t="n">
        <v>-10.925</v>
      </c>
      <c r="G6" s="50" t="n">
        <v>163.722</v>
      </c>
      <c r="H6" s="50" t="n">
        <v>172.178</v>
      </c>
      <c r="I6" s="50" t="n">
        <v>57</v>
      </c>
      <c r="J6" s="50" t="n">
        <v>139.0050000000001</v>
      </c>
      <c r="K6" s="50" t="n">
        <v>33.17299999999994</v>
      </c>
      <c r="L6" s="50" t="n">
        <v>-23.82700000000006</v>
      </c>
      <c r="M6" s="50" t="n">
        <v>461.299</v>
      </c>
      <c r="N6" s="50" t="n">
        <v>485.126</v>
      </c>
    </row>
    <row r="7">
      <c r="A7" s="50" t="n">
        <v>2018</v>
      </c>
      <c r="B7" s="50" t="n">
        <v>132.698</v>
      </c>
      <c r="C7" s="50" t="n">
        <v>55.43900000000008</v>
      </c>
      <c r="D7" s="50" t="n">
        <v>70.48</v>
      </c>
      <c r="E7" s="50" t="n">
        <v>6.698999999999998</v>
      </c>
      <c r="F7" s="50" t="n">
        <v>-7.820999999999998</v>
      </c>
      <c r="G7" s="50" t="n">
        <v>257.4950000000001</v>
      </c>
      <c r="H7" s="50" t="n">
        <v>287.91</v>
      </c>
      <c r="I7" s="50" t="n">
        <v>78.598</v>
      </c>
      <c r="J7" s="50" t="n">
        <v>188.1370000000001</v>
      </c>
      <c r="K7" s="50" t="n">
        <v>99.77299999999997</v>
      </c>
      <c r="L7" s="50" t="n">
        <v>21.17499999999997</v>
      </c>
      <c r="M7" s="50" t="n">
        <v>584.345</v>
      </c>
      <c r="N7" s="50" t="n">
        <v>563.1700000000001</v>
      </c>
    </row>
    <row r="8">
      <c r="A8" s="50" t="n">
        <v>2019</v>
      </c>
      <c r="B8" s="50" t="n">
        <v>177.293</v>
      </c>
      <c r="C8" s="50" t="n">
        <v>75.65099999999995</v>
      </c>
      <c r="D8" s="50" t="n">
        <v>45.38200000000001</v>
      </c>
      <c r="E8" s="50" t="n">
        <v>4.723000000000006</v>
      </c>
      <c r="F8" s="50" t="n">
        <v>8.753999999999998</v>
      </c>
      <c r="G8" s="50" t="n">
        <v>311.803</v>
      </c>
      <c r="H8" s="50" t="n">
        <v>373.883</v>
      </c>
      <c r="I8" s="50" t="n">
        <v>84.895</v>
      </c>
      <c r="J8" s="50" t="n">
        <v>252.944</v>
      </c>
      <c r="K8" s="50" t="n">
        <v>120.939</v>
      </c>
      <c r="L8" s="50" t="n">
        <v>36.04400000000003</v>
      </c>
      <c r="M8" s="50" t="n">
        <v>716.475</v>
      </c>
      <c r="N8" s="50" t="n">
        <v>680.431</v>
      </c>
    </row>
    <row r="9">
      <c r="A9" s="50" t="n">
        <v>2020</v>
      </c>
      <c r="B9" s="50" t="n">
        <v>295.498</v>
      </c>
      <c r="C9" s="50" t="n">
        <v>246.361</v>
      </c>
      <c r="D9" s="50" t="n">
        <v>38.14000000000001</v>
      </c>
      <c r="E9" s="50" t="n">
        <v>7.725999999999999</v>
      </c>
      <c r="F9" s="50" t="n">
        <v>13.187</v>
      </c>
      <c r="G9" s="50" t="n">
        <v>600.912</v>
      </c>
      <c r="H9" s="50" t="n">
        <v>591.972</v>
      </c>
      <c r="I9" s="50" t="n">
        <v>101.39</v>
      </c>
      <c r="J9" s="50" t="n">
        <v>541.859</v>
      </c>
      <c r="K9" s="50" t="n">
        <v>50.11299999999994</v>
      </c>
      <c r="L9" s="50" t="n">
        <v>-51.27700000000006</v>
      </c>
      <c r="M9" s="50" t="n">
        <v>816.099</v>
      </c>
      <c r="N9" s="50" t="n">
        <v>867.3760000000001</v>
      </c>
    </row>
    <row r="10">
      <c r="A10" s="50" t="n">
        <v>2021</v>
      </c>
      <c r="B10" s="50" t="n">
        <v>192.9469999999999</v>
      </c>
      <c r="C10" s="50" t="n">
        <v>193.438</v>
      </c>
      <c r="D10" s="50" t="n">
        <v>52.19999999999999</v>
      </c>
      <c r="E10" s="50" t="n">
        <v>9.001999999999995</v>
      </c>
      <c r="F10" s="50" t="n">
        <v>13.549</v>
      </c>
      <c r="G10" s="50" t="n">
        <v>461.1359999999999</v>
      </c>
      <c r="H10" s="50" t="n">
        <v>462.996</v>
      </c>
      <c r="I10" s="50" t="n">
        <v>121.971</v>
      </c>
      <c r="J10" s="50" t="n">
        <v>386.3849999999999</v>
      </c>
      <c r="K10" s="50" t="n">
        <v>76.6110000000001</v>
      </c>
      <c r="L10" s="50" t="n">
        <v>-45.3599999999999</v>
      </c>
      <c r="M10" s="50" t="n">
        <v>1136.426</v>
      </c>
      <c r="N10" s="50" t="n">
        <v>1181.786</v>
      </c>
    </row>
    <row r="11">
      <c r="A11" s="50" t="n">
        <v>2022</v>
      </c>
      <c r="B11" s="50" t="n">
        <v>98.18399999999997</v>
      </c>
      <c r="C11" s="50" t="n">
        <v>82.91699999999992</v>
      </c>
      <c r="D11" s="50" t="n">
        <v>102.783</v>
      </c>
      <c r="E11" s="50" t="n">
        <v>4.799999999999997</v>
      </c>
      <c r="F11" s="50" t="n">
        <v>12.04599999999999</v>
      </c>
      <c r="G11" s="50" t="n">
        <v>300.7299999999998</v>
      </c>
      <c r="H11" s="50" t="n">
        <v>337.448</v>
      </c>
      <c r="I11" s="50" t="n">
        <v>137.985</v>
      </c>
      <c r="J11" s="50" t="n">
        <v>181.1009999999999</v>
      </c>
      <c r="K11" s="50" t="n">
        <v>156.3470000000001</v>
      </c>
      <c r="L11" s="50" t="n">
        <v>18.36200000000008</v>
      </c>
      <c r="M11" s="50" t="n">
        <v>1374.997</v>
      </c>
      <c r="N11" s="50" t="n">
        <v>1356.635</v>
      </c>
    </row>
    <row r="12">
      <c r="A12" s="50" t="n">
        <v>2023</v>
      </c>
      <c r="B12" s="50" t="n">
        <v>285.5550000000001</v>
      </c>
      <c r="C12" s="50" t="n">
        <v>130.489</v>
      </c>
      <c r="D12" s="50" t="n">
        <v>60.73100000000005</v>
      </c>
      <c r="E12" s="50" t="n">
        <v>6.303000000000011</v>
      </c>
      <c r="F12" s="50" t="n">
        <v>11.35900000000001</v>
      </c>
      <c r="G12" s="50" t="n">
        <v>494.4370000000001</v>
      </c>
      <c r="H12" s="50" t="n">
        <v>516.636</v>
      </c>
      <c r="I12" s="50" t="n">
        <v>159.478</v>
      </c>
      <c r="J12" s="50" t="n">
        <v>416.0440000000001</v>
      </c>
      <c r="K12" s="50" t="n">
        <v>100.5919999999999</v>
      </c>
      <c r="L12" s="50" t="n">
        <v>-58.88600000000014</v>
      </c>
      <c r="M12" s="50" t="n">
        <v>1486.569</v>
      </c>
      <c r="N12" s="50" t="n">
        <v>1545.455</v>
      </c>
    </row>
    <row r="13">
      <c r="A13" s="50" t="n">
        <v>2024</v>
      </c>
      <c r="B13" s="50" t="n">
        <v>215.6379999999999</v>
      </c>
      <c r="C13" s="50" t="n">
        <v>143.0710000000001</v>
      </c>
      <c r="D13" s="50" t="n">
        <v>114.841</v>
      </c>
      <c r="E13" s="50" t="n">
        <v>6.544999999999987</v>
      </c>
      <c r="F13" s="50" t="n">
        <v>15.426</v>
      </c>
      <c r="G13" s="50" t="n">
        <v>495.521</v>
      </c>
      <c r="H13" s="50" t="n">
        <v>510.99</v>
      </c>
      <c r="I13" s="50" t="n">
        <v>189.761</v>
      </c>
      <c r="J13" s="50" t="n">
        <v>358.7090000000001</v>
      </c>
      <c r="K13" s="50" t="n">
        <v>152.2809999999999</v>
      </c>
      <c r="L13" s="50" t="n">
        <v>-37.48000000000005</v>
      </c>
      <c r="M13" s="50" t="n">
        <v>1572.023</v>
      </c>
      <c r="N13" s="50" t="n">
        <v>1609.503</v>
      </c>
    </row>
    <row r="14">
      <c r="A14" s="50" t="n">
        <v>2025</v>
      </c>
      <c r="B14" s="50" t="n">
        <v>366.914</v>
      </c>
      <c r="C14" s="50" t="n">
        <v>201.28</v>
      </c>
      <c r="D14" s="50" t="n">
        <v>-24.94799999999998</v>
      </c>
      <c r="E14" s="50" t="n">
        <v>3.318000000000012</v>
      </c>
      <c r="F14" s="50" t="n">
        <v>15.03</v>
      </c>
      <c r="G14" s="50" t="n">
        <v>561.5939999999999</v>
      </c>
      <c r="H14" s="50" t="n">
        <v>568.99</v>
      </c>
      <c r="I14" s="50" t="n">
        <v>215.849</v>
      </c>
      <c r="J14" s="50" t="n">
        <v>568.194</v>
      </c>
      <c r="K14" s="50" t="n">
        <v>0.7960000000000491</v>
      </c>
      <c r="L14" s="50" t="n">
        <v>-215.0529999999999</v>
      </c>
      <c r="M14" s="50" t="n">
        <v>1696.714</v>
      </c>
      <c r="N14" s="50" t="n">
        <v>1911.767</v>
      </c>
    </row>
  </sheetData>
  <mergeCells count="1">
    <mergeCell ref="A2:N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10" customWidth="1" min="6" max="6"/>
    <col width="16" customWidth="1" min="7" max="7"/>
    <col width="18" customWidth="1" min="8" max="8"/>
    <col width="10" customWidth="1" min="9" max="9"/>
    <col width="16" customWidth="1" min="10" max="10"/>
  </cols>
  <sheetData>
    <row r="1">
      <c r="A1" s="1" t="inlineStr">
        <is>
          <t>owner_earnings.csv</t>
        </is>
      </c>
    </row>
    <row r="2" ht="42" customHeight="1">
      <c r="A2" s="6" t="inlineStr">
        <is>
          <t>Owner-earnings bridge (EBIT less non-land capex above D&amp;A), 10-K XBRL.</t>
        </is>
      </c>
    </row>
    <row r="3">
      <c r="A3" s="2" t="inlineStr">
        <is>
          <t>data/csv/owner_earnings.csv · 10 rows · BLUE = raw data as committed; do not type over it — edit the CSV and rebuild.</t>
        </is>
      </c>
    </row>
    <row r="4">
      <c r="A4" s="7" t="inlineStr">
        <is>
          <t>fy</t>
        </is>
      </c>
      <c r="B4" s="7" t="inlineStr">
        <is>
          <t>land</t>
        </is>
      </c>
      <c r="C4" s="7" t="inlineStr">
        <is>
          <t>d_land</t>
        </is>
      </c>
      <c r="D4" s="7" t="inlineStr">
        <is>
          <t>capex</t>
        </is>
      </c>
      <c r="E4" s="7" t="inlineStr">
        <is>
          <t>nonland_capex</t>
        </is>
      </c>
      <c r="F4" s="7" t="inlineStr">
        <is>
          <t>da_xbrl</t>
        </is>
      </c>
      <c r="G4" s="7" t="inlineStr">
        <is>
          <t>dep_plus_amort</t>
        </is>
      </c>
      <c r="H4" s="7" t="inlineStr">
        <is>
          <t>nonland_minus_da</t>
        </is>
      </c>
      <c r="I4" s="7" t="inlineStr">
        <is>
          <t>ebit</t>
        </is>
      </c>
      <c r="J4" s="7" t="inlineStr">
        <is>
          <t>owner_earnings</t>
        </is>
      </c>
    </row>
    <row r="5">
      <c r="A5" s="50" t="n">
        <v>2016</v>
      </c>
      <c r="B5" s="50" t="n">
        <v>556.78</v>
      </c>
      <c r="C5" s="50" t="n">
        <v>75.03199999999998</v>
      </c>
      <c r="D5" s="50" t="n">
        <v>173.917</v>
      </c>
      <c r="E5" s="50" t="n">
        <v>98.88500000000002</v>
      </c>
      <c r="F5" s="50" t="n">
        <v>48.575</v>
      </c>
      <c r="G5" s="50" t="n"/>
      <c r="H5" s="50" t="n">
        <v>50.31000000000002</v>
      </c>
      <c r="I5" s="50" t="n">
        <v>406.47</v>
      </c>
      <c r="J5" s="50" t="n">
        <v>356.16</v>
      </c>
    </row>
    <row r="6">
      <c r="A6" s="50" t="n">
        <v>2017</v>
      </c>
      <c r="B6" s="50" t="n">
        <v>629.826</v>
      </c>
      <c r="C6" s="50" t="n">
        <v>73.04600000000005</v>
      </c>
      <c r="D6" s="50" t="n">
        <v>172.178</v>
      </c>
      <c r="E6" s="50" t="n">
        <v>99.13199999999995</v>
      </c>
      <c r="F6" s="50" t="n">
        <v>57</v>
      </c>
      <c r="G6" s="50" t="n"/>
      <c r="H6" s="50" t="n">
        <v>42.13199999999995</v>
      </c>
      <c r="I6" s="50" t="n">
        <v>461.299</v>
      </c>
      <c r="J6" s="50" t="n">
        <v>419.167</v>
      </c>
    </row>
    <row r="7">
      <c r="A7" s="50" t="n">
        <v>2018</v>
      </c>
      <c r="B7" s="50" t="n">
        <v>762.524</v>
      </c>
      <c r="C7" s="50" t="n">
        <v>132.698</v>
      </c>
      <c r="D7" s="50" t="n">
        <v>287.91</v>
      </c>
      <c r="E7" s="50" t="n">
        <v>155.212</v>
      </c>
      <c r="F7" s="50" t="n">
        <v>78.598</v>
      </c>
      <c r="G7" s="50" t="n">
        <v>64.5</v>
      </c>
      <c r="H7" s="50" t="n">
        <v>76.61400000000005</v>
      </c>
      <c r="I7" s="50" t="n">
        <v>584.345</v>
      </c>
      <c r="J7" s="50" t="n">
        <v>507.7309999999999</v>
      </c>
    </row>
    <row r="8">
      <c r="A8" s="50" t="n">
        <v>2019</v>
      </c>
      <c r="B8" s="50" t="n">
        <v>939.817</v>
      </c>
      <c r="C8" s="50" t="n">
        <v>177.293</v>
      </c>
      <c r="D8" s="50" t="n">
        <v>373.883</v>
      </c>
      <c r="E8" s="50" t="n">
        <v>196.59</v>
      </c>
      <c r="F8" s="50" t="n">
        <v>84.895</v>
      </c>
      <c r="G8" s="50" t="n">
        <v>74.39999999999999</v>
      </c>
      <c r="H8" s="50" t="n">
        <v>111.695</v>
      </c>
      <c r="I8" s="50" t="n">
        <v>716.475</v>
      </c>
      <c r="J8" s="50" t="n">
        <v>604.78</v>
      </c>
    </row>
    <row r="9">
      <c r="A9" s="50" t="n">
        <v>2020</v>
      </c>
      <c r="B9" s="50" t="n">
        <v>1235.315</v>
      </c>
      <c r="C9" s="50" t="n">
        <v>295.498</v>
      </c>
      <c r="D9" s="50" t="n">
        <v>591.972</v>
      </c>
      <c r="E9" s="50" t="n">
        <v>296.4739999999999</v>
      </c>
      <c r="F9" s="50" t="n">
        <v>101.39</v>
      </c>
      <c r="G9" s="50" t="n">
        <v>92.5</v>
      </c>
      <c r="H9" s="50" t="n">
        <v>195.0839999999999</v>
      </c>
      <c r="I9" s="50" t="n">
        <v>816.099</v>
      </c>
      <c r="J9" s="50" t="n">
        <v>621.0150000000001</v>
      </c>
    </row>
    <row r="10">
      <c r="A10" s="50" t="n">
        <v>2021</v>
      </c>
      <c r="B10" s="50" t="n">
        <v>1428.262</v>
      </c>
      <c r="C10" s="50" t="n">
        <v>192.9469999999999</v>
      </c>
      <c r="D10" s="50" t="n">
        <v>462.996</v>
      </c>
      <c r="E10" s="50" t="n">
        <v>270.0490000000001</v>
      </c>
      <c r="F10" s="50" t="n">
        <v>121.971</v>
      </c>
      <c r="G10" s="50" t="n">
        <v>115</v>
      </c>
      <c r="H10" s="50" t="n">
        <v>148.0780000000001</v>
      </c>
      <c r="I10" s="50" t="n">
        <v>1136.426</v>
      </c>
      <c r="J10" s="50" t="n">
        <v>988.3479999999998</v>
      </c>
    </row>
    <row r="11">
      <c r="A11" s="50" t="n">
        <v>2022</v>
      </c>
      <c r="B11" s="50" t="n">
        <v>1526.446</v>
      </c>
      <c r="C11" s="50" t="n">
        <v>98.18399999999997</v>
      </c>
      <c r="D11" s="50" t="n">
        <v>337.448</v>
      </c>
      <c r="E11" s="50" t="n">
        <v>239.264</v>
      </c>
      <c r="F11" s="50" t="n">
        <v>137.985</v>
      </c>
      <c r="G11" s="50" t="n">
        <v>130.5</v>
      </c>
      <c r="H11" s="50" t="n">
        <v>101.279</v>
      </c>
      <c r="I11" s="50" t="n">
        <v>1374.997</v>
      </c>
      <c r="J11" s="50" t="n">
        <v>1273.718</v>
      </c>
    </row>
    <row r="12">
      <c r="A12" s="50" t="n">
        <v>2023</v>
      </c>
      <c r="B12" s="50" t="n">
        <v>1812.001</v>
      </c>
      <c r="C12" s="50" t="n">
        <v>285.5550000000001</v>
      </c>
      <c r="D12" s="50" t="n">
        <v>516.636</v>
      </c>
      <c r="E12" s="50" t="n">
        <v>231.0809999999999</v>
      </c>
      <c r="F12" s="50" t="n">
        <v>159.478</v>
      </c>
      <c r="G12" s="50" t="n">
        <v>147.1</v>
      </c>
      <c r="H12" s="50" t="n">
        <v>71.60299999999989</v>
      </c>
      <c r="I12" s="50" t="n">
        <v>1486.569</v>
      </c>
      <c r="J12" s="50" t="n">
        <v>1414.966</v>
      </c>
    </row>
    <row r="13">
      <c r="A13" s="50" t="n">
        <v>2024</v>
      </c>
      <c r="B13" s="50" t="n">
        <v>2027.639</v>
      </c>
      <c r="C13" s="50" t="n">
        <v>215.6379999999999</v>
      </c>
      <c r="D13" s="50" t="n">
        <v>510.99</v>
      </c>
      <c r="E13" s="50" t="n">
        <v>295.3520000000001</v>
      </c>
      <c r="F13" s="50" t="n">
        <v>189.761</v>
      </c>
      <c r="G13" s="50" t="n">
        <v>176.3</v>
      </c>
      <c r="H13" s="50" t="n">
        <v>105.5910000000001</v>
      </c>
      <c r="I13" s="50" t="n">
        <v>1572.023</v>
      </c>
      <c r="J13" s="50" t="n">
        <v>1466.432</v>
      </c>
    </row>
    <row r="14">
      <c r="A14" s="50" t="n">
        <v>2025</v>
      </c>
      <c r="B14" s="50" t="n">
        <v>2394.553</v>
      </c>
      <c r="C14" s="50" t="n">
        <v>366.914</v>
      </c>
      <c r="D14" s="50" t="n">
        <v>568.99</v>
      </c>
      <c r="E14" s="50" t="n">
        <v>202.076</v>
      </c>
      <c r="F14" s="50" t="n">
        <v>215.849</v>
      </c>
      <c r="G14" s="50" t="n">
        <v>201.9</v>
      </c>
      <c r="H14" s="50" t="n">
        <v>-13.77299999999997</v>
      </c>
      <c r="I14" s="50" t="n">
        <v>1696.714</v>
      </c>
      <c r="J14" s="50" t="n">
        <v>1710.487</v>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2026-09-15T17:11:00Z</dcterms:created>
  <dcterms:modified xmlns:dcterms="http://purl.org/dc/terms/" xmlns:xsi="http://www.w3.org/2001/XMLSchema-instance" xsi:type="dcterms:W3CDTF">2026-09-15T17:11:01Z</dcterms:modified>
</cp:coreProperties>
</file>