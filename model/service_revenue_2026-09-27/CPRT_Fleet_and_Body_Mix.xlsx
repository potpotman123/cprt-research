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0533ad3b5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PM Summary" sheetId="1" r:id="R708d80b569ce4645"/>
    <x:sheet xmlns:r="http://schemas.openxmlformats.org/officeDocument/2006/relationships" name="Volume Build" sheetId="2" r:id="Racb60d4accf744c0"/>
    <x:sheet xmlns:r="http://schemas.openxmlformats.org/officeDocument/2006/relationships" name="Vehicle Economics" sheetId="3" r:id="R226d3acab34d4c83"/>
    <x:sheet xmlns:r="http://schemas.openxmlformats.org/officeDocument/2006/relationships" name="Revenue Bridge" sheetId="4" r:id="R4c75c2458b414b15"/>
    <x:sheet xmlns:r="http://schemas.openxmlformats.org/officeDocument/2006/relationships" name="CALCULATIONS" sheetId="5" r:id="R6f4d2cc16eea4c60"/>
    <x:sheet xmlns:r="http://schemas.openxmlformats.org/officeDocument/2006/relationships" name="Cohort Roll" sheetId="6" r:id="R01eb48f9b0d2400f"/>
    <x:sheet xmlns:r="http://schemas.openxmlformats.org/officeDocument/2006/relationships" name="Repair Costs" sheetId="7" r:id="R8d3df864c8614564"/>
    <x:sheet xmlns:r="http://schemas.openxmlformats.org/officeDocument/2006/relationships" name="Loss Calibration" sheetId="8" r:id="Rf7aba59bfcf94389"/>
    <x:sheet xmlns:r="http://schemas.openxmlformats.org/officeDocument/2006/relationships" name="Fee Calculation" sheetId="9" r:id="R85cc5b236bae4ad8"/>
    <x:sheet xmlns:r="http://schemas.openxmlformats.org/officeDocument/2006/relationships" name="DATA" sheetId="10" r:id="R52777292bfae4d28"/>
    <x:sheet xmlns:r="http://schemas.openxmlformats.org/officeDocument/2006/relationships" name="AD Financials" sheetId="11" r:id="Re2ddd6e4ca094268"/>
    <x:sheet xmlns:r="http://schemas.openxmlformats.org/officeDocument/2006/relationships" name="AD Fleet" sheetId="12" r:id="Re36ff5d2a3b744b2"/>
    <x:sheet xmlns:r="http://schemas.openxmlformats.org/officeDocument/2006/relationships" name="AD Repair" sheetId="13" r:id="Rf541e619b0f4485c"/>
    <x:sheet xmlns:r="http://schemas.openxmlformats.org/officeDocument/2006/relationships" name="AD Fees &amp; TLF" sheetId="14" r:id="Re0f1149e8a83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;(#,##0.0);&quot;-&quot;"/>
    <x:numFmt numFmtId="201" formatCode="mmm-yy"/>
    <x:numFmt numFmtId="202" formatCode="0"/>
    <x:numFmt numFmtId="203" formatCode="0.00%;(0.00%);&quot;-&quot;"/>
    <x:numFmt numFmtId="204" formatCode="#,##0"/>
    <x:numFmt numFmtId="205" formatCode="0.000&quot;x&quot;"/>
    <x:numFmt numFmtId="206" formatCode="0.000"/>
    <x:numFmt numFmtId="207" formatCode="0.00&quot;x&quot;"/>
    <x:numFmt numFmtId="208" formatCode="0.00000"/>
    <x:numFmt numFmtId="209" formatCode="0.0000"/>
    <x:numFmt numFmtId="210" formatCode="0.000000"/>
  </x:numFmts>
  <x:fonts count="12">
    <x:font>
      <x:sz val="11"/>
      <x:name val="Carlito"/>
    </x:font>
    <x:font>
      <x:sz val="12"/>
      <x:name val="Garamond"/>
    </x:font>
    <x:font>
      <x:b/>
      <x:sz val="15"/>
      <x:name val="Garamond"/>
    </x:font>
    <x:font>
      <x:sz val="10"/>
      <x:color rgb="FF555555"/>
      <x:name val="Garamond"/>
    </x:font>
    <x:font>
      <x:b/>
      <x:sz val="12"/>
      <x:name val="Garamond"/>
    </x:font>
    <x:font>
      <x:sz val="12"/>
      <x:color rgb="FF0000FF"/>
      <x:name val="Garamond"/>
    </x:font>
    <x:font>
      <x:b/>
      <x:sz val="12"/>
      <x:color rgb="FF0000FF"/>
      <x:name val="Garamond"/>
    </x:font>
    <x:font>
      <x:sz val="12"/>
      <x:color rgb="FF008000"/>
      <x:name val="Garamond"/>
    </x:font>
    <x:font>
      <x:sz val="12"/>
      <x:color rgb="FF000000"/>
      <x:name val="Garamond"/>
    </x:font>
    <x:font>
      <x:sz val="12"/>
      <x:color rgb="FFFF0000"/>
      <x:name val="Garamond"/>
    </x:font>
    <x:font>
      <x:b/>
      <x:sz val="12"/>
      <x:color rgb="FF000000"/>
      <x:name val="Garamond"/>
    </x:font>
    <x:font>
      <x:b/>
      <x:sz val="12"/>
      <x:color rgb="FF008000"/>
      <x:name val="Garamond"/>
    </x:font>
  </x:fonts>
  <x:fills count="6">
    <x:fill>
      <x:patternFill patternType="none"/>
    </x:fill>
    <x:fill>
      <x:patternFill patternType="gray125"/>
    </x:fill>
    <x:fill>
      <x:patternFill patternType="solid">
        <x:fgColor rgb="FFE8E8E8"/>
      </x:patternFill>
    </x:fill>
    <x:fill>
      <x:patternFill patternType="solid">
        <x:fgColor rgb="FFFFF5D6"/>
      </x:patternFill>
    </x:fill>
    <x:fill>
      <x:patternFill patternType="solid">
        <x:fgColor rgb="FFE9E1ED"/>
      </x:patternFill>
    </x:fill>
    <x:fill>
      <x:patternFill patternType="solid">
        <x:fgColor rgb="FFE5EDF4"/>
      </x:patternFill>
    </x:fill>
  </x:fills>
  <x:borders count="10">
    <x:border/>
    <x:border>
      <x:top style="thin">
        <x:color rgb="FF9A9A9A"/>
      </x:top>
      <x:bottom style="thin">
        <x:color rgb="FF9A9A9A"/>
      </x:bottom>
    </x:border>
    <x:border>
      <x:top style="thin">
        <x:color rgb="FF153650"/>
      </x:top>
      <x:bottom style="double">
        <x:color rgb="FF153650"/>
      </x:bottom>
    </x:border>
    <x:border>
      <x:left style="thin">
        <x:color rgb="FF153650"/>
      </x:left>
      <x:top style="thin">
        <x:color rgb="FF9A9A9A"/>
      </x:top>
      <x:bottom style="thin">
        <x:color rgb="FF9A9A9A"/>
      </x:bottom>
    </x:border>
    <x:border>
      <x:left style="thin">
        <x:color rgb="FF153650"/>
      </x:left>
    </x:border>
    <x:border>
      <x:left style="thin">
        <x:color rgb="FF153650"/>
      </x:left>
      <x:top style="thin">
        <x:color rgb="FF153650"/>
      </x:top>
      <x:bottom style="double">
        <x:color rgb="FF153650"/>
      </x:bottom>
    </x:border>
    <x:border>
      <x:left style="thin">
        <x:color rgb="FF153650"/>
      </x:left>
      <x:bottom style="thin">
        <x:color rgb="FF9A9A9A"/>
      </x:bottom>
    </x:border>
    <x:border>
      <x:bottom style="hair">
        <x:color rgb="FFD4D4D4"/>
      </x:bottom>
    </x:border>
    <x:border>
      <x:left style="thin">
        <x:color rgb="FF153650"/>
      </x:left>
      <x:bottom style="hair">
        <x:color rgb="FFD4D4D4"/>
      </x:bottom>
    </x:border>
    <x:border>
      <x:top style="thin">
        <x:color rgb="FF153650"/>
      </x:top>
      <x:bottom style="hair">
        <x:color rgb="FFD4D4D4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4" fillId="2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0" fontId="4" fillId="2" borderId="1" xfId="0" applyNumberFormat="1" applyFont="1" applyFill="1" applyBorder="1" applyAlignment="1">
      <x:alignment vertical="center" wrapText="1"/>
    </x:xf>
    <x:xf numFmtId="202" fontId="4" fillId="2" borderId="1" xfId="0" applyNumberFormat="1" applyFont="1" applyFill="1" applyBorder="1" applyAlignment="1">
      <x:alignment vertical="center" wrapText="1"/>
    </x:xf>
    <x:xf numFmtId="204" fontId="5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9" fillId="3" borderId="0" xfId="0" applyNumberFormat="1" applyFont="1" applyFill="1" applyBorder="1" applyAlignment="1">
      <x:alignment vertical="center"/>
    </x:xf>
    <x:xf numFmtId="205" fontId="9" fillId="3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3" fontId="9" fillId="3" borderId="0" xfId="0" applyNumberFormat="1" applyFont="1" applyFill="1" applyBorder="1" applyAlignment="1">
      <x:alignment vertical="center"/>
    </x:xf>
    <x:xf numFmtId="206" fontId="9" fillId="3" borderId="0" xfId="0" applyNumberFormat="1" applyFont="1" applyFill="1" applyBorder="1" applyAlignment="1">
      <x:alignment vertical="center"/>
    </x:xf>
    <x:xf numFmtId="207" fontId="9" fillId="3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208" fontId="9" fillId="3" borderId="0" xfId="0" applyNumberFormat="1" applyFont="1" applyFill="1" applyBorder="1" applyAlignment="1">
      <x:alignment vertical="center"/>
    </x:xf>
    <x:xf numFmtId="200" fontId="8" fillId="3" borderId="0" xfId="0" applyNumberFormat="1" applyFont="1" applyFill="1" applyBorder="1" applyAlignment="1">
      <x:alignment vertical="center"/>
    </x:xf>
    <x:xf numFmtId="203" fontId="8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203" fontId="11" fillId="0" borderId="2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9" fontId="8" fillId="0" borderId="0" xfId="0" applyNumberFormat="1" applyFont="1" applyFill="1" applyBorder="1" applyAlignment="1">
      <x:alignment vertical="center"/>
    </x:xf>
    <x:xf numFmtId="209" fontId="7" fillId="0" borderId="0" xfId="0" applyNumberFormat="1" applyFont="1" applyFill="1" applyBorder="1" applyAlignment="1">
      <x:alignment vertical="center"/>
    </x:xf>
    <x:xf numFmtId="209" fontId="4" fillId="2" borderId="1" xfId="0" applyNumberFormat="1" applyFont="1" applyFill="1" applyBorder="1" applyAlignment="1">
      <x:alignment vertical="center"/>
    </x:xf>
    <x:xf numFmtId="209" fontId="4" fillId="2" borderId="1" xfId="0" applyNumberFormat="1" applyFont="1" applyFill="1" applyBorder="1" applyAlignment="1">
      <x:alignment vertical="center" wrapText="1"/>
    </x:xf>
    <x:xf numFmtId="210" fontId="7" fillId="0" borderId="0" xfId="0" applyNumberFormat="1" applyFont="1" applyFill="1" applyBorder="1" applyAlignment="1">
      <x:alignment vertical="center"/>
    </x:xf>
    <x:xf numFmtId="210" fontId="8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200" fontId="10" fillId="4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vertical="center"/>
    </x:xf>
    <x:xf numFmtId="200" fontId="4" fillId="2" borderId="3" xfId="0" applyNumberFormat="1" applyFont="1" applyFill="1" applyBorder="1" applyAlignment="1">
      <x:alignment vertical="center"/>
    </x:xf>
    <x:xf numFmtId="200" fontId="8" fillId="0" borderId="4" xfId="0" applyNumberFormat="1" applyFont="1" applyFill="1" applyBorder="1" applyAlignment="1">
      <x:alignment vertical="center"/>
    </x:xf>
    <x:xf numFmtId="200" fontId="10" fillId="4" borderId="5" xfId="0" applyNumberFormat="1" applyFont="1" applyFill="1" applyBorder="1" applyAlignment="1">
      <x:alignment vertical="center"/>
    </x:xf>
    <x:xf numFmtId="203" fontId="8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1" fontId="1" fillId="5" borderId="4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203" fontId="7" fillId="0" borderId="4" xfId="0" applyNumberFormat="1" applyFont="1" applyFill="1" applyBorder="1" applyAlignment="1">
      <x:alignment vertical="center"/>
    </x:xf>
    <x:xf numFmtId="203" fontId="11" fillId="0" borderId="5" xfId="0" applyNumberFormat="1" applyFont="1" applyFill="1" applyBorder="1" applyAlignment="1">
      <x:alignment vertical="center"/>
    </x:xf>
    <x:xf numFmtId="203" fontId="8" fillId="3" borderId="4" xfId="0" applyNumberFormat="1" applyFont="1" applyFill="1" applyBorder="1" applyAlignment="1">
      <x:alignment vertical="center"/>
    </x:xf>
    <x:xf numFmtId="203" fontId="9" fillId="3" borderId="4" xfId="0" applyNumberFormat="1" applyFont="1" applyFill="1" applyBorder="1" applyAlignment="1">
      <x:alignment vertical="center"/>
    </x:xf>
    <x:xf numFmtId="200" fontId="10" fillId="0" borderId="5" xfId="0" applyNumberFormat="1" applyFont="1" applyFill="1" applyBorder="1" applyAlignment="1">
      <x:alignment vertical="center"/>
    </x:xf>
    <x:xf numFmtId="203" fontId="7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8" fillId="0" borderId="7" xfId="0" applyNumberFormat="1" applyFont="1" applyFill="1" applyBorder="1" applyAlignment="1">
      <x:alignment vertical="center"/>
    </x:xf>
    <x:xf numFmtId="200" fontId="8" fillId="0" borderId="8" xfId="0" applyNumberFormat="1" applyFont="1" applyFill="1" applyBorder="1" applyAlignment="1">
      <x:alignment vertical="center"/>
    </x:xf>
    <x:xf numFmtId="203" fontId="8" fillId="0" borderId="7" xfId="0" applyNumberFormat="1" applyFont="1" applyFill="1" applyBorder="1" applyAlignment="1">
      <x:alignment vertical="center"/>
    </x:xf>
    <x:xf numFmtId="203" fontId="8" fillId="0" borderId="8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7" fillId="0" borderId="7" xfId="0" applyNumberFormat="1" applyFont="1" applyFill="1" applyBorder="1" applyAlignment="1">
      <x:alignment vertical="center"/>
    </x:xf>
    <x:xf numFmtId="200" fontId="7" fillId="0" borderId="8" xfId="0" applyNumberFormat="1" applyFont="1" applyFill="1" applyBorder="1" applyAlignment="1">
      <x:alignment vertical="center"/>
    </x:xf>
    <x:xf numFmtId="203" fontId="7" fillId="0" borderId="7" xfId="0" applyNumberFormat="1" applyFont="1" applyFill="1" applyBorder="1" applyAlignment="1">
      <x:alignment vertical="center"/>
    </x:xf>
    <x:xf numFmtId="203" fontId="7" fillId="0" borderId="8" xfId="0" applyNumberFormat="1" applyFont="1" applyFill="1" applyBorder="1" applyAlignment="1">
      <x:alignment vertical="center"/>
    </x:xf>
    <x:xf numFmtId="206" fontId="9" fillId="3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8" fontId="9" fillId="3" borderId="7" xfId="0" applyNumberFormat="1" applyFont="1" applyFill="1" applyBorder="1" applyAlignment="1">
      <x:alignment vertical="center"/>
    </x:xf>
    <x:xf numFmtId="203" fontId="9" fillId="3" borderId="7" xfId="0" applyNumberFormat="1" applyFont="1" applyFill="1" applyBorder="1" applyAlignment="1">
      <x:alignment vertical="center"/>
    </x:xf>
    <x:xf numFmtId="205" fontId="9" fillId="3" borderId="7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0" fontId="11" fillId="0" borderId="9" xfId="0" applyNumberFormat="1" applyFont="1" applyFill="1" applyBorder="1" applyAlignment="1">
      <x:alignment vertical="center"/>
    </x:xf>
    <x:xf numFmtId="205" fontId="8" fillId="0" borderId="7" xfId="0" applyNumberFormat="1" applyFont="1" applyFill="1" applyBorder="1" applyAlignment="1">
      <x:alignment vertical="center"/>
    </x:xf>
    <x:xf numFmtId="206" fontId="8" fillId="0" borderId="7" xfId="0" applyNumberFormat="1" applyFont="1" applyFill="1" applyBorder="1" applyAlignment="1">
      <x:alignment vertical="center"/>
    </x:xf>
    <x:xf numFmtId="203" fontId="8" fillId="3" borderId="8" xfId="0" applyNumberFormat="1" applyFont="1" applyFill="1" applyBorder="1" applyAlignment="1">
      <x:alignment vertical="center"/>
    </x:xf>
    <x:xf numFmtId="203" fontId="8" fillId="3" borderId="7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203" fontId="9" fillId="3" borderId="8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40311ddcd4e71" /><Relationship Type="http://schemas.openxmlformats.org/officeDocument/2006/relationships/theme" Target="/xl/theme/theme1.xml" Id="Re4b070d2f9a14086" /><Relationship Type="http://schemas.openxmlformats.org/officeDocument/2006/relationships/sharedStrings" Target="/xl/sharedStrings.xml" Id="R12a77d11ff434e92" /><Relationship Type="http://schemas.openxmlformats.org/officeDocument/2006/relationships/worksheet" Target="/xl/worksheets/sheet1.xml" Id="R708d80b569ce4645" /><Relationship Type="http://schemas.openxmlformats.org/officeDocument/2006/relationships/worksheet" Target="/xl/worksheets/sheet2.xml" Id="Racb60d4accf744c0" /><Relationship Type="http://schemas.openxmlformats.org/officeDocument/2006/relationships/worksheet" Target="/xl/worksheets/sheet3.xml" Id="R226d3acab34d4c83" /><Relationship Type="http://schemas.openxmlformats.org/officeDocument/2006/relationships/worksheet" Target="/xl/worksheets/sheet4.xml" Id="R4c75c2458b414b15" /><Relationship Type="http://schemas.openxmlformats.org/officeDocument/2006/relationships/worksheet" Target="/xl/worksheets/sheet5.xml" Id="R6f4d2cc16eea4c60" /><Relationship Type="http://schemas.openxmlformats.org/officeDocument/2006/relationships/worksheet" Target="/xl/worksheets/sheet6.xml" Id="R01eb48f9b0d2400f" /><Relationship Type="http://schemas.openxmlformats.org/officeDocument/2006/relationships/worksheet" Target="/xl/worksheets/sheet7.xml" Id="R8d3df864c8614564" /><Relationship Type="http://schemas.openxmlformats.org/officeDocument/2006/relationships/worksheet" Target="/xl/worksheets/sheet8.xml" Id="Rf7aba59bfcf94389" /><Relationship Type="http://schemas.openxmlformats.org/officeDocument/2006/relationships/worksheet" Target="/xl/worksheets/sheet9.xml" Id="R85cc5b236bae4ad8" /><Relationship Type="http://schemas.openxmlformats.org/officeDocument/2006/relationships/worksheet" Target="/xl/worksheets/sheet10.xml" Id="R52777292bfae4d28" /><Relationship Type="http://schemas.openxmlformats.org/officeDocument/2006/relationships/worksheet" Target="/xl/worksheets/sheet11.xml" Id="Re2ddd6e4ca094268" /><Relationship Type="http://schemas.openxmlformats.org/officeDocument/2006/relationships/worksheet" Target="/xl/worksheets/sheet12.xml" Id="Re36ff5d2a3b744b2" /><Relationship Type="http://schemas.openxmlformats.org/officeDocument/2006/relationships/worksheet" Target="/xl/worksheets/sheet13.xml" Id="Rf541e619b0f4485c" /><Relationship Type="http://schemas.openxmlformats.org/officeDocument/2006/relationships/worksheet" Target="/xl/worksheets/sheet14.xml" Id="Re0f1149e8a834f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3650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8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2"/>
      <x:c r="C2" s="4" t="str">
        <x:v>Copart service revenue projection ($m)</x:v>
      </x:c>
      <x:c r="D2" s="4"/>
      <x:c r="E2" s="4"/>
      <x:c r="F2" s="4"/>
      <x:c r="G2" s="4"/>
      <x:c r="H2" s="4"/>
      <x:c r="I2" s="4"/>
      <x:c r="J2" s="4"/>
      <x:c r="K2" s="4"/>
      <x:c r="L2" s="2"/>
    </x:row>
    <x:row r="3" ht="28" customHeight="1">
      <x:c r="A3" s="2"/>
      <x:c r="B3" s="2"/>
      <x:c r="C3" s="6" t="str">
        <x:v>Four main reading tabs; supporting calculations and source data follow. Six-month focus: Q1 / Q2 FY27.</x:v>
      </x:c>
      <x:c r="D3" s="6"/>
      <x:c r="E3" s="6"/>
      <x:c r="F3" s="6"/>
      <x:c r="G3" s="6"/>
      <x:c r="H3" s="6"/>
      <x:c r="I3" s="6"/>
      <x:c r="J3" s="6"/>
      <x:c r="K3" s="6"/>
      <x:c r="L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9" customHeight="1">
      <x:c r="A5" s="2"/>
      <x:c r="B5" s="2"/>
      <x:c r="C5" s="10" t="str">
        <x:v>Fiscal quarter</x:v>
      </x:c>
      <x:c r="D5" s="10" t="str">
        <x:v>Q1 FY26A</x:v>
      </x:c>
      <x:c r="E5" s="10" t="str">
        <x:v>Q2 FY26A</x:v>
      </x:c>
      <x:c r="F5" s="10" t="str">
        <x:v>Q3 FY26A</x:v>
      </x:c>
      <x:c r="G5" s="10" t="str">
        <x:v>Q4 FY26A</x:v>
      </x:c>
      <x:c r="H5" s="71" t="str">
        <x:v>Q1 FY27E</x:v>
      </x:c>
      <x:c r="I5" s="72" t="str">
        <x:v>Q2 FY27E</x:v>
      </x:c>
      <x:c r="J5" s="10" t="str">
        <x:v>Q3 FY27E</x:v>
      </x:c>
      <x:c r="K5" s="10" t="str">
        <x:v>Q4 FY27E</x:v>
      </x:c>
      <x:c r="L5" s="2" t="str">
        <x:v>H1 FY27E</x:v>
      </x:c>
    </x:row>
    <x:row r="6" ht="18" customHeight="1">
      <x:c r="A6" s="2"/>
      <x:c r="B6" s="2"/>
      <x:c r="C6" s="105" t="str">
        <x:v>Quarter ending</x:v>
      </x:c>
      <x:c r="D6" s="11" t="n">
        <x:v>45961.5</x:v>
      </x:c>
      <x:c r="E6" s="11" t="n">
        <x:v>46053.5</x:v>
      </x:c>
      <x:c r="F6" s="11" t="n">
        <x:v>46142.5</x:v>
      </x:c>
      <x:c r="G6" s="11" t="n">
        <x:v>46234.5</x:v>
      </x:c>
      <x:c r="H6" s="73" t="n">
        <x:v>46326.5</x:v>
      </x:c>
      <x:c r="I6" s="74" t="n">
        <x:v>46418.5</x:v>
      </x:c>
      <x:c r="J6" s="11" t="n">
        <x:v>46507.5</x:v>
      </x:c>
      <x:c r="K6" s="11" t="n">
        <x:v>46599.5</x:v>
      </x:c>
      <x:c r="L6" s="3" t="str">
        <x:v>Next two quarters</x:v>
      </x:c>
    </x:row>
    <x:row r="7" ht="21" customHeight="1">
      <x:c r="A7" s="2"/>
      <x:c r="B7" s="2"/>
      <x:c r="C7" s="10" t="str">
        <x:v>Service revenue</x:v>
      </x:c>
      <x:c r="D7" s="19"/>
      <x:c r="E7" s="19"/>
      <x:c r="F7" s="19"/>
      <x:c r="G7" s="19"/>
      <x:c r="H7" s="64"/>
      <x:c r="I7" s="19"/>
      <x:c r="J7" s="19"/>
      <x:c r="K7" s="19"/>
      <x:c r="L7" s="19"/>
    </x:row>
    <x:row r="8" ht="18" customHeight="1">
      <x:c r="A8" s="2"/>
      <x:c r="B8" s="2"/>
      <x:c r="C8" s="106" t="str">
        <x:v>US service revenue</x:v>
      </x:c>
      <x:c r="D8" s="83" t="n">
        <x:f>'Revenue Bridge'!D18</x:f>
        <x:v>855.534</x:v>
      </x:c>
      <x:c r="E8" s="83" t="n">
        <x:f>'Revenue Bridge'!E18</x:f>
        <x:v>819.467</x:v>
      </x:c>
      <x:c r="F8" s="83" t="n">
        <x:f>'Revenue Bridge'!F18</x:f>
        <x:v>895.464</x:v>
      </x:c>
      <x:c r="G8" s="83" t="n">
        <x:f>'Revenue Bridge'!G18</x:f>
        <x:v>817.822</x:v>
      </x:c>
      <x:c r="H8" s="84" t="n">
        <x:f>'Revenue Bridge'!H18</x:f>
        <x:v>848.0481790313263</x:v>
      </x:c>
      <x:c r="I8" s="83" t="n">
        <x:f>'Revenue Bridge'!I18</x:f>
        <x:v>812.0721585166934</x:v>
      </x:c>
      <x:c r="J8" s="83" t="n">
        <x:f>'Revenue Bridge'!J18</x:f>
        <x:v>887.1346953361073</x:v>
      </x:c>
      <x:c r="K8" s="83" t="n">
        <x:f>'Revenue Bridge'!K18</x:f>
        <x:v>809.9868871747083</x:v>
      </x:c>
      <x:c r="L8" s="83" t="n">
        <x:f>SUM(H8:I8)</x:f>
        <x:v>1660.1203375480197</x:v>
      </x:c>
    </x:row>
    <x:row r="9" ht="18" customHeight="1">
      <x:c r="A9" s="2"/>
      <x:c r="B9" s="2"/>
      <x:c r="C9" s="106" t="str">
        <x:v>International service revenue</x:v>
      </x:c>
      <x:c r="D9" s="83" t="n">
        <x:f>'Revenue Bridge'!D22</x:f>
        <x:v>136.311</x:v>
      </x:c>
      <x:c r="E9" s="83" t="n">
        <x:f>'Revenue Bridge'!E22</x:f>
        <x:v>132.584</x:v>
      </x:c>
      <x:c r="F9" s="83" t="n">
        <x:f>'Revenue Bridge'!F22</x:f>
        <x:v>160.616</x:v>
      </x:c>
      <x:c r="G9" s="83" t="n">
        <x:f>'Revenue Bridge'!G22</x:f>
        <x:v>151.722</x:v>
      </x:c>
      <x:c r="H9" s="84" t="n">
        <x:f>'Revenue Bridge'!H22</x:f>
        <x:v>157.39731454534387</x:v>
      </x:c>
      <x:c r="I9" s="83" t="n">
        <x:f>'Revenue Bridge'!I22</x:f>
        <x:v>153.0937749094341</x:v>
      </x:c>
      <x:c r="J9" s="83" t="n">
        <x:f>'Revenue Bridge'!J22</x:f>
        <x:v>185.46212024719173</x:v>
      </x:c>
      <x:c r="K9" s="83" t="n">
        <x:f>'Revenue Bridge'!K22</x:f>
        <x:v>175.19228350939147</x:v>
      </x:c>
      <x:c r="L9" s="83" t="n">
        <x:f>SUM(H9:I9)</x:f>
        <x:v>310.491089454778</x:v>
      </x:c>
    </x:row>
    <x:row r="10" ht="18" customHeight="1">
      <x:c r="A10" s="2"/>
      <x:c r="B10" s="2"/>
      <x:c r="C10" s="107" t="str">
        <x:v>Total service revenue</x:v>
      </x:c>
      <x:c r="D10" s="61" t="n">
        <x:f>'Revenue Bridge'!D24</x:f>
        <x:v>991.845</x:v>
      </x:c>
      <x:c r="E10" s="61" t="n">
        <x:f>'Revenue Bridge'!E24</x:f>
        <x:v>952.0509999999999</x:v>
      </x:c>
      <x:c r="F10" s="61" t="n">
        <x:f>'Revenue Bridge'!F24</x:f>
        <x:v>1056.0800000000002</x:v>
      </x:c>
      <x:c r="G10" s="61" t="n">
        <x:f>'Revenue Bridge'!G24</x:f>
        <x:v>969.544</x:v>
      </x:c>
      <x:c r="H10" s="66" t="n">
        <x:f>'Revenue Bridge'!H24</x:f>
        <x:v>1005.4454935766702</x:v>
      </x:c>
      <x:c r="I10" s="61" t="n">
        <x:f>'Revenue Bridge'!I24</x:f>
        <x:v>965.1659334261276</x:v>
      </x:c>
      <x:c r="J10" s="61" t="n">
        <x:f>'Revenue Bridge'!J24</x:f>
        <x:v>1072.596815583299</x:v>
      </x:c>
      <x:c r="K10" s="61" t="n">
        <x:f>'Revenue Bridge'!K24</x:f>
        <x:v>985.1791706840997</x:v>
      </x:c>
      <x:c r="L10" s="61" t="n">
        <x:f>SUM(H10:I10)</x:f>
        <x:v>1970.6114270027979</x:v>
      </x:c>
    </x:row>
    <x:row r="11" ht="18" customHeight="1">
      <x:c r="A11" s="2"/>
      <x:c r="B11" s="2"/>
      <x:c r="C11" s="105" t="str">
        <x:v>Service revenue growth, YoY</x:v>
      </x:c>
      <x:c r="D11" s="34" t="n">
        <x:f>'Revenue Bridge'!D25</x:f>
        <x:v>0.005585317782175636</x:v>
      </x:c>
      <x:c r="E11" s="34" t="n">
        <x:f>'Revenue Bridge'!E25</x:f>
        <x:v>-0.03957505490370539</x:v>
      </x:c>
      <x:c r="F11" s="34" t="n">
        <x:f>'Revenue Bridge'!F25</x:f>
        <x:v>0.02052885674638305</x:v>
      </x:c>
      <x:c r="G11" s="34" t="n">
        <x:f>'Revenue Bridge'!G25</x:f>
        <x:v>0.01394569597232409</x:v>
      </x:c>
      <x:c r="H11" s="67" t="n">
        <x:f>'Revenue Bridge'!H25</x:f>
        <x:v>0.013712317526095363</x:v>
      </x:c>
      <x:c r="I11" s="34" t="n">
        <x:f>'Revenue Bridge'!I25</x:f>
        <x:v>0.013775452602988292</x:v>
      </x:c>
      <x:c r="J11" s="34" t="n">
        <x:f>'Revenue Bridge'!J25</x:f>
        <x:v>0.015639739019107424</x:v>
      </x:c>
      <x:c r="K11" s="34" t="n">
        <x:f>'Revenue Bridge'!K25</x:f>
        <x:v>0.016126313693963112</x:v>
      </x:c>
      <x:c r="L11" s="34" t="n">
        <x:f>L10/SUM(D10:E10)-1</x:f>
        <x:v>0.013743238837261806</x:v>
      </x:c>
    </x:row>
    <x:row r="12" ht="18" customHeight="1">
      <x:c r="A12" s="2"/>
      <x:c r="B12" s="2"/>
      <x:c r="C12" s="105"/>
      <x:c r="D12" s="3"/>
      <x:c r="E12" s="3"/>
      <x:c r="F12" s="3"/>
      <x:c r="G12" s="3"/>
      <x:c r="H12" s="68"/>
      <x:c r="I12" s="3"/>
      <x:c r="J12" s="3"/>
      <x:c r="K12" s="3"/>
      <x:c r="L12" s="3"/>
    </x:row>
    <x:row r="13" ht="21" customHeight="1">
      <x:c r="A13" s="2"/>
      <x:c r="B13" s="2"/>
      <x:c r="C13" s="10" t="str">
        <x:v>Fleet contribution to the projection</x:v>
      </x:c>
      <x:c r="D13" s="19"/>
      <x:c r="E13" s="19"/>
      <x:c r="F13" s="19"/>
      <x:c r="G13" s="19"/>
      <x:c r="H13" s="64"/>
      <x:c r="I13" s="19"/>
      <x:c r="J13" s="19"/>
      <x:c r="K13" s="19"/>
      <x:c r="L13" s="19"/>
    </x:row>
    <x:row r="14" ht="18" customHeight="1">
      <x:c r="A14" s="2"/>
      <x:c r="B14" s="2"/>
      <x:c r="C14" s="106" t="str">
        <x:v>Auction-volume growth contribution</x:v>
      </x:c>
      <x:c r="D14" s="85" t="n">
        <x:f>'Volume Build'!D13</x:f>
        <x:v>-0.0025507625063388994</x:v>
      </x:c>
      <x:c r="E14" s="85" t="n">
        <x:f>'Volume Build'!E13</x:f>
        <x:v>-0.0017032062324067176</x:v>
      </x:c>
      <x:c r="F14" s="85" t="n">
        <x:f>'Volume Build'!F13</x:f>
        <x:v>-0.0016135703411231939</x:v>
      </x:c>
      <x:c r="G14" s="85" t="n">
        <x:f>'Volume Build'!G13</x:f>
        <x:v>-0.0017576326419478372</x:v>
      </x:c>
      <x:c r="H14" s="86" t="n">
        <x:f>'Volume Build'!H13</x:f>
        <x:v>-0.0019018026424854062</x:v>
      </x:c>
      <x:c r="I14" s="85" t="n">
        <x:f>'Volume Build'!I13</x:f>
        <x:v>-0.0020511966978340457</x:v>
      </x:c>
      <x:c r="J14" s="85" t="n">
        <x:f>'Volume Build'!J13</x:f>
        <x:v>-0.0022672643079676424</x:v>
      </x:c>
      <x:c r="K14" s="85" t="n">
        <x:f>'Volume Build'!K13</x:f>
        <x:v>-0.002504041424982284</x:v>
      </x:c>
      <x:c r="L14" s="87"/>
    </x:row>
    <x:row r="15" ht="18" customHeight="1">
      <x:c r="A15" s="2"/>
      <x:c r="B15" s="2"/>
      <x:c r="C15" s="106" t="str">
        <x:v>Composition contribution to RPU</x:v>
      </x:c>
      <x:c r="D15" s="85" t="n">
        <x:f>'Volume Build'!D16</x:f>
        <x:v>0.0030328143210822667</x:v>
      </x:c>
      <x:c r="E15" s="85" t="n">
        <x:f>'Volume Build'!E16</x:f>
        <x:v>0.0031268759001266133</x:v>
      </x:c>
      <x:c r="F15" s="85" t="n">
        <x:f>'Volume Build'!F16</x:f>
        <x:v>0.0030236491088393436</x:v>
      </x:c>
      <x:c r="G15" s="85" t="n">
        <x:f>'Volume Build'!G16</x:f>
        <x:v>0.0028602309780239032</x:v>
      </x:c>
      <x:c r="H15" s="86" t="n">
        <x:f>'Volume Build'!H16</x:f>
        <x:v>0.002697129656040298</x:v>
      </x:c>
      <x:c r="I15" s="85" t="n">
        <x:f>'Volume Build'!I16</x:f>
        <x:v>0.0025391585787375437</x:v>
      </x:c>
      <x:c r="J15" s="85" t="n">
        <x:f>'Volume Build'!J16</x:f>
        <x:v>0.0024440604187383475</x:v>
      </x:c>
      <x:c r="K15" s="85" t="n">
        <x:f>'Volume Build'!K16</x:f>
        <x:v>0.0023684937258461325</x:v>
      </x:c>
      <x:c r="L15" s="87"/>
    </x:row>
    <x:row r="16" ht="18" customHeight="1">
      <x:c r="A16" s="2"/>
      <x:c r="B16" s="2"/>
      <x:c r="C16" s="106" t="str">
        <x:v>Combined demographic revenue effect</x:v>
      </x:c>
      <x:c r="D16" s="85" t="n">
        <x:f>'Volume Build'!D17</x:f>
        <x:v>0.00047431582568435715</x:v>
      </x:c>
      <x:c r="E16" s="85" t="n">
        <x:f>'Volume Build'!E17</x:f>
        <x:v>0.0014183439531987307</x:v>
      </x:c>
      <x:c r="F16" s="85" t="n">
        <x:f>'Volume Build'!F17</x:f>
        <x:v>0.001405199897192233</x:v>
      </x:c>
      <x:c r="G16" s="85" t="n">
        <x:f>'Volume Build'!G17</x:f>
        <x:v>0.001097571100745487</x:v>
      </x:c>
      <x:c r="H16" s="86" t="n">
        <x:f>'Volume Build'!H17</x:f>
        <x:v>0.0007901976052480109</x:v>
      </x:c>
      <x:c r="I16" s="85" t="n">
        <x:f>'Volume Build'!I17</x:f>
        <x:v>0.00048275356721161344</x:v>
      </x:c>
      <x:c r="J16" s="85" t="n">
        <x:f>'Volume Build'!J17</x:f>
        <x:v>0.00017125477981672077</x:v>
      </x:c>
      <x:c r="K16" s="85" t="n">
        <x:f>'Volume Build'!K17</x:f>
        <x:v>-0.00014147850554047103</x:v>
      </x:c>
      <x:c r="L16" s="87"/>
    </x:row>
    <x:row r="17" ht="18" customHeight="1">
      <x:c r="A17" s="2"/>
      <x:c r="B17" s="2"/>
      <x:c r="C17" s="105"/>
      <x:c r="D17" s="3"/>
      <x:c r="E17" s="3"/>
      <x:c r="F17" s="3"/>
      <x:c r="G17" s="3"/>
      <x:c r="H17" s="68"/>
      <x:c r="I17" s="3"/>
      <x:c r="J17" s="3"/>
      <x:c r="K17" s="3"/>
      <x:c r="L17" s="3"/>
    </x:row>
    <x:row r="18" ht="18" customHeight="1">
      <x:c r="A18" s="2"/>
      <x:c r="B18" s="2"/>
      <x:c r="C18" s="106" t="str">
        <x:v>Incremental fleet adjustment ($m)</x:v>
      </x:c>
      <x:c r="D18" s="83" t="str">
        <x:f>'Revenue Bridge'!D17</x:f>
        <x:v>n.a.</x:v>
      </x:c>
      <x:c r="E18" s="83" t="str">
        <x:f>'Revenue Bridge'!E17</x:f>
        <x:v>n.a.</x:v>
      </x:c>
      <x:c r="F18" s="83" t="str">
        <x:f>'Revenue Bridge'!F17</x:f>
        <x:v>n.a.</x:v>
      </x:c>
      <x:c r="G18" s="83" t="str">
        <x:f>'Revenue Bridge'!G17</x:f>
        <x:v>n.a.</x:v>
      </x:c>
      <x:c r="H18" s="84" t="n">
        <x:f>'Revenue Bridge'!H17</x:f>
        <x:v>-0.2344340555188817</x:v>
      </x:c>
      <x:c r="I18" s="83" t="n">
        <x:f>'Revenue Bridge'!I17</x:f>
        <x:v>-0.4491534340154393</x:v>
      </x:c>
      <x:c r="J18" s="83" t="n">
        <x:f>'Revenue Bridge'!J17</x:f>
        <x:v>-0.7394766374189555</x:v>
      </x:c>
      <x:c r="K18" s="83" t="n">
        <x:f>'Revenue Bridge'!K17</x:f>
        <x:v>-0.9033675666695073</x:v>
      </x:c>
      <x:c r="L18" s="83" t="n">
        <x:f>SUM(H18:I18)</x:f>
        <x:v>-0.683587489534321</x:v>
      </x:c>
    </x:row>
    <x:row r="19" ht="18" customHeight="1">
      <x:c r="A19" s="2"/>
      <x:c r="B19" s="2"/>
      <x:c r="C19" s="105"/>
      <x:c r="D19" s="3"/>
      <x:c r="E19" s="3"/>
      <x:c r="F19" s="3"/>
      <x:c r="G19" s="3"/>
      <x:c r="H19" s="68"/>
      <x:c r="I19" s="3"/>
      <x:c r="J19" s="3"/>
      <x:c r="K19" s="3"/>
      <x:c r="L19" s="3"/>
    </x:row>
    <x:row r="20" ht="28" customHeight="1">
      <x:c r="A20" s="2"/>
      <x:c r="B20" s="2"/>
      <x:c r="C20" s="6" t="str">
        <x:v>Standalone Copart service revenue; pending ACV excluded. Latest-growth starting case with an incremental fleet adjustment, not a consensus-derived earnings forecast.</x:v>
      </x:c>
      <x:c r="D20" s="21"/>
      <x:c r="E20" s="21"/>
      <x:c r="F20" s="21"/>
      <x:c r="G20" s="21"/>
      <x:c r="H20" s="69"/>
      <x:c r="I20" s="21"/>
      <x:c r="J20" s="21"/>
      <x:c r="K20" s="21"/>
      <x:c r="L20" s="21"/>
    </x:row>
    <x:row r="21" ht="18" customHeight="1">
      <x:c r="A21" s="2"/>
      <x:c r="B21" s="2"/>
      <x:c r="C21" s="105"/>
      <x:c r="D21" s="3"/>
      <x:c r="E21" s="3"/>
      <x:c r="F21" s="3"/>
      <x:c r="G21" s="3"/>
      <x:c r="H21" s="68"/>
      <x:c r="I21" s="3"/>
      <x:c r="J21" s="3"/>
      <x:c r="K21" s="3"/>
      <x:c r="L21" s="3"/>
    </x:row>
    <x:row r="22" ht="28" customHeight="1">
      <x:c r="A22" s="2"/>
      <x:c r="B22" s="2"/>
      <x:c r="C22" s="6" t="str">
        <x:v>Read: Volume Build for cohorts → Vehicle Economics for repair/value/fees → Revenue Bridge for quarterly dollars. Red inputs are assumptions; blue values are source records.</x:v>
      </x:c>
      <x:c r="D22" s="21"/>
      <x:c r="E22" s="21"/>
      <x:c r="F22" s="21"/>
      <x:c r="G22" s="21"/>
      <x:c r="H22" s="69"/>
      <x:c r="I22" s="21"/>
      <x:c r="J22" s="21"/>
      <x:c r="K22" s="21"/>
      <x:c r="L22" s="21"/>
    </x:row>
    <x:row r="23" ht="18" customHeight="1">
      <x:c r="A23" s="2"/>
      <x:c r="B23" s="2"/>
      <x:c r="C23" s="105"/>
      <x:c r="D23" s="3"/>
      <x:c r="E23" s="3"/>
      <x:c r="F23" s="3"/>
      <x:c r="G23" s="3"/>
      <x:c r="H23" s="68"/>
      <x:c r="I23" s="3"/>
      <x:c r="J23" s="3"/>
      <x:c r="K23" s="3"/>
      <x:c r="L23" s="3"/>
    </x:row>
    <x:row r="24" ht="18" customHeight="1">
      <x:c r="A24" s="2"/>
      <x:c r="B24" s="2"/>
      <x:c r="C24" s="105"/>
      <x:c r="D24" s="3"/>
      <x:c r="E24" s="3"/>
      <x:c r="F24" s="3"/>
      <x:c r="G24" s="3"/>
      <x:c r="H24" s="68"/>
      <x:c r="I24" s="3"/>
      <x:c r="J24" s="3"/>
      <x:c r="K24" s="3"/>
      <x:c r="L24" s="3"/>
    </x:row>
    <x:row r="25" ht="18" customHeight="1">
      <x:c r="A25" s="2"/>
      <x:c r="B25" s="2"/>
      <x:c r="C25" s="105"/>
      <x:c r="D25" s="3"/>
      <x:c r="E25" s="3"/>
      <x:c r="F25" s="3"/>
      <x:c r="G25" s="3"/>
      <x:c r="H25" s="70"/>
      <x:c r="I25" s="3"/>
      <x:c r="J25" s="3"/>
      <x:c r="K25" s="3"/>
      <x:c r="L25" s="3"/>
    </x:row>
    <x:row r="26">
      <x:c r="C26" s="108"/>
    </x:row>
    <x:row r="27">
      <x:c r="C27" s="108"/>
    </x:row>
    <x:row r="28">
      <x:c r="C28" s="108"/>
    </x:row>
    <x:row r="29">
      <x:c r="C29" s="108"/>
    </x:row>
    <x:row r="30">
      <x:c r="C30" s="108"/>
    </x:row>
    <x:row r="31">
      <x:c r="C31" s="108"/>
    </x:row>
    <x:row r="32">
      <x:c r="C32" s="108"/>
    </x:row>
    <x:row r="33">
      <x:c r="C33" s="108"/>
    </x:row>
    <x:row r="34">
      <x:c r="C34" s="108"/>
    </x:row>
    <x:row r="35">
      <x:c r="C35" s="108"/>
    </x:row>
    <x:row r="36">
      <x:c r="C36" s="108"/>
    </x:row>
    <x:row r="37">
      <x:c r="C37" s="108"/>
    </x:row>
    <x:row r="38">
      <x:c r="C38" s="108"/>
    </x:row>
    <x:row r="39">
      <x:c r="C39" s="108"/>
    </x:row>
    <x:row r="40">
      <x:c r="C40" s="108"/>
    </x:row>
  </x:sheetData>
  <x:mergeCells>
    <x:mergeCell ref="C2:K2"/>
    <x:mergeCell ref="C3:K3"/>
    <x:mergeCell ref="C20:L20"/>
    <x:mergeCell ref="C22:L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4" t="str">
        <x:v>Auction volume build</x:v>
      </x:c>
      <x:c r="D2" s="4"/>
      <x:c r="E2" s="4"/>
      <x:c r="F2" s="4"/>
      <x:c r="G2" s="4"/>
      <x:c r="H2" s="4"/>
      <x:c r="I2" s="4"/>
      <x:c r="J2" s="4"/>
      <x:c r="K2" s="4"/>
      <x:c r="L2" s="2"/>
      <x:c r="M2" s="2"/>
    </x:row>
    <x:row r="3" ht="28" customHeight="1">
      <x:c r="A3" s="2"/>
      <x:c r="B3" s="2"/>
      <x:c r="C3" s="6" t="str">
        <x:v>Modeled historical periods and forecast periods. Growth contributions—not absolute Copart auction counts.</x:v>
      </x:c>
      <x:c r="D3" s="6"/>
      <x:c r="E3" s="6"/>
      <x:c r="F3" s="6"/>
      <x:c r="G3" s="6"/>
      <x:c r="H3" s="6"/>
      <x:c r="I3" s="6"/>
      <x:c r="J3" s="6"/>
      <x:c r="K3" s="6"/>
      <x:c r="L3" s="2"/>
      <x:c r="M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9" customHeight="1">
      <x:c r="A5" s="2"/>
      <x:c r="B5" s="2"/>
      <x:c r="C5" s="10" t="str">
        <x:v>Fiscal quarter</x:v>
      </x:c>
      <x:c r="D5" s="10" t="str">
        <x:v>Q1 FY26M</x:v>
      </x:c>
      <x:c r="E5" s="10" t="str">
        <x:v>Q2 FY26M</x:v>
      </x:c>
      <x:c r="F5" s="10" t="str">
        <x:v>Q3 FY26M</x:v>
      </x:c>
      <x:c r="G5" s="10" t="str">
        <x:v>Q4 FY26M</x:v>
      </x:c>
      <x:c r="H5" s="71" t="str">
        <x:v>Q1 FY27E</x:v>
      </x:c>
      <x:c r="I5" s="72" t="str">
        <x:v>Q2 FY27E</x:v>
      </x:c>
      <x:c r="J5" s="10" t="str">
        <x:v>Q3 FY27E</x:v>
      </x:c>
      <x:c r="K5" s="10" t="str">
        <x:v>Q4 FY27E</x:v>
      </x:c>
      <x:c r="L5" s="2"/>
      <x:c r="M5" s="2"/>
    </x:row>
    <x:row r="6" ht="18" customHeight="1">
      <x:c r="A6" s="2"/>
      <x:c r="B6" s="2"/>
      <x:c r="C6" s="105" t="str">
        <x:v>Quarter ending</x:v>
      </x:c>
      <x:c r="D6" s="11" t="n">
        <x:v>45961.5</x:v>
      </x:c>
      <x:c r="E6" s="11" t="n">
        <x:v>46053.5</x:v>
      </x:c>
      <x:c r="F6" s="11" t="n">
        <x:v>46142.5</x:v>
      </x:c>
      <x:c r="G6" s="11" t="n">
        <x:v>46234.5</x:v>
      </x:c>
      <x:c r="H6" s="73" t="n">
        <x:v>46326.5</x:v>
      </x:c>
      <x:c r="I6" s="74" t="n">
        <x:v>46418.5</x:v>
      </x:c>
      <x:c r="J6" s="11" t="n">
        <x:v>46507.5</x:v>
      </x:c>
      <x:c r="K6" s="11" t="n">
        <x:v>46599.5</x:v>
      </x:c>
      <x:c r="L6" s="3"/>
      <x:c r="M6" s="3"/>
    </x:row>
    <x:row r="7" ht="18" customHeight="1">
      <x:c r="A7" s="2"/>
      <x:c r="B7" s="2"/>
      <x:c r="C7" s="105"/>
      <x:c r="D7" s="3"/>
      <x:c r="E7" s="3"/>
      <x:c r="F7" s="3"/>
      <x:c r="G7" s="3"/>
      <x:c r="H7" s="68"/>
      <x:c r="I7" s="3"/>
      <x:c r="J7" s="3"/>
      <x:c r="K7" s="3"/>
      <x:c r="L7" s="3"/>
      <x:c r="M7" s="3"/>
    </x:row>
    <x:row r="8" ht="18" customHeight="1">
      <x:c r="A8" s="2"/>
      <x:c r="B8" s="2"/>
      <x:c r="C8" s="106" t="str">
        <x:v>Average fleet vehicles (000s)</x:v>
      </x:c>
      <x:c r="D8" s="88" t="n">
        <x:f>'Cohort Roll'!H8</x:f>
        <x:v>292656.43644883536</x:v>
      </x:c>
      <x:c r="E8" s="88" t="n">
        <x:f>'Cohort Roll'!I8</x:f>
        <x:v>292807.18033753</x:v>
      </x:c>
      <x:c r="F8" s="88" t="n">
        <x:f>'Cohort Roll'!J8</x:f>
        <x:v>292964.11479055614</x:v>
      </x:c>
      <x:c r="G8" s="88" t="n">
        <x:f>'Cohort Roll'!K8</x:f>
        <x:v>293122.95403260755</x:v>
      </x:c>
      <x:c r="H8" s="89" t="n">
        <x:f>'Cohort Roll'!L8</x:f>
        <x:v>293281.79327465885</x:v>
      </x:c>
      <x:c r="I8" s="88" t="n">
        <x:f>'Cohort Roll'!M8</x:f>
        <x:v>293440.50908883574</x:v>
      </x:c>
      <x:c r="J8" s="88" t="n">
        <x:f>'Cohort Roll'!N8</x:f>
        <x:v>293597.6203406451</x:v>
      </x:c>
      <x:c r="K8" s="88" t="n">
        <x:f>'Cohort Roll'!O8</x:f>
        <x:v>293754.2378809568</x:v>
      </x:c>
      <x:c r="L8" s="3"/>
      <x:c r="M8" s="3"/>
    </x:row>
    <x:row r="9" ht="18" customHeight="1">
      <x:c r="A9" s="2"/>
      <x:c r="B9" s="2"/>
      <x:c r="C9" s="106" t="str">
        <x:v>Fleet growth, YoY</x:v>
      </x:c>
      <x:c r="D9" s="90" t="n">
        <x:f>'Cohort Roll'!H13</x:f>
        <x:v>0.001651775607433681</x:v>
      </x:c>
      <x:c r="E9" s="90" t="n">
        <x:f>'Cohort Roll'!I13</x:f>
        <x:v>0.001981267292076039</x:v>
      </x:c>
      <x:c r="F9" s="90" t="n">
        <x:f>'Cohort Roll'!J13</x:f>
        <x:v>0.00208038805572186</x:v>
      </x:c>
      <x:c r="G9" s="90" t="n">
        <x:f>'Cohort Roll'!K13</x:f>
        <x:v>0.0021086231371825193</x:v>
      </x:c>
      <x:c r="H9" s="91" t="n">
        <x:f>'Cohort Roll'!L13</x:f>
        <x:v>0.0021368292234120734</x:v>
      </x:c>
      <x:c r="I9" s="90" t="n">
        <x:f>'Cohort Roll'!M13</x:f>
        <x:v>0.0021629549882475896</x:v>
      </x:c>
      <x:c r="J9" s="90" t="n">
        <x:f>'Cohort Roll'!N13</x:f>
        <x:v>0.002162399823411265</x:v>
      </x:c>
      <x:c r="K9" s="90" t="n">
        <x:f>'Cohort Roll'!O13</x:f>
        <x:v>0.0021536486299158497</x:v>
      </x:c>
      <x:c r="L9" s="3"/>
      <x:c r="M9" s="3"/>
    </x:row>
    <x:row r="10" ht="18" customHeight="1">
      <x:c r="A10" s="2"/>
      <x:c r="B10" s="2"/>
      <x:c r="C10" s="105"/>
      <x:c r="D10" s="3"/>
      <x:c r="E10" s="3"/>
      <x:c r="F10" s="3"/>
      <x:c r="G10" s="3"/>
      <x:c r="H10" s="68"/>
      <x:c r="I10" s="3"/>
      <x:c r="J10" s="3"/>
      <x:c r="K10" s="3"/>
      <x:c r="L10" s="3"/>
      <x:c r="M10" s="3"/>
    </x:row>
    <x:row r="11" ht="18" customHeight="1">
      <x:c r="A11" s="2"/>
      <x:c r="B11" s="2"/>
      <x:c r="C11" s="106" t="str">
        <x:v>Weighted claim exposure growth, YoY</x:v>
      </x:c>
      <x:c r="D11" s="90" t="n">
        <x:f>'Cohort Roll'!H14</x:f>
        <x:v>8.531386075372183e-7</x:v>
      </x:c>
      <x:c r="E11" s="90" t="n">
        <x:f>'Cohort Roll'!I14</x:f>
        <x:v>0.0002483367403733894</x:v>
      </x:c>
      <x:c r="F11" s="90" t="n">
        <x:f>'Cohort Roll'!J14</x:f>
        <x:v>0.00038386928625011585</x:v>
      </x:c>
      <x:c r="G11" s="90" t="n">
        <x:f>'Cohort Roll'!K14</x:f>
        <x:v>0.00048492628830398843</x:v>
      </x:c>
      <x:c r="H11" s="91" t="n">
        <x:f>'Cohort Roll'!L14</x:f>
        <x:v>0.0005859681530309135</x:v>
      </x:c>
      <x:c r="I11" s="90" t="n">
        <x:f>'Cohort Roll'!M14</x:f>
        <x:v>0.000689259530249009</x:v>
      </x:c>
      <x:c r="J11" s="90" t="n">
        <x:f>'Cohort Roll'!N14</x:f>
        <x:v>0.0008219624604486331</x:v>
      </x:c>
      <x:c r="K11" s="90" t="n">
        <x:f>'Cohort Roll'!O14</x:f>
        <x:v>0.000963674256856839</x:v>
      </x:c>
      <x:c r="L11" s="3"/>
      <x:c r="M11" s="3"/>
    </x:row>
    <x:row r="12" ht="18" customHeight="1">
      <x:c r="A12" s="2"/>
      <x:c r="B12" s="2"/>
      <x:c r="C12" s="106" t="str">
        <x:v>Modeled total-loss frequency</x:v>
      </x:c>
      <x:c r="D12" s="90" t="n">
        <x:f>'Cohort Roll'!H15</x:f>
        <x:v>0.23300502653034832</x:v>
      </x:c>
      <x:c r="E12" s="90" t="n">
        <x:f>'Cohort Roll'!I15</x:f>
        <x:v>0.23289732186954212</x:v>
      </x:c>
      <x:c r="F12" s="90" t="n">
        <x:f>'Cohort Roll'!J15</x:f>
        <x:v>0.23274849974930784</x:v>
      </x:c>
      <x:c r="G12" s="90" t="n">
        <x:f>'Cohort Roll'!K15</x:f>
        <x:v>0.23258707293216913</x:v>
      </x:c>
      <x:c r="H12" s="91" t="n">
        <x:f>'Cohort Roll'!L15</x:f>
        <x:v>0.23242570289533807</x:v>
      </x:c>
      <x:c r="I12" s="90" t="n">
        <x:f>'Cohort Roll'!M15</x:f>
        <x:v>0.23225951656670427</x:v>
      </x:c>
      <x:c r="J12" s="90" t="n">
        <x:f>'Cohort Roll'!N15</x:f>
        <x:v>0.23203007736980027</x:v>
      </x:c>
      <x:c r="K12" s="90" t="n">
        <x:f>'Cohort Roll'!O15</x:f>
        <x:v>0.23178130359114013</x:v>
      </x:c>
      <x:c r="L12" s="3"/>
      <x:c r="M12" s="3"/>
    </x:row>
    <x:row r="13" ht="18" customHeight="1">
      <x:c r="A13" s="2"/>
      <x:c r="B13" s="2"/>
      <x:c r="C13" s="109" t="str">
        <x:v>Auction-volume contribution, YoY</x:v>
      </x:c>
      <x:c r="D13" s="51" t="n">
        <x:f>'Cohort Roll'!H16</x:f>
        <x:v>-0.0025507625063388994</x:v>
      </x:c>
      <x:c r="E13" s="51" t="n">
        <x:f>'Cohort Roll'!I16</x:f>
        <x:v>-0.0017032062324067176</x:v>
      </x:c>
      <x:c r="F13" s="51" t="n">
        <x:f>'Cohort Roll'!J16</x:f>
        <x:v>-0.0016135703411231939</x:v>
      </x:c>
      <x:c r="G13" s="51" t="n">
        <x:f>'Cohort Roll'!K16</x:f>
        <x:v>-0.0017576326419478372</x:v>
      </x:c>
      <x:c r="H13" s="77" t="n">
        <x:f>'Cohort Roll'!L16</x:f>
        <x:v>-0.0019018026424854062</x:v>
      </x:c>
      <x:c r="I13" s="51" t="n">
        <x:f>'Cohort Roll'!M16</x:f>
        <x:v>-0.0020511966978340457</x:v>
      </x:c>
      <x:c r="J13" s="51" t="n">
        <x:f>'Cohort Roll'!N16</x:f>
        <x:v>-0.0022672643079676424</x:v>
      </x:c>
      <x:c r="K13" s="51" t="n">
        <x:f>'Cohort Roll'!O16</x:f>
        <x:v>-0.002504041424982284</x:v>
      </x:c>
      <x:c r="L13" s="3"/>
      <x:c r="M13" s="3"/>
    </x:row>
    <x:row r="14" ht="18" customHeight="1">
      <x:c r="A14" s="2"/>
      <x:c r="B14" s="2"/>
      <x:c r="C14" s="105"/>
      <x:c r="D14" s="3"/>
      <x:c r="E14" s="3"/>
      <x:c r="F14" s="3"/>
      <x:c r="G14" s="3"/>
      <x:c r="H14" s="68"/>
      <x:c r="I14" s="3"/>
      <x:c r="J14" s="3"/>
      <x:c r="K14" s="3"/>
      <x:c r="L14" s="3"/>
      <x:c r="M14" s="3"/>
    </x:row>
    <x:row r="15" ht="18" customHeight="1">
      <x:c r="A15" s="2"/>
      <x:c r="B15" s="2"/>
      <x:c r="C15" s="106" t="str">
        <x:v>Service RPU ($, modeled)</x:v>
      </x:c>
      <x:c r="D15" s="88" t="n">
        <x:f>'Cohort Roll'!H17</x:f>
        <x:v>1050.0829671771671</x:v>
      </x:c>
      <x:c r="E15" s="88" t="n">
        <x:f>'Cohort Roll'!I17</x:f>
        <x:v>1050.9019951552364</x:v>
      </x:c>
      <x:c r="F15" s="88" t="n">
        <x:f>'Cohort Roll'!J17</x:f>
        <x:v>1051.5977861136205</x:v>
      </x:c>
      <x:c r="G15" s="88" t="n">
        <x:f>'Cohort Roll'!K17</x:f>
        <x:v>1052.256140380159</x:v>
      </x:c>
      <x:c r="H15" s="89" t="n">
        <x:f>'Cohort Roll'!L17</x:f>
        <x:v>1052.9151770892433</x:v>
      </x:c>
      <x:c r="I15" s="88" t="n">
        <x:f>'Cohort Roll'!M17</x:f>
        <x:v>1053.5704019716472</x:v>
      </x:c>
      <x:c r="J15" s="88" t="n">
        <x:f>'Cohort Roll'!N17</x:f>
        <x:v>1054.1679546390938</x:v>
      </x:c>
      <x:c r="K15" s="88" t="n">
        <x:f>'Cohort Roll'!O17</x:f>
        <x:v>1054.7484024466326</x:v>
      </x:c>
      <x:c r="L15" s="3"/>
      <x:c r="M15" s="3"/>
    </x:row>
    <x:row r="16" ht="18" customHeight="1">
      <x:c r="A16" s="2"/>
      <x:c r="B16" s="2"/>
      <x:c r="C16" s="106" t="str">
        <x:v>Composition contribution to RPU, YoY</x:v>
      </x:c>
      <x:c r="D16" s="90" t="n">
        <x:f>'Cohort Roll'!H18</x:f>
        <x:v>0.0030328143210822667</x:v>
      </x:c>
      <x:c r="E16" s="90" t="n">
        <x:f>'Cohort Roll'!I18</x:f>
        <x:v>0.0031268759001266133</x:v>
      </x:c>
      <x:c r="F16" s="90" t="n">
        <x:f>'Cohort Roll'!J18</x:f>
        <x:v>0.0030236491088393436</x:v>
      </x:c>
      <x:c r="G16" s="90" t="n">
        <x:f>'Cohort Roll'!K18</x:f>
        <x:v>0.0028602309780239032</x:v>
      </x:c>
      <x:c r="H16" s="91" t="n">
        <x:f>'Cohort Roll'!L18</x:f>
        <x:v>0.002697129656040298</x:v>
      </x:c>
      <x:c r="I16" s="90" t="n">
        <x:f>'Cohort Roll'!M18</x:f>
        <x:v>0.0025391585787375437</x:v>
      </x:c>
      <x:c r="J16" s="90" t="n">
        <x:f>'Cohort Roll'!N18</x:f>
        <x:v>0.0024440604187383475</x:v>
      </x:c>
      <x:c r="K16" s="90" t="n">
        <x:f>'Cohort Roll'!O18</x:f>
        <x:v>0.0023684937258461325</x:v>
      </x:c>
      <x:c r="L16" s="3"/>
      <x:c r="M16" s="3"/>
    </x:row>
    <x:row r="17" ht="18" customHeight="1">
      <x:c r="A17" s="2"/>
      <x:c r="B17" s="2"/>
      <x:c r="C17" s="109" t="str">
        <x:v>Combined demographic revenue effect</x:v>
      </x:c>
      <x:c r="D17" s="51" t="n">
        <x:f>'Cohort Roll'!H19</x:f>
        <x:v>0.00047431582568435715</x:v>
      </x:c>
      <x:c r="E17" s="51" t="n">
        <x:f>'Cohort Roll'!I19</x:f>
        <x:v>0.0014183439531987307</x:v>
      </x:c>
      <x:c r="F17" s="51" t="n">
        <x:f>'Cohort Roll'!J19</x:f>
        <x:v>0.001405199897192233</x:v>
      </x:c>
      <x:c r="G17" s="51" t="n">
        <x:f>'Cohort Roll'!K19</x:f>
        <x:v>0.001097571100745487</x:v>
      </x:c>
      <x:c r="H17" s="77" t="n">
        <x:f>'Cohort Roll'!L19</x:f>
        <x:v>0.0007901976052480109</x:v>
      </x:c>
      <x:c r="I17" s="51" t="n">
        <x:f>'Cohort Roll'!M19</x:f>
        <x:v>0.00048275356721161344</x:v>
      </x:c>
      <x:c r="J17" s="51" t="n">
        <x:f>'Cohort Roll'!N19</x:f>
        <x:v>0.00017125477981672077</x:v>
      </x:c>
      <x:c r="K17" s="51" t="n">
        <x:f>'Cohort Roll'!O19</x:f>
        <x:v>-0.00014147850554047103</x:v>
      </x:c>
      <x:c r="L17" s="3"/>
      <x:c r="M17" s="3"/>
    </x:row>
    <x:row r="18" ht="18" customHeight="1">
      <x:c r="A18" s="2"/>
      <x:c r="B18" s="2"/>
      <x:c r="C18" s="105"/>
      <x:c r="D18" s="3"/>
      <x:c r="E18" s="3"/>
      <x:c r="F18" s="3"/>
      <x:c r="G18" s="3"/>
      <x:c r="H18" s="68"/>
      <x:c r="I18" s="3"/>
      <x:c r="J18" s="3"/>
      <x:c r="K18" s="3"/>
      <x:c r="L18" s="3"/>
      <x:c r="M18" s="3"/>
    </x:row>
    <x:row r="19" ht="18" customHeight="1">
      <x:c r="A19" s="2"/>
      <x:c r="B19" s="2"/>
      <x:c r="C19" s="105"/>
      <x:c r="D19" s="3"/>
      <x:c r="E19" s="3"/>
      <x:c r="F19" s="3"/>
      <x:c r="G19" s="3"/>
      <x:c r="H19" s="68"/>
      <x:c r="I19" s="3"/>
      <x:c r="J19" s="3"/>
      <x:c r="K19" s="3"/>
      <x:c r="L19" s="3"/>
      <x:c r="M19" s="3"/>
    </x:row>
    <x:row r="20" ht="21" customHeight="1">
      <x:c r="A20" s="2"/>
      <x:c r="B20" s="2"/>
      <x:c r="C20" s="10" t="str">
        <x:v>Fitted age-profile inputs</x:v>
      </x:c>
      <x:c r="D20" s="19"/>
      <x:c r="E20" s="19"/>
      <x:c r="F20" s="19"/>
      <x:c r="G20" s="19"/>
      <x:c r="H20" s="64"/>
      <x:c r="I20" s="19"/>
      <x:c r="J20" s="19"/>
      <x:c r="K20" s="19"/>
      <x:c r="L20" s="3"/>
      <x:c r="M20" s="3"/>
    </x:row>
    <x:row r="21" ht="18" customHeight="1">
      <x:c r="A21" s="2"/>
      <x:c r="B21" s="2"/>
      <x:c r="C21" s="105"/>
      <x:c r="D21" s="3"/>
      <x:c r="E21" s="3"/>
      <x:c r="F21" s="3"/>
      <x:c r="G21" s="3"/>
      <x:c r="H21" s="68"/>
      <x:c r="I21" s="3"/>
      <x:c r="J21" s="3"/>
      <x:c r="K21" s="3"/>
      <x:c r="L21" s="3"/>
      <x:c r="M21" s="3"/>
    </x:row>
    <x:row r="22" ht="18" customHeight="1">
      <x:c r="A22" s="2"/>
      <x:c r="B22" s="2"/>
      <x:c r="C22" s="106" t="str">
        <x:v>Car survival stretch</x:v>
      </x:c>
      <x:c r="D22" s="92" t="n">
        <x:v>1.27</x:v>
      </x:c>
      <x:c r="E22" s="87"/>
      <x:c r="F22" s="87"/>
      <x:c r="G22" s="87"/>
      <x:c r="H22" s="93"/>
      <x:c r="I22" s="87"/>
      <x:c r="J22" s="87"/>
      <x:c r="K22" s="87"/>
      <x:c r="L22" s="3"/>
      <x:c r="M22" s="3"/>
    </x:row>
    <x:row r="23" ht="18" customHeight="1">
      <x:c r="A23" s="2"/>
      <x:c r="B23" s="2"/>
      <x:c r="C23" s="106" t="str">
        <x:v>LT survival stretch</x:v>
      </x:c>
      <x:c r="D23" s="92" t="n">
        <x:v>1.099</x:v>
      </x:c>
      <x:c r="E23" s="87"/>
      <x:c r="F23" s="87"/>
      <x:c r="G23" s="87"/>
      <x:c r="H23" s="93"/>
      <x:c r="I23" s="87"/>
      <x:c r="J23" s="87"/>
      <x:c r="K23" s="87"/>
      <x:c r="L23" s="3"/>
      <x:c r="M23" s="3"/>
    </x:row>
    <x:row r="24" ht="18" customHeight="1">
      <x:c r="A24" s="2"/>
      <x:c r="B24" s="2"/>
      <x:c r="C24" s="106" t="str">
        <x:v>Claim-weight decay after age 6</x:v>
      </x:c>
      <x:c r="D24" s="94" t="n">
        <x:v>0.09027</x:v>
      </x:c>
      <x:c r="E24" s="87"/>
      <x:c r="F24" s="87"/>
      <x:c r="G24" s="87"/>
      <x:c r="H24" s="93"/>
      <x:c r="I24" s="87"/>
      <x:c r="J24" s="87"/>
      <x:c r="K24" s="87"/>
      <x:c r="L24" s="3"/>
      <x:c r="M24" s="3"/>
    </x:row>
    <x:row r="25" ht="18" customHeight="1">
      <x:c r="A25" s="2"/>
      <x:c r="B25" s="2"/>
      <x:c r="C25" s="106" t="str">
        <x:v>New-cohort exposure fraction</x:v>
      </x:c>
      <x:c r="D25" s="95" t="n">
        <x:v>0.5</x:v>
      </x:c>
      <x:c r="E25" s="87"/>
      <x:c r="F25" s="87"/>
      <x:c r="G25" s="87"/>
      <x:c r="H25" s="93"/>
      <x:c r="I25" s="87"/>
      <x:c r="J25" s="87"/>
      <x:c r="K25" s="87"/>
      <x:c r="L25" s="3"/>
      <x:c r="M25" s="3"/>
    </x:row>
    <x:row r="26" ht="18" customHeight="1">
      <x:c r="A26" s="2"/>
      <x:c r="B26" s="2"/>
      <x:c r="C26" s="105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28" customHeight="1">
      <x:c r="A27" s="2"/>
      <x:c r="B27" s="2"/>
      <x:c r="C27" s="6" t="str">
        <x:v>Survival stretches and claim decay are inherited fits. Future births / LT share are editable in Cohort Roll. No independent absolute claims or company-unit estimate is implied.</x:v>
      </x:c>
      <x:c r="D27" s="21"/>
      <x:c r="E27" s="21"/>
      <x:c r="F27" s="21"/>
      <x:c r="G27" s="21"/>
      <x:c r="H27" s="21"/>
      <x:c r="I27" s="21"/>
      <x:c r="J27" s="21"/>
      <x:c r="K27" s="21"/>
      <x:c r="L27" s="3"/>
      <x:c r="M27" s="3"/>
    </x:row>
    <x:row r="28" ht="18" customHeight="1">
      <x:c r="A28" s="2"/>
      <x:c r="B28" s="2"/>
      <x:c r="C28" s="105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18" customHeight="1">
      <x:c r="A29" s="2"/>
      <x:c r="B29" s="2"/>
      <x:c r="C29" s="105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18" customHeight="1">
      <x:c r="A30" s="2"/>
      <x:c r="B30" s="2"/>
      <x:c r="C30" s="105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8" customHeight="1">
      <x:c r="A31" s="2"/>
      <x:c r="B31" s="2"/>
      <x:c r="C31" s="105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8" customHeight="1">
      <x:c r="A32" s="2"/>
      <x:c r="B32" s="2"/>
      <x:c r="C32" s="105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C33" s="108"/>
    </x:row>
    <x:row r="34">
      <x:c r="C34" s="108"/>
    </x:row>
    <x:row r="35">
      <x:c r="C35" s="108"/>
    </x:row>
    <x:row r="36">
      <x:c r="C36" s="108"/>
    </x:row>
    <x:row r="37">
      <x:c r="C37" s="108"/>
    </x:row>
    <x:row r="38">
      <x:c r="C38" s="108"/>
    </x:row>
    <x:row r="39">
      <x:c r="C39" s="108"/>
    </x:row>
    <x:row r="40">
      <x:c r="C40" s="108"/>
    </x:row>
  </x:sheetData>
  <x:mergeCells>
    <x:mergeCell ref="C2:K2"/>
    <x:mergeCell ref="C3:K3"/>
    <x:mergeCell ref="C27:K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0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4" t="str">
        <x:v>Vehicle economics</x:v>
      </x:c>
      <x:c r="D2" s="4"/>
      <x:c r="E2" s="4"/>
      <x:c r="F2" s="4"/>
      <x:c r="G2" s="4"/>
      <x:c r="H2" s="4"/>
      <x:c r="I2" s="4"/>
      <x:c r="J2" s="4"/>
      <x:c r="K2" s="4"/>
      <x:c r="L2" s="2"/>
      <x:c r="M2" s="2"/>
    </x:row>
    <x:row r="3" ht="28" customHeight="1">
      <x:c r="A3" s="2"/>
      <x:c r="B3" s="2"/>
      <x:c r="C3" s="6" t="str">
        <x:v>Read across bodies: repair cost versus net totaling threshold, then auction price and service fees.</x:v>
      </x:c>
      <x:c r="D3" s="6"/>
      <x:c r="E3" s="6"/>
      <x:c r="F3" s="6"/>
      <x:c r="G3" s="6"/>
      <x:c r="H3" s="6"/>
      <x:c r="I3" s="6"/>
      <x:c r="J3" s="6"/>
      <x:c r="K3" s="6"/>
      <x:c r="L3" s="2"/>
      <x:c r="M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9" customHeight="1">
      <x:c r="A5" s="2"/>
      <x:c r="B5" s="2"/>
      <x:c r="C5" s="10" t="str">
        <x:v>Economics</x:v>
      </x:c>
      <x:c r="D5" s="10" t="str">
        <x:v>Car</x:v>
      </x:c>
      <x:c r="E5" s="10" t="str">
        <x:v>SUV / crossover</x:v>
      </x:c>
      <x:c r="F5" s="10" t="str">
        <x:v>Pickup</x:v>
      </x:c>
      <x:c r="G5" s="10" t="str">
        <x:v>Van</x:v>
      </x:c>
      <x:c r="H5" s="2"/>
      <x:c r="I5" s="10" t="str">
        <x:v>Common inputs</x:v>
      </x:c>
      <x:c r="J5" s="10" t="str">
        <x:v>Value</x:v>
      </x:c>
      <x:c r="K5" s="2"/>
      <x:c r="L5" s="2"/>
      <x:c r="M5" s="2"/>
    </x:row>
    <x:row r="6" ht="18" customHeight="1">
      <x:c r="A6" s="2"/>
      <x:c r="B6" s="2"/>
      <x:c r="C6" s="105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18" customHeight="1">
      <x:c r="A7" s="2"/>
      <x:c r="B7" s="2"/>
      <x:c r="C7" s="106" t="str">
        <x:v>ACV / same-age car</x:v>
      </x:c>
      <x:c r="D7" s="96" t="n">
        <x:v>1</x:v>
      </x:c>
      <x:c r="E7" s="96" t="n">
        <x:v>1.5</x:v>
      </x:c>
      <x:c r="F7" s="96" t="n">
        <x:v>1.5</x:v>
      </x:c>
      <x:c r="G7" s="96" t="n">
        <x:v>1.5</x:v>
      </x:c>
      <x:c r="H7" s="3"/>
      <x:c r="I7" s="3"/>
      <x:c r="J7" s="3"/>
      <x:c r="K7" s="3"/>
      <x:c r="L7" s="3"/>
      <x:c r="M7" s="3"/>
    </x:row>
    <x:row r="8" ht="18" customHeight="1">
      <x:c r="A8" s="2"/>
      <x:c r="B8" s="2"/>
      <x:c r="C8" s="106" t="str">
        <x:v>Gross salvage / ACV</x:v>
      </x:c>
      <x:c r="D8" s="95" t="n">
        <x:v>0.3</x:v>
      </x:c>
      <x:c r="E8" s="95" t="n">
        <x:v>0.3</x:v>
      </x:c>
      <x:c r="F8" s="95" t="n">
        <x:v>0.3</x:v>
      </x:c>
      <x:c r="G8" s="95" t="n">
        <x:v>0.3</x:v>
      </x:c>
      <x:c r="H8" s="3"/>
      <x:c r="I8" s="3" t="str">
        <x:v>Dispersion σ</x:v>
      </x:c>
      <x:c r="J8" s="40" t="n">
        <x:v>1.5702059479932844</x:v>
      </x:c>
      <x:c r="K8" s="3"/>
      <x:c r="L8" s="3"/>
      <x:c r="M8" s="3"/>
    </x:row>
    <x:row r="9" ht="18" customHeight="1">
      <x:c r="A9" s="2"/>
      <x:c r="B9" s="2"/>
      <x:c r="C9" s="106" t="str">
        <x:v>Seller fee / auction price</x:v>
      </x:c>
      <x:c r="D9" s="95" t="n">
        <x:v>0.04</x:v>
      </x:c>
      <x:c r="E9" s="95" t="n">
        <x:v>0.04</x:v>
      </x:c>
      <x:c r="F9" s="95" t="n">
        <x:v>0.04</x:v>
      </x:c>
      <x:c r="G9" s="95" t="n">
        <x:v>0.04</x:v>
      </x:c>
      <x:c r="H9" s="3"/>
      <x:c r="I9" s="3" t="str">
        <x:v>Car age-10 ACV</x:v>
      </x:c>
      <x:c r="J9" s="31" t="n">
        <x:v>10000</x:v>
      </x:c>
      <x:c r="K9" s="3"/>
      <x:c r="L9" s="3"/>
      <x:c r="M9" s="3"/>
    </x:row>
    <x:row r="10" ht="18" customHeight="1">
      <x:c r="A10" s="2"/>
      <x:c r="B10" s="2"/>
      <x:c r="C10" s="106" t="str">
        <x:v>Relative claim frequency</x:v>
      </x:c>
      <x:c r="D10" s="96" t="n">
        <x:v>1</x:v>
      </x:c>
      <x:c r="E10" s="96" t="n">
        <x:v>1</x:v>
      </x:c>
      <x:c r="F10" s="96" t="n">
        <x:v>1</x:v>
      </x:c>
      <x:c r="G10" s="96" t="n">
        <x:v>1</x:v>
      </x:c>
      <x:c r="H10" s="3"/>
      <x:c r="I10" s="3" t="str">
        <x:v>ACV age decay</x:v>
      </x:c>
      <x:c r="J10" s="39" t="n">
        <x:v>0.1</x:v>
      </x:c>
      <x:c r="K10" s="3"/>
      <x:c r="L10" s="3"/>
      <x:c r="M10" s="3"/>
    </x:row>
    <x:row r="11" ht="18" customHeight="1">
      <x:c r="A11" s="2"/>
      <x:c r="B11" s="2"/>
      <x:c r="C11" s="105"/>
      <x:c r="D11" s="3"/>
      <x:c r="E11" s="3"/>
      <x:c r="F11" s="3"/>
      <x:c r="G11" s="3"/>
      <x:c r="H11" s="3"/>
      <x:c r="I11" s="3"/>
      <x:c r="J11" s="3"/>
      <x:c r="K11" s="3"/>
      <x:c r="L11" s="3"/>
      <x:c r="M11" s="3"/>
    </x:row>
    <x:row r="12" ht="29" customHeight="1">
      <x:c r="A12" s="2"/>
      <x:c r="B12" s="2"/>
      <x:c r="C12" s="110" t="str">
        <x:v>Modeled mean repair cost ($)</x:v>
      </x:c>
      <x:c r="D12" s="98" t="n">
        <x:f>'Repair Costs'!D25</x:f>
        <x:v>3682</x:v>
      </x:c>
      <x:c r="E12" s="98" t="n">
        <x:f>'Repair Costs'!E25</x:f>
        <x:v>3706.9777358408687</x:v>
      </x:c>
      <x:c r="F12" s="98" t="n">
        <x:f>'Repair Costs'!F25</x:f>
        <x:v>4822.90638679079</x:v>
      </x:c>
      <x:c r="G12" s="98" t="n">
        <x:f>'Repair Costs'!G25</x:f>
        <x:v>3612.699529780427</x:v>
      </x:c>
      <x:c r="H12" s="3"/>
      <x:c r="I12" s="25" t="str">
        <x:v>Bid node</x:v>
      </x:c>
      <x:c r="J12" s="25" t="str">
        <x:v>Mean ×</x:v>
      </x:c>
      <x:c r="K12" s="25" t="str">
        <x:v>Weight</x:v>
      </x:c>
      <x:c r="L12" s="3"/>
      <x:c r="M12" s="3"/>
    </x:row>
    <x:row r="13" ht="18" customHeight="1">
      <x:c r="A13" s="2"/>
      <x:c r="B13" s="2"/>
      <x:c r="C13" s="106" t="str">
        <x:v>Repair cost / car</x:v>
      </x:c>
      <x:c r="D13" s="99" t="n">
        <x:f>D12/$D$12</x:f>
        <x:v>1</x:v>
      </x:c>
      <x:c r="E13" s="99" t="n">
        <x:f>E12/$D$12</x:f>
        <x:v>1.0067837414016483</x:v>
      </x:c>
      <x:c r="F13" s="99" t="n">
        <x:f>F12/$D$12</x:f>
        <x:v>1.30986050700456</x:v>
      </x:c>
      <x:c r="G13" s="99" t="n">
        <x:f>G12/$D$12</x:f>
        <x:v>0.9811785795166831</x:v>
      </x:c>
      <x:c r="H13" s="3"/>
      <x:c r="I13" s="3" t="str">
        <x:v>Low</x:v>
      </x:c>
      <x:c r="J13" s="41" t="n">
        <x:v>0.5</x:v>
      </x:c>
      <x:c r="K13" s="39" t="n">
        <x:v>0.25</x:v>
      </x:c>
      <x:c r="L13" s="3"/>
      <x:c r="M13" s="3"/>
    </x:row>
    <x:row r="14" ht="18" customHeight="1">
      <x:c r="A14" s="2"/>
      <x:c r="B14" s="2"/>
      <x:c r="C14" s="106" t="str">
        <x:v>Net salvage / ACV</x:v>
      </x:c>
      <x:c r="D14" s="85" t="n">
        <x:f>D8*(1-D9)</x:f>
        <x:v>0.288</x:v>
      </x:c>
      <x:c r="E14" s="85" t="n">
        <x:f>E8*(1-E9)</x:f>
        <x:v>0.288</x:v>
      </x:c>
      <x:c r="F14" s="85" t="n">
        <x:f>F8*(1-F9)</x:f>
        <x:v>0.288</x:v>
      </x:c>
      <x:c r="G14" s="85" t="n">
        <x:f>G8*(1-G9)</x:f>
        <x:v>0.288</x:v>
      </x:c>
      <x:c r="H14" s="3"/>
      <x:c r="I14" s="3" t="str">
        <x:v>Central</x:v>
      </x:c>
      <x:c r="J14" s="41" t="n">
        <x:v>1</x:v>
      </x:c>
      <x:c r="K14" s="39" t="n">
        <x:v>0.5</x:v>
      </x:c>
      <x:c r="L14" s="3"/>
      <x:c r="M14" s="3"/>
    </x:row>
    <x:row r="15" ht="18" customHeight="1">
      <x:c r="A15" s="2"/>
      <x:c r="B15" s="2"/>
      <x:c r="C15" s="106" t="str">
        <x:v>Net totaling threshold / car</x:v>
      </x:c>
      <x:c r="D15" s="99" t="n">
        <x:f>D7*(1-D14)/($D$7*(1-$D$14))</x:f>
        <x:v>1</x:v>
      </x:c>
      <x:c r="E15" s="99" t="n">
        <x:f>E7*(1-E14)/($D$7*(1-$D$14))</x:f>
        <x:v>1.5000000000000002</x:v>
      </x:c>
      <x:c r="F15" s="99" t="n">
        <x:f>F7*(1-F14)/($D$7*(1-$D$14))</x:f>
        <x:v>1.5000000000000002</x:v>
      </x:c>
      <x:c r="G15" s="99" t="n">
        <x:f>G7*(1-G14)/($D$7*(1-$D$14))</x:f>
        <x:v>1.5000000000000002</x:v>
      </x:c>
      <x:c r="H15" s="3"/>
      <x:c r="I15" s="3" t="str">
        <x:v>High</x:v>
      </x:c>
      <x:c r="J15" s="41" t="n">
        <x:v>1.5</x:v>
      </x:c>
      <x:c r="K15" s="39" t="n">
        <x:v>0.25</x:v>
      </x:c>
      <x:c r="L15" s="3"/>
      <x:c r="M15" s="3"/>
    </x:row>
    <x:row r="16" ht="28" customHeight="1">
      <x:c r="A16" s="2"/>
      <x:c r="B16" s="2"/>
      <x:c r="C16" s="106" t="str">
        <x:v>Probit offset: ln(threshold / repair) / σ</x:v>
      </x:c>
      <x:c r="D16" s="100" t="n">
        <x:f>LN(D15/D13)/$J$8</x:f>
        <x:v>0</x:v>
      </x:c>
      <x:c r="E16" s="100" t="n">
        <x:f>LN(E15/E13)/$J$8</x:f>
        <x:v>0.25391845780209843</x:v>
      </x:c>
      <x:c r="F16" s="100" t="n">
        <x:f>LN(F15/F13)/$J$8</x:f>
        <x:v>0.08632272724523445</x:v>
      </x:c>
      <x:c r="G16" s="100" t="n">
        <x:f>LN(G15/G13)/$J$8</x:f>
        <x:v>0.27032498914619985</x:v>
      </x:c>
      <x:c r="H16" s="3"/>
      <x:c r="I16" s="3"/>
      <x:c r="J16" s="3"/>
      <x:c r="K16" s="3"/>
      <x:c r="L16" s="3"/>
      <x:c r="M16" s="3"/>
    </x:row>
    <x:row r="17" ht="18" customHeight="1">
      <x:c r="A17" s="2"/>
      <x:c r="B17" s="2"/>
      <x:c r="C17" s="105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21" customHeight="1">
      <x:c r="A18" s="2"/>
      <x:c r="B18" s="2"/>
      <x:c r="C18" s="10" t="str">
        <x:v>Calibrated total-loss probability</x:v>
      </x:c>
      <x:c r="D18" s="19"/>
      <x:c r="E18" s="19"/>
      <x:c r="F18" s="19"/>
      <x:c r="G18" s="19"/>
      <x:c r="H18" s="3"/>
      <x:c r="I18" s="3"/>
      <x:c r="J18" s="3"/>
      <x:c r="K18" s="3"/>
      <x:c r="L18" s="3"/>
      <x:c r="M18" s="3"/>
    </x:row>
    <x:row r="19" ht="18" customHeight="1">
      <x:c r="A19" s="2"/>
      <x:c r="B19" s="2"/>
      <x:c r="C19" s="106" t="str">
        <x:v>Current year</x:v>
      </x:c>
      <x:c r="D19" s="90" t="n">
        <x:f>'Loss Calibration'!E8</x:f>
        <x:v>0.12970305926838227</x:v>
      </x:c>
      <x:c r="E19" s="90" t="n">
        <x:f>'Loss Calibration'!F8</x:f>
        <x:v>0.08352970958202721</x:v>
      </x:c>
      <x:c r="F19" s="90" t="n">
        <x:f>'Loss Calibration'!G8</x:f>
        <x:v>0.11235121087565603</x:v>
      </x:c>
      <x:c r="G19" s="90" t="n">
        <x:f>'Loss Calibration'!H8</x:f>
        <x:v>0.08103838157626347</x:v>
      </x:c>
      <x:c r="H19" s="3"/>
      <x:c r="I19" s="3"/>
      <x:c r="J19" s="3"/>
      <x:c r="K19" s="3"/>
      <x:c r="L19" s="3"/>
      <x:c r="M19" s="3"/>
    </x:row>
    <x:row r="20" ht="18" customHeight="1">
      <x:c r="A20" s="2"/>
      <x:c r="B20" s="2"/>
      <x:c r="C20" s="106" t="str">
        <x:v>Age 1–3</x:v>
      </x:c>
      <x:c r="D20" s="90" t="n">
        <x:f>'Loss Calibration'!E9</x:f>
        <x:v>0.1414675778549528</x:v>
      </x:c>
      <x:c r="E20" s="90" t="n">
        <x:f>'Loss Calibration'!F9</x:f>
        <x:v>0.09214398041521638</x:v>
      </x:c>
      <x:c r="F20" s="90" t="n">
        <x:f>'Loss Calibration'!G9</x:f>
        <x:v>0.1230097849401135</x:v>
      </x:c>
      <x:c r="G20" s="90" t="n">
        <x:f>'Loss Calibration'!H9</x:f>
        <x:v>0.08946221754180095</x:v>
      </x:c>
      <x:c r="H20" s="3"/>
      <x:c r="I20" s="3"/>
      <x:c r="J20" s="3"/>
      <x:c r="K20" s="3"/>
      <x:c r="L20" s="3"/>
      <x:c r="M20" s="3"/>
    </x:row>
    <x:row r="21" ht="18" customHeight="1">
      <x:c r="A21" s="2"/>
      <x:c r="B21" s="2"/>
      <x:c r="C21" s="106" t="str">
        <x:v>Age 4–6</x:v>
      </x:c>
      <x:c r="D21" s="90" t="n">
        <x:f>'Loss Calibration'!E10</x:f>
        <x:v>0.19811643359572595</x:v>
      </x:c>
      <x:c r="E21" s="90" t="n">
        <x:f>'Loss Calibration'!F10</x:f>
        <x:v>0.1351685029157914</x:v>
      </x:c>
      <x:c r="F21" s="90" t="n">
        <x:f>'Loss Calibration'!G10</x:f>
        <x:v>0.17497376510273943</x:v>
      </x:c>
      <x:c r="G21" s="90" t="n">
        <x:f>'Loss Calibration'!H10</x:f>
        <x:v>0.13163549539735725</x:v>
      </x:c>
      <x:c r="H21" s="3"/>
      <x:c r="I21" s="3"/>
      <x:c r="J21" s="3"/>
      <x:c r="K21" s="3"/>
      <x:c r="L21" s="3"/>
      <x:c r="M21" s="3"/>
    </x:row>
    <x:row r="22" ht="18" customHeight="1">
      <x:c r="A22" s="2"/>
      <x:c r="B22" s="2"/>
      <x:c r="C22" s="106" t="str">
        <x:v>Age 7–9</x:v>
      </x:c>
      <x:c r="D22" s="90" t="n">
        <x:f>'Loss Calibration'!E11</x:f>
        <x:v>0.27711955443615977</x:v>
      </x:c>
      <x:c r="E22" s="90" t="n">
        <x:f>'Loss Calibration'!F11</x:f>
        <x:v>0.1989609747783242</x:v>
      </x:c>
      <x:c r="F22" s="90" t="n">
        <x:f>'Loss Calibration'!G11</x:f>
        <x:v>0.2489674463048962</x:v>
      </x:c>
      <x:c r="G22" s="90" t="n">
        <x:f>'Loss Calibration'!H11</x:f>
        <x:v>0.1944139583975364</x:v>
      </x:c>
      <x:c r="H22" s="3"/>
      <x:c r="I22" s="3"/>
      <x:c r="J22" s="3"/>
      <x:c r="K22" s="3"/>
      <x:c r="L22" s="3"/>
      <x:c r="M22" s="3"/>
    </x:row>
    <x:row r="23" ht="18" customHeight="1">
      <x:c r="A23" s="2"/>
      <x:c r="B23" s="2"/>
      <x:c r="C23" s="106" t="str">
        <x:v>Age 10–12</x:v>
      </x:c>
      <x:c r="D23" s="90" t="n">
        <x:f>'Loss Calibration'!E12</x:f>
        <x:v>0.3624976614821436</x:v>
      </x:c>
      <x:c r="E23" s="90" t="n">
        <x:f>'Loss Calibration'!F12</x:f>
        <x:v>0.2723539904357708</x:v>
      </x:c>
      <x:c r="F23" s="90" t="n">
        <x:f>'Loss Calibration'!G12</x:f>
        <x:v>0.3306520738596624</x:v>
      </x:c>
      <x:c r="G23" s="90" t="n">
        <x:f>'Loss Calibration'!H12</x:f>
        <x:v>0.26693293878713403</x:v>
      </x:c>
      <x:c r="H23" s="3"/>
      <x:c r="I23" s="3"/>
      <x:c r="J23" s="3"/>
      <x:c r="K23" s="3"/>
      <x:c r="L23" s="3"/>
      <x:c r="M23" s="3"/>
    </x:row>
    <x:row r="24" ht="18" customHeight="1">
      <x:c r="A24" s="2"/>
      <x:c r="B24" s="2"/>
      <x:c r="C24" s="106" t="str">
        <x:v>Age 13+</x:v>
      </x:c>
      <x:c r="D24" s="90" t="n">
        <x:f>'Loss Calibration'!E13</x:f>
        <x:v>0.4946908337805008</x:v>
      </x:c>
      <x:c r="E24" s="90" t="n">
        <x:f>'Loss Calibration'!F13</x:f>
        <x:v>0.3946472110324642</x:v>
      </x:c>
      <x:c r="F24" s="90" t="n">
        <x:f>'Loss Calibration'!G13</x:f>
        <x:v>0.4603185510969016</x:v>
      </x:c>
      <x:c r="G24" s="90" t="n">
        <x:f>'Loss Calibration'!H13</x:f>
        <x:v>0.3883456353743584</x:v>
      </x:c>
      <x:c r="H24" s="3"/>
      <x:c r="I24" s="3"/>
      <x:c r="J24" s="3"/>
      <x:c r="K24" s="3"/>
      <x:c r="L24" s="3"/>
      <x:c r="M24" s="3"/>
    </x:row>
    <x:row r="25" ht="18" customHeight="1">
      <x:c r="A25" s="2"/>
      <x:c r="B25" s="2"/>
      <x:c r="C25" s="105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18" customHeight="1">
      <x:c r="A26" s="2"/>
      <x:c r="B26" s="2"/>
      <x:c r="C26" s="106" t="str">
        <x:v>Age-10 auction price ($)</x:v>
      </x:c>
      <x:c r="D26" s="88" t="n">
        <x:f>'Fee Calculation'!E18</x:f>
        <x:v>3000</x:v>
      </x:c>
      <x:c r="E26" s="88" t="n">
        <x:f>'Fee Calculation'!E64</x:f>
        <x:v>4500</x:v>
      </x:c>
      <x:c r="F26" s="88" t="n">
        <x:f>'Fee Calculation'!E110</x:f>
        <x:v>4500</x:v>
      </x:c>
      <x:c r="G26" s="88" t="n">
        <x:f>'Fee Calculation'!E156</x:f>
        <x:v>4500</x:v>
      </x:c>
      <x:c r="H26" s="3"/>
      <x:c r="I26" s="3"/>
      <x:c r="J26" s="3"/>
      <x:c r="K26" s="3"/>
      <x:c r="L26" s="3"/>
      <x:c r="M26" s="3"/>
    </x:row>
    <x:row r="27" ht="18" customHeight="1">
      <x:c r="A27" s="2"/>
      <x:c r="B27" s="2"/>
      <x:c r="C27" s="110" t="str">
        <x:v>Age-10 service RPU ($)</x:v>
      </x:c>
      <x:c r="D27" s="98" t="n">
        <x:f>'Fee Calculation'!M18</x:f>
        <x:v>955</x:v>
      </x:c>
      <x:c r="E27" s="98" t="n">
        <x:f>'Fee Calculation'!M64</x:f>
        <x:v>1121.25</x:v>
      </x:c>
      <x:c r="F27" s="98" t="n">
        <x:f>'Fee Calculation'!M110</x:f>
        <x:v>1121.25</x:v>
      </x:c>
      <x:c r="G27" s="98" t="n">
        <x:f>'Fee Calculation'!M156</x:f>
        <x:v>1121.25</x:v>
      </x:c>
      <x:c r="H27" s="3"/>
      <x:c r="I27" s="3"/>
      <x:c r="J27" s="3"/>
      <x:c r="K27" s="3"/>
      <x:c r="L27" s="3"/>
      <x:c r="M27" s="3"/>
    </x:row>
    <x:row r="28" ht="18" customHeight="1">
      <x:c r="A28" s="2"/>
      <x:c r="B28" s="2"/>
      <x:c r="C28" s="105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28" customHeight="1">
      <x:c r="A29" s="2"/>
      <x:c r="B29" s="2"/>
      <x:c r="C29" s="6" t="str">
        <x:v>Red = assumption. ACV ratios and recovery assumptions are unvalidated. Net salvage subtracts the modeled seller fee only. Matching CCC buckets is calibration, not validation.</x:v>
      </x:c>
      <x:c r="D29" s="21"/>
      <x:c r="E29" s="21"/>
      <x:c r="F29" s="21"/>
      <x:c r="G29" s="21"/>
      <x:c r="H29" s="21"/>
      <x:c r="I29" s="21"/>
      <x:c r="J29" s="21"/>
      <x:c r="K29" s="21"/>
      <x:c r="L29" s="3"/>
      <x:c r="M29" s="3"/>
    </x:row>
    <x:row r="30" ht="18" customHeight="1">
      <x:c r="A30" s="2"/>
      <x:c r="B30" s="2"/>
      <x:c r="C30" s="105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28" customHeight="1">
      <x:c r="A31" s="2"/>
      <x:c r="B31" s="2"/>
      <x:c r="C31" s="6" t="str">
        <x:v>The same-age fee comparison is illustrative. Fee Calculation prices each cohort at three auction nodes; the Volume Build uses the resulting sold-unit-weighted mix.</x:v>
      </x:c>
      <x:c r="D31" s="21"/>
      <x:c r="E31" s="21"/>
      <x:c r="F31" s="21"/>
      <x:c r="G31" s="21"/>
      <x:c r="H31" s="21"/>
      <x:c r="I31" s="21"/>
      <x:c r="J31" s="21"/>
      <x:c r="K31" s="21"/>
      <x:c r="L31" s="3"/>
      <x:c r="M31" s="3"/>
    </x:row>
    <x:row r="32" ht="18" customHeight="1">
      <x:c r="A32" s="2"/>
      <x:c r="B32" s="2"/>
      <x:c r="C32" s="105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8" customHeight="1">
      <x:c r="A33" s="2"/>
      <x:c r="B33" s="2"/>
      <x:c r="C33" s="105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8" customHeight="1">
      <x:c r="A34" s="2"/>
      <x:c r="B34" s="2"/>
      <x:c r="C34" s="105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8" customHeight="1">
      <x:c r="A35" s="2"/>
      <x:c r="B35" s="2"/>
      <x:c r="C35" s="105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C36" s="108"/>
    </x:row>
    <x:row r="37">
      <x:c r="C37" s="108"/>
    </x:row>
    <x:row r="38">
      <x:c r="C38" s="108"/>
    </x:row>
    <x:row r="39">
      <x:c r="C39" s="108"/>
    </x:row>
    <x:row r="40">
      <x:c r="C40" s="108"/>
    </x:row>
  </x:sheetData>
  <x:mergeCells>
    <x:mergeCell ref="C2:K2"/>
    <x:mergeCell ref="C3:K3"/>
    <x:mergeCell ref="C29:K29"/>
    <x:mergeCell ref="C31:K3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2"/>
      <x:c r="C2" s="4" t="str">
        <x:v>Quarterly service-revenue bridge ($m)</x:v>
      </x:c>
      <x:c r="D2" s="4"/>
      <x:c r="E2" s="4"/>
      <x:c r="F2" s="4"/>
      <x:c r="G2" s="4"/>
      <x:c r="H2" s="4"/>
      <x:c r="I2" s="4"/>
      <x:c r="J2" s="4"/>
      <x:c r="K2" s="4"/>
      <x:c r="L2" s="2"/>
    </x:row>
    <x:row r="3" ht="28" customHeight="1">
      <x:c r="A3" s="2"/>
      <x:c r="B3" s="2"/>
      <x:c r="C3" s="6" t="str">
        <x:v>Same-quarter prior-year actuals provide seasonality. Fleet contribution replaces the effect embedded in the baseline.</x:v>
      </x:c>
      <x:c r="D3" s="6"/>
      <x:c r="E3" s="6"/>
      <x:c r="F3" s="6"/>
      <x:c r="G3" s="6"/>
      <x:c r="H3" s="6"/>
      <x:c r="I3" s="6"/>
      <x:c r="J3" s="6"/>
      <x:c r="K3" s="6"/>
      <x:c r="L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9" customHeight="1">
      <x:c r="A5" s="2"/>
      <x:c r="B5" s="2"/>
      <x:c r="C5" s="10" t="str">
        <x:v>Fiscal quarter</x:v>
      </x:c>
      <x:c r="D5" s="10" t="str">
        <x:v>Q1 FY26A</x:v>
      </x:c>
      <x:c r="E5" s="10" t="str">
        <x:v>Q2 FY26A</x:v>
      </x:c>
      <x:c r="F5" s="10" t="str">
        <x:v>Q3 FY26A</x:v>
      </x:c>
      <x:c r="G5" s="10" t="str">
        <x:v>Q4 FY26A</x:v>
      </x:c>
      <x:c r="H5" s="71" t="str">
        <x:v>Q1 FY27E</x:v>
      </x:c>
      <x:c r="I5" s="72" t="str">
        <x:v>Q2 FY27E</x:v>
      </x:c>
      <x:c r="J5" s="10" t="str">
        <x:v>Q3 FY27E</x:v>
      </x:c>
      <x:c r="K5" s="10" t="str">
        <x:v>Q4 FY27E</x:v>
      </x:c>
      <x:c r="L5" s="2"/>
    </x:row>
    <x:row r="6" ht="18" customHeight="1">
      <x:c r="A6" s="2"/>
      <x:c r="B6" s="2"/>
      <x:c r="C6" s="105" t="str">
        <x:v>Quarter ending</x:v>
      </x:c>
      <x:c r="D6" s="11" t="n">
        <x:v>45961.5</x:v>
      </x:c>
      <x:c r="E6" s="11" t="n">
        <x:v>46053.5</x:v>
      </x:c>
      <x:c r="F6" s="11" t="n">
        <x:v>46142.5</x:v>
      </x:c>
      <x:c r="G6" s="11" t="n">
        <x:v>46234.5</x:v>
      </x:c>
      <x:c r="H6" s="73" t="n">
        <x:v>46326.5</x:v>
      </x:c>
      <x:c r="I6" s="74" t="n">
        <x:v>46418.5</x:v>
      </x:c>
      <x:c r="J6" s="11" t="n">
        <x:v>46507.5</x:v>
      </x:c>
      <x:c r="K6" s="11" t="n">
        <x:v>46599.5</x:v>
      </x:c>
      <x:c r="L6" s="3"/>
    </x:row>
    <x:row r="7" ht="21" customHeight="1">
      <x:c r="A7" s="2"/>
      <x:c r="B7" s="2"/>
      <x:c r="C7" s="10" t="str">
        <x:v>Forecast drivers</x:v>
      </x:c>
      <x:c r="D7" s="19"/>
      <x:c r="E7" s="19"/>
      <x:c r="F7" s="19"/>
      <x:c r="G7" s="19"/>
      <x:c r="H7" s="64"/>
      <x:c r="I7" s="19"/>
      <x:c r="J7" s="19"/>
      <x:c r="K7" s="19"/>
      <x:c r="L7" s="3"/>
    </x:row>
    <x:row r="8" ht="18" customHeight="1">
      <x:c r="A8" s="2"/>
      <x:c r="B8" s="2"/>
      <x:c r="C8" s="106" t="str">
        <x:v>US service growth before fleet change</x:v>
      </x:c>
      <x:c r="D8" s="90" t="n">
        <x:f>'AD Financials'!H8/'AD Financials'!D8-1</x:f>
        <x:v>-0.00518145559832095</x:v>
      </x:c>
      <x:c r="E8" s="90" t="n">
        <x:f>'AD Financials'!I8/'AD Financials'!E8-1</x:f>
        <x:v>-0.056054968725882115</x:v>
      </x:c>
      <x:c r="F8" s="90" t="n">
        <x:f>'AD Financials'!J8/'AD Financials'!F8-1</x:f>
        <x:v>-0.0035175963277228606</x:v>
      </x:c>
      <x:c r="G8" s="90" t="n">
        <x:f>'AD Financials'!K8/'AD Financials'!G8-1</x:f>
        <x:v>-0.008475860589006179</x:v>
      </x:c>
      <x:c r="H8" s="101" t="n">
        <x:f>$G$8</x:f>
        <x:v>-0.008475860589006179</x:v>
      </x:c>
      <x:c r="I8" s="102" t="n">
        <x:f>$G$8</x:f>
        <x:v>-0.008475860589006179</x:v>
      </x:c>
      <x:c r="J8" s="102" t="n">
        <x:f>$G$8</x:f>
        <x:v>-0.008475860589006179</x:v>
      </x:c>
      <x:c r="K8" s="102" t="n">
        <x:f>$G$8</x:f>
        <x:v>-0.008475860589006179</x:v>
      </x:c>
      <x:c r="L8" s="3"/>
    </x:row>
    <x:row r="9" ht="18" customHeight="1">
      <x:c r="A9" s="2"/>
      <x:c r="B9" s="2"/>
      <x:c r="C9" s="106" t="str">
        <x:v>International service growth</x:v>
      </x:c>
      <x:c r="D9" s="90" t="n">
        <x:f>'AD Financials'!H9/'AD Financials'!D9-1</x:f>
        <x:v>0.07887072008611273</x:v>
      </x:c>
      <x:c r="E9" s="90" t="n">
        <x:f>'AD Financials'!I9/'AD Financials'!E9-1</x:f>
        <x:v>0.07659702316668171</x:v>
      </x:c>
      <x:c r="F9" s="90" t="n">
        <x:f>'AD Financials'!J9/'AD Financials'!F9-1</x:f>
        <x:v>0.17917055157072492</x:v>
      </x:c>
      <x:c r="G9" s="90" t="n">
        <x:f>'AD Financials'!K9/'AD Financials'!G9-1</x:f>
        <x:v>0.15469268470881925</x:v>
      </x:c>
      <x:c r="H9" s="101" t="n">
        <x:f>$G$9</x:f>
        <x:v>0.15469268470881925</x:v>
      </x:c>
      <x:c r="I9" s="102" t="n">
        <x:f>$G$9</x:f>
        <x:v>0.15469268470881925</x:v>
      </x:c>
      <x:c r="J9" s="102" t="n">
        <x:f>$G$9</x:f>
        <x:v>0.15469268470881925</x:v>
      </x:c>
      <x:c r="K9" s="102" t="n">
        <x:f>$G$9</x:f>
        <x:v>0.15469268470881925</x:v>
      </x:c>
      <x:c r="L9" s="3"/>
    </x:row>
    <x:row r="10" ht="18" customHeight="1">
      <x:c r="A10" s="2"/>
      <x:c r="B10" s="2"/>
      <x:c r="C10" s="106" t="str">
        <x:v>US service exposed to insured fleet</x:v>
      </x:c>
      <x:c r="D10" s="103" t="str">
        <x:v>n.a.</x:v>
      </x:c>
      <x:c r="E10" s="103" t="str">
        <x:v>n.a.</x:v>
      </x:c>
      <x:c r="F10" s="103" t="str">
        <x:v>n.a.</x:v>
      </x:c>
      <x:c r="G10" s="103" t="str">
        <x:v>n.a.</x:v>
      </x:c>
      <x:c r="H10" s="104" t="n">
        <x:v>0.9</x:v>
      </x:c>
      <x:c r="I10" s="102" t="n">
        <x:f>$H$10</x:f>
        <x:v>0.9</x:v>
      </x:c>
      <x:c r="J10" s="102" t="n">
        <x:f>$H$10</x:f>
        <x:v>0.9</x:v>
      </x:c>
      <x:c r="K10" s="102" t="n">
        <x:f>$H$10</x:f>
        <x:v>0.9</x:v>
      </x:c>
      <x:c r="L10" s="3"/>
    </x:row>
    <x:row r="11" ht="18" customHeight="1">
      <x:c r="A11" s="2"/>
      <x:c r="B11" s="2"/>
      <x:c r="C11" s="105"/>
      <x:c r="D11" s="3"/>
      <x:c r="E11" s="3"/>
      <x:c r="F11" s="3"/>
      <x:c r="G11" s="3"/>
      <x:c r="H11" s="68"/>
      <x:c r="I11" s="3"/>
      <x:c r="J11" s="3"/>
      <x:c r="K11" s="3"/>
      <x:c r="L11" s="3"/>
    </x:row>
    <x:row r="12" ht="21" customHeight="1">
      <x:c r="A12" s="2"/>
      <x:c r="B12" s="2"/>
      <x:c r="C12" s="10" t="str">
        <x:v>US service revenue</x:v>
      </x:c>
      <x:c r="D12" s="19"/>
      <x:c r="E12" s="19"/>
      <x:c r="F12" s="19"/>
      <x:c r="G12" s="19"/>
      <x:c r="H12" s="64"/>
      <x:c r="I12" s="19"/>
      <x:c r="J12" s="19"/>
      <x:c r="K12" s="19"/>
      <x:c r="L12" s="3"/>
    </x:row>
    <x:row r="13" ht="18" customHeight="1">
      <x:c r="A13" s="2"/>
      <x:c r="B13" s="2"/>
      <x:c r="C13" s="106" t="str">
        <x:v>Prior-year US service revenue</x:v>
      </x:c>
      <x:c r="D13" s="88" t="n">
        <x:f>'AD Financials'!D8</x:f>
        <x:v>859.99</x:v>
      </x:c>
      <x:c r="E13" s="88" t="n">
        <x:f>'AD Financials'!E8</x:f>
        <x:v>868.13</x:v>
      </x:c>
      <x:c r="F13" s="88" t="n">
        <x:f>'AD Financials'!F8</x:f>
        <x:v>898.625</x:v>
      </x:c>
      <x:c r="G13" s="88" t="n">
        <x:f>'AD Financials'!G8</x:f>
        <x:v>824.813</x:v>
      </x:c>
      <x:c r="H13" s="89" t="n">
        <x:f>'AD Financials'!H8</x:f>
        <x:v>855.534</x:v>
      </x:c>
      <x:c r="I13" s="88" t="n">
        <x:f>'AD Financials'!I8</x:f>
        <x:v>819.467</x:v>
      </x:c>
      <x:c r="J13" s="88" t="n">
        <x:f>'AD Financials'!J8</x:f>
        <x:v>895.464</x:v>
      </x:c>
      <x:c r="K13" s="88" t="n">
        <x:f>'AD Financials'!K8</x:f>
        <x:v>817.822</x:v>
      </x:c>
      <x:c r="L13" s="3"/>
    </x:row>
    <x:row r="14" ht="18" customHeight="1">
      <x:c r="A14" s="2"/>
      <x:c r="B14" s="2"/>
      <x:c r="C14" s="106" t="str">
        <x:v>US revenue at baseline growth</x:v>
      </x:c>
      <x:c r="D14" s="87" t="str">
        <x:v>n.a.</x:v>
      </x:c>
      <x:c r="E14" s="87" t="str">
        <x:v>n.a.</x:v>
      </x:c>
      <x:c r="F14" s="87" t="str">
        <x:v>n.a.</x:v>
      </x:c>
      <x:c r="G14" s="87" t="str">
        <x:v>n.a.</x:v>
      </x:c>
      <x:c r="H14" s="84" t="n">
        <x:f>H13*(1+H8)</x:f>
        <x:v>848.2826130868452</x:v>
      </x:c>
      <x:c r="I14" s="83" t="n">
        <x:f>I13*(1+I8)</x:f>
        <x:v>812.5213119507089</x:v>
      </x:c>
      <x:c r="J14" s="83" t="n">
        <x:f>J13*(1+J8)</x:f>
        <x:v>887.8741719735262</x:v>
      </x:c>
      <x:c r="K14" s="83" t="n">
        <x:f>K13*(1+K8)</x:f>
        <x:v>810.8902547413778</x:v>
      </x:c>
      <x:c r="L14" s="3"/>
    </x:row>
    <x:row r="15" ht="18" customHeight="1">
      <x:c r="A15" s="2"/>
      <x:c r="B15" s="2"/>
      <x:c r="C15" s="106" t="str">
        <x:v>Fleet effect in latest reported quarter</x:v>
      </x:c>
      <x:c r="D15" s="103" t="str">
        <x:v>n.a.</x:v>
      </x:c>
      <x:c r="E15" s="103" t="str">
        <x:v>n.a.</x:v>
      </x:c>
      <x:c r="F15" s="103" t="str">
        <x:v>n.a.</x:v>
      </x:c>
      <x:c r="G15" s="103" t="str">
        <x:v>n.a.</x:v>
      </x:c>
      <x:c r="H15" s="91" t="n">
        <x:f>'Volume Build'!$G$17</x:f>
        <x:v>0.001097571100745487</x:v>
      </x:c>
      <x:c r="I15" s="90" t="n">
        <x:f>'Volume Build'!$G$17</x:f>
        <x:v>0.001097571100745487</x:v>
      </x:c>
      <x:c r="J15" s="90" t="n">
        <x:f>'Volume Build'!$G$17</x:f>
        <x:v>0.001097571100745487</x:v>
      </x:c>
      <x:c r="K15" s="90" t="n">
        <x:f>'Volume Build'!$G$17</x:f>
        <x:v>0.001097571100745487</x:v>
      </x:c>
      <x:c r="L15" s="3"/>
    </x:row>
    <x:row r="16" ht="18" customHeight="1">
      <x:c r="A16" s="2"/>
      <x:c r="B16" s="2"/>
      <x:c r="C16" s="106" t="str">
        <x:v>Fleet effect in projected quarter</x:v>
      </x:c>
      <x:c r="D16" s="103" t="str">
        <x:v>n.a.</x:v>
      </x:c>
      <x:c r="E16" s="103" t="str">
        <x:v>n.a.</x:v>
      </x:c>
      <x:c r="F16" s="103" t="str">
        <x:v>n.a.</x:v>
      </x:c>
      <x:c r="G16" s="103" t="str">
        <x:v>n.a.</x:v>
      </x:c>
      <x:c r="H16" s="91" t="n">
        <x:f>'Volume Build'!H17</x:f>
        <x:v>0.0007901976052480109</x:v>
      </x:c>
      <x:c r="I16" s="90" t="n">
        <x:f>'Volume Build'!I17</x:f>
        <x:v>0.00048275356721161344</x:v>
      </x:c>
      <x:c r="J16" s="90" t="n">
        <x:f>'Volume Build'!J17</x:f>
        <x:v>0.00017125477981672077</x:v>
      </x:c>
      <x:c r="K16" s="90" t="n">
        <x:f>'Volume Build'!K17</x:f>
        <x:v>-0.00014147850554047103</x:v>
      </x:c>
      <x:c r="L16" s="3"/>
    </x:row>
    <x:row r="17" ht="18" customHeight="1">
      <x:c r="A17" s="2"/>
      <x:c r="B17" s="2"/>
      <x:c r="C17" s="106" t="str">
        <x:v>Incremental fleet adjustment ($m)</x:v>
      </x:c>
      <x:c r="D17" s="87" t="str">
        <x:v>n.a.</x:v>
      </x:c>
      <x:c r="E17" s="87" t="str">
        <x:v>n.a.</x:v>
      </x:c>
      <x:c r="F17" s="87" t="str">
        <x:v>n.a.</x:v>
      </x:c>
      <x:c r="G17" s="87" t="str">
        <x:v>n.a.</x:v>
      </x:c>
      <x:c r="H17" s="84" t="n">
        <x:f>H14/(1+H10*H15)*H10*(H16-H15)</x:f>
        <x:v>-0.2344340555188817</x:v>
      </x:c>
      <x:c r="I17" s="83" t="n">
        <x:f>I14/(1+I10*I15)*I10*(I16-I15)</x:f>
        <x:v>-0.4491534340154393</x:v>
      </x:c>
      <x:c r="J17" s="83" t="n">
        <x:f>J14/(1+J10*J15)*J10*(J16-J15)</x:f>
        <x:v>-0.7394766374189555</x:v>
      </x:c>
      <x:c r="K17" s="83" t="n">
        <x:f>K14/(1+K10*K15)*K10*(K16-K15)</x:f>
        <x:v>-0.9033675666695073</x:v>
      </x:c>
      <x:c r="L17" s="3"/>
    </x:row>
    <x:row r="18" ht="18" customHeight="1">
      <x:c r="A18" s="2"/>
      <x:c r="B18" s="2"/>
      <x:c r="C18" s="109" t="str">
        <x:v>US service revenue</x:v>
      </x:c>
      <x:c r="D18" s="44" t="n">
        <x:f>'AD Financials'!H8</x:f>
        <x:v>855.534</x:v>
      </x:c>
      <x:c r="E18" s="44" t="n">
        <x:f>'AD Financials'!I8</x:f>
        <x:v>819.467</x:v>
      </x:c>
      <x:c r="F18" s="44" t="n">
        <x:f>'AD Financials'!J8</x:f>
        <x:v>895.464</x:v>
      </x:c>
      <x:c r="G18" s="44" t="n">
        <x:f>'AD Financials'!K8</x:f>
        <x:v>817.822</x:v>
      </x:c>
      <x:c r="H18" s="80" t="n">
        <x:f>H14+H17</x:f>
        <x:v>848.0481790313263</x:v>
      </x:c>
      <x:c r="I18" s="38" t="n">
        <x:f>I14+I17</x:f>
        <x:v>812.0721585166934</x:v>
      </x:c>
      <x:c r="J18" s="38" t="n">
        <x:f>J14+J17</x:f>
        <x:v>887.1346953361073</x:v>
      </x:c>
      <x:c r="K18" s="38" t="n">
        <x:f>K14+K17</x:f>
        <x:v>809.9868871747083</x:v>
      </x:c>
      <x:c r="L18" s="3"/>
    </x:row>
    <x:row r="19" ht="18" customHeight="1">
      <x:c r="A19" s="2"/>
      <x:c r="B19" s="2"/>
      <x:c r="C19" s="105"/>
      <x:c r="D19" s="3"/>
      <x:c r="E19" s="3"/>
      <x:c r="F19" s="3"/>
      <x:c r="G19" s="3"/>
      <x:c r="H19" s="68"/>
      <x:c r="I19" s="3"/>
      <x:c r="J19" s="3"/>
      <x:c r="K19" s="3"/>
      <x:c r="L19" s="3"/>
    </x:row>
    <x:row r="20" ht="21" customHeight="1">
      <x:c r="A20" s="2"/>
      <x:c r="B20" s="2"/>
      <x:c r="C20" s="10" t="str">
        <x:v>International service revenue</x:v>
      </x:c>
      <x:c r="D20" s="19"/>
      <x:c r="E20" s="19"/>
      <x:c r="F20" s="19"/>
      <x:c r="G20" s="19"/>
      <x:c r="H20" s="64"/>
      <x:c r="I20" s="19"/>
      <x:c r="J20" s="19"/>
      <x:c r="K20" s="19"/>
      <x:c r="L20" s="3"/>
    </x:row>
    <x:row r="21" ht="18" customHeight="1">
      <x:c r="A21" s="2"/>
      <x:c r="B21" s="2"/>
      <x:c r="C21" s="106" t="str">
        <x:v>Prior-year international services</x:v>
      </x:c>
      <x:c r="D21" s="88" t="n">
        <x:f>'AD Financials'!D9</x:f>
        <x:v>126.346</x:v>
      </x:c>
      <x:c r="E21" s="88" t="n">
        <x:f>'AD Financials'!E9</x:f>
        <x:v>123.151</x:v>
      </x:c>
      <x:c r="F21" s="88" t="n">
        <x:f>'AD Financials'!F9</x:f>
        <x:v>136.211</x:v>
      </x:c>
      <x:c r="G21" s="88" t="n">
        <x:f>'AD Financials'!G9</x:f>
        <x:v>131.396</x:v>
      </x:c>
      <x:c r="H21" s="89" t="n">
        <x:f>'AD Financials'!H9</x:f>
        <x:v>136.311</x:v>
      </x:c>
      <x:c r="I21" s="88" t="n">
        <x:f>'AD Financials'!I9</x:f>
        <x:v>132.584</x:v>
      </x:c>
      <x:c r="J21" s="88" t="n">
        <x:f>'AD Financials'!J9</x:f>
        <x:v>160.616</x:v>
      </x:c>
      <x:c r="K21" s="88" t="n">
        <x:f>'AD Financials'!K9</x:f>
        <x:v>151.722</x:v>
      </x:c>
      <x:c r="L21" s="3"/>
    </x:row>
    <x:row r="22" ht="18" customHeight="1">
      <x:c r="A22" s="2"/>
      <x:c r="B22" s="2"/>
      <x:c r="C22" s="106" t="str">
        <x:v>International service revenue</x:v>
      </x:c>
      <x:c r="D22" s="88" t="n">
        <x:f>'AD Financials'!H9</x:f>
        <x:v>136.311</x:v>
      </x:c>
      <x:c r="E22" s="88" t="n">
        <x:f>'AD Financials'!I9</x:f>
        <x:v>132.584</x:v>
      </x:c>
      <x:c r="F22" s="88" t="n">
        <x:f>'AD Financials'!J9</x:f>
        <x:v>160.616</x:v>
      </x:c>
      <x:c r="G22" s="88" t="n">
        <x:f>'AD Financials'!K9</x:f>
        <x:v>151.722</x:v>
      </x:c>
      <x:c r="H22" s="84" t="n">
        <x:f>H21*(1+H9)</x:f>
        <x:v>157.39731454534387</x:v>
      </x:c>
      <x:c r="I22" s="83" t="n">
        <x:f>I21*(1+I9)</x:f>
        <x:v>153.0937749094341</x:v>
      </x:c>
      <x:c r="J22" s="83" t="n">
        <x:f>J21*(1+J9)</x:f>
        <x:v>185.46212024719173</x:v>
      </x:c>
      <x:c r="K22" s="83" t="n">
        <x:f>K21*(1+K9)</x:f>
        <x:v>175.19228350939147</x:v>
      </x:c>
      <x:c r="L22" s="3"/>
    </x:row>
    <x:row r="23" ht="18" customHeight="1">
      <x:c r="A23" s="2"/>
      <x:c r="B23" s="2"/>
      <x:c r="C23" s="105"/>
      <x:c r="D23" s="3"/>
      <x:c r="E23" s="3"/>
      <x:c r="F23" s="3"/>
      <x:c r="G23" s="3"/>
      <x:c r="H23" s="68"/>
      <x:c r="I23" s="3"/>
      <x:c r="J23" s="3"/>
      <x:c r="K23" s="3"/>
      <x:c r="L23" s="3"/>
    </x:row>
    <x:row r="24" ht="18" customHeight="1">
      <x:c r="A24" s="2"/>
      <x:c r="B24" s="2"/>
      <x:c r="C24" s="109" t="str">
        <x:v>Total service revenue</x:v>
      </x:c>
      <x:c r="D24" s="38" t="n">
        <x:f>D18+D22</x:f>
        <x:v>991.845</x:v>
      </x:c>
      <x:c r="E24" s="38" t="n">
        <x:f>E18+E22</x:f>
        <x:v>952.0509999999999</x:v>
      </x:c>
      <x:c r="F24" s="38" t="n">
        <x:f>F18+F22</x:f>
        <x:v>1056.0800000000002</x:v>
      </x:c>
      <x:c r="G24" s="38" t="n">
        <x:f>G18+G22</x:f>
        <x:v>969.544</x:v>
      </x:c>
      <x:c r="H24" s="80" t="n">
        <x:f>H18+H22</x:f>
        <x:v>1005.4454935766702</x:v>
      </x:c>
      <x:c r="I24" s="38" t="n">
        <x:f>I18+I22</x:f>
        <x:v>965.1659334261276</x:v>
      </x:c>
      <x:c r="J24" s="38" t="n">
        <x:f>J18+J22</x:f>
        <x:v>1072.596815583299</x:v>
      </x:c>
      <x:c r="K24" s="38" t="n">
        <x:f>K18+K22</x:f>
        <x:v>985.1791706840997</x:v>
      </x:c>
      <x:c r="L24" s="3"/>
    </x:row>
    <x:row r="25" ht="18" customHeight="1">
      <x:c r="A25" s="2"/>
      <x:c r="B25" s="2"/>
      <x:c r="C25" s="106" t="str">
        <x:v>Service revenue growth, YoY</x:v>
      </x:c>
      <x:c r="D25" s="90" t="n">
        <x:f>D24/'AD Financials'!D10-1</x:f>
        <x:v>0.005585317782175636</x:v>
      </x:c>
      <x:c r="E25" s="90" t="n">
        <x:f>E24/'AD Financials'!E10-1</x:f>
        <x:v>-0.03957505490370539</x:v>
      </x:c>
      <x:c r="F25" s="90" t="n">
        <x:f>F24/'AD Financials'!F10-1</x:f>
        <x:v>0.02052885674638305</x:v>
      </x:c>
      <x:c r="G25" s="90" t="n">
        <x:f>G24/'AD Financials'!G10-1</x:f>
        <x:v>0.01394569597232409</x:v>
      </x:c>
      <x:c r="H25" s="91" t="n">
        <x:f>H24/'AD Financials'!H10-1</x:f>
        <x:v>0.013712317526095363</x:v>
      </x:c>
      <x:c r="I25" s="90" t="n">
        <x:f>I24/'AD Financials'!I10-1</x:f>
        <x:v>0.013775452602988292</x:v>
      </x:c>
      <x:c r="J25" s="90" t="n">
        <x:f>J24/'AD Financials'!J10-1</x:f>
        <x:v>0.015639739019107424</x:v>
      </x:c>
      <x:c r="K25" s="90" t="n">
        <x:f>K24/'AD Financials'!K10-1</x:f>
        <x:v>0.016126313693963112</x:v>
      </x:c>
      <x:c r="L25" s="3"/>
    </x:row>
    <x:row r="26" ht="18" customHeight="1">
      <x:c r="A26" s="2"/>
      <x:c r="B26" s="2"/>
      <x:c r="C26" s="105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28" customHeight="1">
      <x:c r="A27" s="2"/>
      <x:c r="B27" s="2"/>
      <x:c r="C27" s="6" t="str">
        <x:v>US forecast = baseline revenue × (1 + exposure × projected fleet growth) / (1 + exposure × reference fleet growth). This avoids adding the same fleet effect twice.</x:v>
      </x:c>
      <x:c r="D27" s="21"/>
      <x:c r="E27" s="21"/>
      <x:c r="F27" s="21"/>
      <x:c r="G27" s="21"/>
      <x:c r="H27" s="21"/>
      <x:c r="I27" s="21"/>
      <x:c r="J27" s="21"/>
      <x:c r="K27" s="21"/>
      <x:c r="L27" s="3"/>
    </x:row>
    <x:row r="28" ht="18" customHeight="1">
      <x:c r="A28" s="2"/>
      <x:c r="B28" s="2"/>
      <x:c r="C28" s="105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8" customHeight="1">
      <x:c r="A29" s="2"/>
      <x:c r="B29" s="2"/>
      <x:c r="C29" s="6" t="str">
        <x:v>Growth inputs default to latest reported YoY rates, not consensus. 90% insured-service exposure is assumed. Carrier contracts, fees, catastrophe and FX need separate forecast judgments.</x:v>
      </x:c>
      <x:c r="D29" s="21"/>
      <x:c r="E29" s="21"/>
      <x:c r="F29" s="21"/>
      <x:c r="G29" s="21"/>
      <x:c r="H29" s="21"/>
      <x:c r="I29" s="21"/>
      <x:c r="J29" s="21"/>
      <x:c r="K29" s="21"/>
      <x:c r="L29" s="3"/>
    </x:row>
    <x:row r="30" ht="18" customHeight="1">
      <x:c r="A30" s="2"/>
      <x:c r="B30" s="2"/>
      <x:c r="C30" s="105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1" customHeight="1">
      <x:c r="A31" s="2"/>
      <x:c r="B31" s="2"/>
      <x:c r="C31" s="10" t="str">
        <x:v>Reconciliation checks</x:v>
      </x:c>
      <x:c r="D31" s="19"/>
      <x:c r="E31" s="19"/>
      <x:c r="F31" s="19"/>
      <x:c r="G31" s="19"/>
      <x:c r="H31" s="19"/>
      <x:c r="I31" s="19"/>
      <x:c r="J31" s="19"/>
      <x:c r="K31" s="19"/>
      <x:c r="L31" s="3"/>
    </x:row>
    <x:row r="32" ht="18" customHeight="1">
      <x:c r="A32" s="2"/>
      <x:c r="B32" s="2"/>
      <x:c r="C32" s="105" t="str">
        <x:v>Service components / reported gap</x:v>
      </x:c>
      <x:c r="D32" s="57" t="n">
        <x:f>D24-'AD Financials'!H10</x:f>
        <x:v>0</x:v>
      </x:c>
      <x:c r="E32" s="57" t="n">
        <x:f>E24-'AD Financials'!I10</x:f>
        <x:v>0</x:v>
      </x:c>
      <x:c r="F32" s="57" t="n">
        <x:f>F24-'AD Financials'!J10</x:f>
        <x:v>0</x:v>
      </x:c>
      <x:c r="G32" s="57" t="n">
        <x:f>G24-'AD Financials'!K10</x:f>
        <x:v>0</x:v>
      </x:c>
      <x:c r="H32" s="58" t="n">
        <x:f>H24-H18-H22</x:f>
        <x:v>0</x:v>
      </x:c>
      <x:c r="I32" s="58" t="n">
        <x:f>I24-I18-I22</x:f>
        <x:v>5.684341886080802e-14</x:v>
      </x:c>
      <x:c r="J32" s="58" t="n">
        <x:f>J24-J18-J22</x:f>
        <x:v>8.526512829121202e-14</x:v>
      </x:c>
      <x:c r="K32" s="58" t="n">
        <x:f>K24-K18-K22</x:f>
        <x:v>0</x:v>
      </x:c>
      <x:c r="L32" s="3"/>
    </x:row>
    <x:row r="33" ht="18" customHeight="1">
      <x:c r="A33" s="2"/>
      <x:c r="B33" s="2"/>
      <x:c r="C33" s="105" t="str">
        <x:v>Price weights / mean-node gap</x:v>
      </x:c>
      <x:c r="D33" s="57" t="n">
        <x:f>SUM('Vehicle Economics'!K13:K15)-1</x:f>
        <x:v>0</x:v>
      </x:c>
      <x:c r="E33" s="57" t="n">
        <x:f>SUMPRODUCT('Vehicle Economics'!J13:J15,'Vehicle Economics'!K13:K15)-1</x:f>
        <x:v>0</x:v>
      </x:c>
      <x:c r="F33" s="59"/>
      <x:c r="G33" s="59"/>
      <x:c r="H33" s="59"/>
      <x:c r="I33" s="59"/>
      <x:c r="J33" s="59"/>
      <x:c r="K33" s="59"/>
      <x:c r="L33" s="3"/>
    </x:row>
    <x:row r="34" ht="18" customHeight="1">
      <x:c r="A34" s="2"/>
      <x:c r="B34" s="2"/>
      <x:c r="C34" s="105" t="str">
        <x:v>Largest CCC calibration gap</x:v>
      </x:c>
      <x:c r="D34" s="57" t="n">
        <x:f>MAX('Loss Calibration'!J8:J13,-MIN('Loss Calibration'!J8:J13))</x:f>
        <x:v>1.2196017529220171e-9</x:v>
      </x:c>
      <x:c r="E34" s="59"/>
      <x:c r="F34" s="59"/>
      <x:c r="G34" s="59"/>
      <x:c r="H34" s="59"/>
      <x:c r="I34" s="59"/>
      <x:c r="J34" s="59"/>
      <x:c r="K34" s="59"/>
      <x:c r="L34" s="3"/>
    </x:row>
    <x:row r="35" ht="18" customHeight="1">
      <x:c r="A35" s="2"/>
      <x:c r="B35" s="2"/>
      <x:c r="C35" s="105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18" customHeight="1">
      <x:c r="A36" s="2"/>
      <x:c r="B36" s="2"/>
      <x:c r="C36" s="105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18" customHeight="1">
      <x:c r="A37" s="2"/>
      <x:c r="B37" s="2"/>
      <x:c r="C37" s="105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18" customHeight="1">
      <x:c r="A38" s="2"/>
      <x:c r="B38" s="2"/>
      <x:c r="C38" s="105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C39" s="108"/>
    </x:row>
    <x:row r="40">
      <x:c r="C40" s="108"/>
    </x:row>
  </x:sheetData>
  <x:mergeCells>
    <x:mergeCell ref="C2:K2"/>
    <x:mergeCell ref="C3:K3"/>
    <x:mergeCell ref="C27:K27"/>
    <x:mergeCell ref="C29:K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4" t="str">
        <x:v>Supporting calculations</x:v>
      </x:c>
      <x:c r="D2" s="4"/>
      <x:c r="E2" s="4"/>
      <x:c r="F2" s="4"/>
      <x:c r="G2" s="4"/>
      <x:c r="H2" s="4"/>
      <x:c r="I2" s="4"/>
      <x:c r="J2" s="4"/>
      <x:c r="K2" s="4"/>
      <x:c r="L2" s="2"/>
      <x:c r="M2" s="2"/>
    </x:row>
    <x:row r="3" ht="28" customHeight="1">
      <x:c r="A3" s="2"/>
      <x:c r="B3" s="2"/>
      <x:c r="C3" s="6" t="str">
        <x:v>Section divider. Supporting schedules remain visible and contain native Excel formulas where applicable.</x:v>
      </x:c>
      <x:c r="D3" s="6"/>
      <x:c r="E3" s="6"/>
      <x:c r="F3" s="6"/>
      <x:c r="G3" s="6"/>
      <x:c r="H3" s="6"/>
      <x:c r="I3" s="6"/>
      <x:c r="J3" s="6"/>
      <x:c r="K3" s="6"/>
      <x:c r="L3" s="2"/>
      <x:c r="M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18" customHeight="1">
      <x:c r="A5" s="2"/>
      <x:c r="B5" s="2"/>
      <x:c r="C5" s="105" t="str">
        <x:v>Cohort Roll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18" customHeight="1">
      <x:c r="A6" s="2"/>
      <x:c r="B6" s="2"/>
      <x:c r="C6" s="105" t="str">
        <x:v>Repair Costs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18" customHeight="1">
      <x:c r="A7" s="2"/>
      <x:c r="B7" s="2"/>
      <x:c r="C7" s="105" t="str">
        <x:v>Loss Calibration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18" customHeight="1">
      <x:c r="A8" s="2"/>
      <x:c r="B8" s="2"/>
      <x:c r="C8" s="105" t="str">
        <x:v>Fee Calculation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</x:row>
    <x:row r="9" ht="18" customHeight="1">
      <x:c r="A9" s="2"/>
      <x:c r="B9" s="2"/>
      <x:c r="C9" s="105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 ht="18" customHeight="1">
      <x:c r="A10" s="2"/>
      <x:c r="B10" s="2"/>
      <x:c r="C10" s="105"/>
      <x:c r="D10" s="3"/>
      <x:c r="E10" s="3"/>
      <x:c r="F10" s="3"/>
      <x:c r="G10" s="3"/>
      <x:c r="H10" s="3"/>
      <x:c r="I10" s="3"/>
      <x:c r="J10" s="3"/>
      <x:c r="K10" s="3"/>
      <x:c r="L10" s="3"/>
      <x:c r="M10" s="3"/>
    </x:row>
    <x:row r="11" ht="18" customHeight="1">
      <x:c r="A11" s="2"/>
      <x:c r="B11" s="2"/>
      <x:c r="C11" s="105"/>
      <x:c r="D11" s="3"/>
      <x:c r="E11" s="3"/>
      <x:c r="F11" s="3"/>
      <x:c r="G11" s="3"/>
      <x:c r="H11" s="3"/>
      <x:c r="I11" s="3"/>
      <x:c r="J11" s="3"/>
      <x:c r="K11" s="3"/>
      <x:c r="L11" s="3"/>
      <x:c r="M11" s="3"/>
    </x:row>
    <x:row r="12" ht="18" customHeight="1">
      <x:c r="A12" s="2"/>
      <x:c r="B12" s="2"/>
      <x:c r="C12" s="105"/>
      <x:c r="D12" s="3"/>
      <x:c r="E12" s="3"/>
      <x:c r="F12" s="3"/>
      <x:c r="G12" s="3"/>
      <x:c r="H12" s="3"/>
      <x:c r="I12" s="3"/>
      <x:c r="J12" s="3"/>
      <x:c r="K12" s="3"/>
      <x:c r="L12" s="3"/>
      <x:c r="M12" s="3"/>
    </x:row>
    <x:row r="13">
      <x:c r="C13" s="108"/>
    </x:row>
    <x:row r="14">
      <x:c r="C14" s="108"/>
    </x:row>
    <x:row r="15">
      <x:c r="C15" s="108"/>
    </x:row>
    <x:row r="16">
      <x:c r="C16" s="108"/>
    </x:row>
    <x:row r="17">
      <x:c r="C17" s="108"/>
    </x:row>
    <x:row r="18">
      <x:c r="C18" s="108"/>
    </x:row>
    <x:row r="19">
      <x:c r="C19" s="108"/>
    </x:row>
    <x:row r="20">
      <x:c r="C20" s="108"/>
    </x:row>
    <x:row r="21">
      <x:c r="C21" s="108"/>
    </x:row>
    <x:row r="22">
      <x:c r="C22" s="108"/>
    </x:row>
    <x:row r="23">
      <x:c r="C23" s="108"/>
    </x:row>
    <x:row r="24">
      <x:c r="C24" s="108"/>
    </x:row>
    <x:row r="25">
      <x:c r="C25" s="108"/>
    </x:row>
    <x:row r="26">
      <x:c r="C26" s="108"/>
    </x:row>
    <x:row r="27">
      <x:c r="C27" s="108"/>
    </x:row>
    <x:row r="28">
      <x:c r="C28" s="108"/>
    </x:row>
    <x:row r="29">
      <x:c r="C29" s="108"/>
    </x:row>
    <x:row r="30">
      <x:c r="C30" s="108"/>
    </x:row>
    <x:row r="31">
      <x:c r="C31" s="108"/>
    </x:row>
    <x:row r="32">
      <x:c r="C32" s="108"/>
    </x:row>
    <x:row r="33">
      <x:c r="C33" s="108"/>
    </x:row>
    <x:row r="34">
      <x:c r="C34" s="108"/>
    </x:row>
    <x:row r="35">
      <x:c r="C35" s="108"/>
    </x:row>
    <x:row r="36">
      <x:c r="C36" s="108"/>
    </x:row>
    <x:row r="37">
      <x:c r="C37" s="108"/>
    </x:row>
    <x:row r="38">
      <x:c r="C38" s="108"/>
    </x:row>
    <x:row r="39">
      <x:c r="C39" s="108"/>
    </x:row>
    <x:row r="40">
      <x:c r="C40" s="108"/>
    </x:row>
  </x:sheetData>
  <x:mergeCells>
    <x:mergeCell ref="C2:K2"/>
    <x:mergeCell ref="C3:K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2"/>
      <x:c r="B2" s="2"/>
      <x:c r="C2" s="4" t="str">
        <x:v>Cohort roll and fiscal-quarter timing</x:v>
      </x:c>
      <x:c r="D2" s="4"/>
      <x:c r="E2" s="4"/>
      <x:c r="F2" s="4"/>
      <x:c r="G2" s="4"/>
      <x:c r="H2" s="4"/>
      <x:c r="I2" s="4"/>
      <x:c r="J2" s="4"/>
      <x:c r="K2" s="4"/>
      <x:c r="L2" s="2"/>
      <x:c r="M2" s="2"/>
      <x:c r="N2" s="2"/>
      <x:c r="O2" s="2"/>
    </x:row>
    <x:row r="3" ht="28" customHeight="1">
      <x:c r="A3" s="2"/>
      <x:c r="B3" s="2"/>
      <x:c r="C3" s="6" t="str">
        <x:v>Live survival, claim weights, total-loss calibration and fees. Historical periods marked M are modeled.</x:v>
      </x:c>
      <x:c r="D3" s="6"/>
      <x:c r="E3" s="6"/>
      <x:c r="F3" s="6"/>
      <x:c r="G3" s="6"/>
      <x:c r="H3" s="6"/>
      <x:c r="I3" s="6"/>
      <x:c r="J3" s="6"/>
      <x:c r="K3" s="6"/>
      <x:c r="L3" s="2"/>
      <x:c r="M3" s="2"/>
      <x:c r="N3" s="2"/>
      <x:c r="O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9" customHeight="1">
      <x:c r="A5" s="2"/>
      <x:c r="B5" s="2"/>
      <x:c r="C5" s="10" t="str">
        <x:v>Fiscal quarter</x:v>
      </x:c>
      <x:c r="D5" s="10" t="str">
        <x:v>Q1 FY25M</x:v>
      </x:c>
      <x:c r="E5" s="10" t="str">
        <x:v>Q2 FY25M</x:v>
      </x:c>
      <x:c r="F5" s="10" t="str">
        <x:v>Q3 FY25M</x:v>
      </x:c>
      <x:c r="G5" s="10" t="str">
        <x:v>Q4 FY25M</x:v>
      </x:c>
      <x:c r="H5" s="10" t="str">
        <x:v>Q1 FY26M</x:v>
      </x:c>
      <x:c r="I5" s="10" t="str">
        <x:v>Q2 FY26M</x:v>
      </x:c>
      <x:c r="J5" s="10" t="str">
        <x:v>Q3 FY26M</x:v>
      </x:c>
      <x:c r="K5" s="10" t="str">
        <x:v>Q4 FY26M</x:v>
      </x:c>
      <x:c r="L5" s="10" t="str">
        <x:v>Q1 FY27E</x:v>
      </x:c>
      <x:c r="M5" s="10" t="str">
        <x:v>Q2 FY27E</x:v>
      </x:c>
      <x:c r="N5" s="10" t="str">
        <x:v>Q3 FY27E</x:v>
      </x:c>
      <x:c r="O5" s="10" t="str">
        <x:v>Q4 FY27E</x:v>
      </x:c>
    </x:row>
    <x:row r="6" ht="18" customHeight="1">
      <x:c r="A6" s="2"/>
      <x:c r="B6" s="2"/>
      <x:c r="C6" s="105" t="str">
        <x:v>Quarter ending</x:v>
      </x:c>
      <x:c r="D6" s="11" t="n">
        <x:v>45596.5</x:v>
      </x:c>
      <x:c r="E6" s="11" t="n">
        <x:v>45688.5</x:v>
      </x:c>
      <x:c r="F6" s="11" t="n">
        <x:v>45777.5</x:v>
      </x:c>
      <x:c r="G6" s="11" t="n">
        <x:v>45869.5</x:v>
      </x:c>
      <x:c r="H6" s="11" t="n">
        <x:v>45961.5</x:v>
      </x:c>
      <x:c r="I6" s="11" t="n">
        <x:v>46053.5</x:v>
      </x:c>
      <x:c r="J6" s="11" t="n">
        <x:v>46142.5</x:v>
      </x:c>
      <x:c r="K6" s="11" t="n">
        <x:v>46234.5</x:v>
      </x:c>
      <x:c r="L6" s="11" t="n">
        <x:v>46326.5</x:v>
      </x:c>
      <x:c r="M6" s="11" t="n">
        <x:v>46418.5</x:v>
      </x:c>
      <x:c r="N6" s="11" t="n">
        <x:v>46507.5</x:v>
      </x:c>
      <x:c r="O6" s="11" t="n">
        <x:v>46599.5</x:v>
      </x:c>
    </x:row>
    <x:row r="7" ht="18" customHeight="1">
      <x:c r="A7" s="2"/>
      <x:c r="B7" s="2"/>
      <x:c r="C7" s="105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</x:row>
    <x:row r="8" ht="18" customHeight="1">
      <x:c r="A8" s="2"/>
      <x:c r="B8" s="2"/>
      <x:c r="C8" s="105" t="str">
        <x:v>Fleet stock (000s)</x:v>
      </x:c>
      <x:c r="D8" s="28" t="n">
        <x:f>SUMPRODUCT($D$30:$H$30,'AD Fleet'!G46:K46)</x:f>
        <x:v>292173.8308419202</x:v>
      </x:c>
      <x:c r="E8" s="28" t="n">
        <x:f>SUMPRODUCT($D$30:$H$30,'AD Fleet'!G47:K47)</x:f>
        <x:v>292228.19816668</x:v>
      </x:c>
      <x:c r="F8" s="28" t="n">
        <x:f>SUMPRODUCT($D$30:$H$30,'AD Fleet'!G48:K48)</x:f>
        <x:v>292355.9010659587</x:v>
      </x:c>
      <x:c r="G8" s="28" t="n">
        <x:f>SUMPRODUCT($D$30:$H$30,'AD Fleet'!G49:K49)</x:f>
        <x:v>292506.1687573971</x:v>
      </x:c>
      <x:c r="H8" s="28" t="n">
        <x:f>SUMPRODUCT($D$30:$H$30,'AD Fleet'!G50:K50)</x:f>
        <x:v>292656.43644883536</x:v>
      </x:c>
      <x:c r="I8" s="28" t="n">
        <x:f>SUMPRODUCT($D$30:$H$30,'AD Fleet'!G51:K51)</x:f>
        <x:v>292807.18033753</x:v>
      </x:c>
      <x:c r="J8" s="28" t="n">
        <x:f>SUMPRODUCT($D$30:$H$30,'AD Fleet'!G52:K52)</x:f>
        <x:v>292964.11479055614</x:v>
      </x:c>
      <x:c r="K8" s="28" t="n">
        <x:f>SUMPRODUCT($D$30:$H$30,'AD Fleet'!G53:K53)</x:f>
        <x:v>293122.95403260755</x:v>
      </x:c>
      <x:c r="L8" s="28" t="n">
        <x:f>SUMPRODUCT($D$30:$H$30,'AD Fleet'!G54:K54)</x:f>
        <x:v>293281.79327465885</x:v>
      </x:c>
      <x:c r="M8" s="28" t="n">
        <x:f>SUMPRODUCT($D$30:$H$30,'AD Fleet'!G55:K55)</x:f>
        <x:v>293440.50908883574</x:v>
      </x:c>
      <x:c r="N8" s="28" t="n">
        <x:f>SUMPRODUCT($D$30:$H$30,'AD Fleet'!G56:K56)</x:f>
        <x:v>293597.6203406451</x:v>
      </x:c>
      <x:c r="O8" s="28" t="n">
        <x:f>SUMPRODUCT($D$30:$H$30,'AD Fleet'!G57:K57)</x:f>
        <x:v>293754.2378809568</x:v>
      </x:c>
    </x:row>
    <x:row r="9" ht="18" customHeight="1">
      <x:c r="A9" s="2"/>
      <x:c r="B9" s="2"/>
      <x:c r="C9" s="105" t="str">
        <x:v>Weighted claim exposure</x:v>
      </x:c>
      <x:c r="D9" s="28" t="n">
        <x:f>SUMPRODUCT($D$31:$H$31,'AD Fleet'!G46:K46)</x:f>
        <x:v>193582.16837858575</x:v>
      </x:c>
      <x:c r="E9" s="28" t="n">
        <x:f>SUMPRODUCT($D$31:$H$31,'AD Fleet'!G47:K47)</x:f>
        <x:v>193549.85339140333</x:v>
      </x:c>
      <x:c r="F9" s="28" t="n">
        <x:f>SUMPRODUCT($D$31:$H$31,'AD Fleet'!G48:K48)</x:f>
        <x:v>193553.33683645423</x:v>
      </x:c>
      <x:c r="G9" s="28" t="n">
        <x:f>SUMPRODUCT($D$31:$H$31,'AD Fleet'!G49:K49)</x:f>
        <x:v>193567.8351837308</x:v>
      </x:c>
      <x:c r="H9" s="28" t="n">
        <x:f>SUMPRODUCT($D$31:$H$31,'AD Fleet'!G50:K50)</x:f>
        <x:v>193582.33353100732</x:v>
      </x:c>
      <x:c r="I9" s="28" t="n">
        <x:f>SUMPRODUCT($D$31:$H$31,'AD Fleet'!G51:K51)</x:f>
        <x:v>193597.9189310943</x:v>
      </x:c>
      <x:c r="J9" s="28" t="n">
        <x:f>SUMPRODUCT($D$31:$H$31,'AD Fleet'!G52:K52)</x:f>
        <x:v>193627.63601771696</x:v>
      </x:c>
      <x:c r="K9" s="28" t="n">
        <x:f>SUMPRODUCT($D$31:$H$31,'AD Fleet'!G53:K53)</x:f>
        <x:v>193661.70131558145</x:v>
      </x:c>
      <x:c r="L9" s="28" t="n">
        <x:f>SUMPRODUCT($D$31:$H$31,'AD Fleet'!G54:K54)</x:f>
        <x:v>193695.76661344589</x:v>
      </x:c>
      <x:c r="M9" s="28" t="n">
        <x:f>SUMPRODUCT($D$31:$H$31,'AD Fleet'!G55:K55)</x:f>
        <x:v>193731.35814175394</x:v>
      </x:c>
      <x:c r="N9" s="28" t="n">
        <x:f>SUMPRODUCT($D$31:$H$31,'AD Fleet'!G56:K56)</x:f>
        <x:v>193786.7906658289</x:v>
      </x:c>
      <x:c r="O9" s="28" t="n">
        <x:f>SUMPRODUCT($D$31:$H$31,'AD Fleet'!G57:K57)</x:f>
        <x:v>193848.32811167836</x:v>
      </x:c>
    </x:row>
    <x:row r="10" ht="18" customHeight="1">
      <x:c r="A10" s="2"/>
      <x:c r="B10" s="2"/>
      <x:c r="C10" s="105" t="str">
        <x:v>Weighted sale exposure</x:v>
      </x:c>
      <x:c r="D10" s="28" t="n">
        <x:f>SUMPRODUCT($D$32:$H$32,'AD Fleet'!G46:K46)</x:f>
        <x:v>45221.00480375148</x:v>
      </x:c>
      <x:c r="E10" s="28" t="n">
        <x:f>SUMPRODUCT($D$32:$H$32,'AD Fleet'!G47:K47)</x:f>
        <x:v>45165.362765920414</x:v>
      </x:c>
      <x:c r="F10" s="28" t="n">
        <x:f>SUMPRODUCT($D$32:$H$32,'AD Fleet'!G48:K48)</x:f>
        <x:v>45139.37735364327</x:v>
      </x:c>
      <x:c r="G10" s="28" t="n">
        <x:f>SUMPRODUCT($D$32:$H$32,'AD Fleet'!G49:K49)</x:f>
        <x:v>45122.51705692119</x:v>
      </x:c>
      <x:c r="H10" s="28" t="n">
        <x:f>SUMPRODUCT($D$32:$H$32,'AD Fleet'!G50:K50)</x:f>
        <x:v>45105.6567601991</x:v>
      </x:c>
      <x:c r="I10" s="28" t="n">
        <x:f>SUMPRODUCT($D$32:$H$32,'AD Fleet'!G51:K51)</x:f>
        <x:v>45088.43683856859</x:v>
      </x:c>
      <x:c r="J10" s="28" t="n">
        <x:f>SUMPRODUCT($D$32:$H$32,'AD Fleet'!G52:K52)</x:f>
        <x:v>45066.541793128665</x:v>
      </x:c>
      <x:c r="K10" s="28" t="n">
        <x:f>SUMPRODUCT($D$32:$H$32,'AD Fleet'!G53:K53)</x:f>
        <x:v>45043.208248055096</x:v>
      </x:c>
      <x:c r="L10" s="28" t="n">
        <x:f>SUMPRODUCT($D$32:$H$32,'AD Fleet'!G54:K54)</x:f>
        <x:v>45019.87470298151</x:v>
      </x:c>
      <x:c r="M10" s="28" t="n">
        <x:f>SUMPRODUCT($D$32:$H$32,'AD Fleet'!G55:K55)</x:f>
        <x:v>44995.951585814815</x:v>
      </x:c>
      <x:c r="N10" s="28" t="n">
        <x:f>SUMPRODUCT($D$32:$H$32,'AD Fleet'!G56:K56)</x:f>
        <x:v>44964.36403143757</x:v>
      </x:c>
      <x:c r="O10" s="28" t="n">
        <x:f>SUMPRODUCT($D$32:$H$32,'AD Fleet'!G57:K57)</x:f>
        <x:v>44930.418188687865</x:v>
      </x:c>
    </x:row>
    <x:row r="11" ht="18" customHeight="1">
      <x:c r="A11" s="2"/>
      <x:c r="B11" s="2"/>
      <x:c r="C11" s="105" t="str">
        <x:v>Weighted fee exposure</x:v>
      </x:c>
      <x:c r="D11" s="28" t="n">
        <x:f>SUMPRODUCT($D$33:$H$33,'AD Fleet'!G46:K46)</x:f>
        <x:v>47342226.71986833</x:v>
      </x:c>
      <x:c r="E11" s="28" t="n">
        <x:f>SUMPRODUCT($D$33:$H$33,'AD Fleet'!G47:K47)</x:f>
        <x:v>47316417.27774966</x:v>
      </x:c>
      <x:c r="F11" s="28" t="n">
        <x:f>SUMPRODUCT($D$33:$H$33,'AD Fleet'!G48:K48)</x:f>
        <x:v>47325373.9668183</x:v>
      </x:c>
      <x:c r="G11" s="28" t="n">
        <x:f>SUMPRODUCT($D$33:$H$33,'AD Fleet'!G49:K49)</x:f>
        <x:v>47345027.92702152</x:v>
      </x:c>
      <x:c r="H11" s="28" t="n">
        <x:f>SUMPRODUCT($D$33:$H$33,'AD Fleet'!G50:K50)</x:f>
        <x:v>47364681.88722472</x:v>
      </x:c>
      <x:c r="I11" s="28" t="n">
        <x:f>SUMPRODUCT($D$33:$H$33,'AD Fleet'!G51:K51)</x:f>
        <x:v>47383528.23208258</x:v>
      </x:c>
      <x:c r="J11" s="28" t="n">
        <x:f>SUMPRODUCT($D$33:$H$33,'AD Fleet'!G52:K52)</x:f>
        <x:v>47391875.57745106</x:v>
      </x:c>
      <x:c r="K11" s="28" t="n">
        <x:f>SUMPRODUCT($D$33:$H$33,'AD Fleet'!G53:K53)</x:f>
        <x:v>47396992.461438194</x:v>
      </x:c>
      <x:c r="L11" s="28" t="n">
        <x:f>SUMPRODUCT($D$33:$H$33,'AD Fleet'!G54:K54)</x:f>
        <x:v>47402109.34542532</x:v>
      </x:c>
      <x:c r="M11" s="28" t="n">
        <x:f>SUMPRODUCT($D$33:$H$33,'AD Fleet'!G55:K55)</x:f>
        <x:v>47406402.799363695</x:v>
      </x:c>
      <x:c r="N11" s="28" t="n">
        <x:f>SUMPRODUCT($D$33:$H$33,'AD Fleet'!G56:K56)</x:f>
        <x:v>47399991.66266818</x:v>
      </x:c>
      <x:c r="O11" s="28" t="n">
        <x:f>SUMPRODUCT($D$33:$H$33,'AD Fleet'!G57:K57)</x:f>
        <x:v>47390286.80577765</x:v>
      </x:c>
    </x:row>
    <x:row r="12" ht="18" customHeight="1">
      <x:c r="A12" s="2"/>
      <x:c r="B12" s="2"/>
      <x:c r="C12" s="105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 ht="18" customHeight="1">
      <x:c r="A13" s="2"/>
      <x:c r="B13" s="2"/>
      <x:c r="C13" s="105" t="str">
        <x:v>Fleet growth, YoY</x:v>
      </x:c>
      <x:c r="D13" s="49" t="str">
        <x:v>n.a.</x:v>
      </x:c>
      <x:c r="E13" s="49" t="str">
        <x:v>n.a.</x:v>
      </x:c>
      <x:c r="F13" s="49" t="str">
        <x:v>n.a.</x:v>
      </x:c>
      <x:c r="G13" s="49" t="str">
        <x:v>n.a.</x:v>
      </x:c>
      <x:c r="H13" s="34" t="n">
        <x:f>H8/D8-1</x:f>
        <x:v>0.001651775607433681</x:v>
      </x:c>
      <x:c r="I13" s="34" t="n">
        <x:f>I8/E8-1</x:f>
        <x:v>0.001981267292076039</x:v>
      </x:c>
      <x:c r="J13" s="34" t="n">
        <x:f>J8/F8-1</x:f>
        <x:v>0.00208038805572186</x:v>
      </x:c>
      <x:c r="K13" s="34" t="n">
        <x:f>K8/G8-1</x:f>
        <x:v>0.0021086231371825193</x:v>
      </x:c>
      <x:c r="L13" s="34" t="n">
        <x:f>L8/H8-1</x:f>
        <x:v>0.0021368292234120734</x:v>
      </x:c>
      <x:c r="M13" s="34" t="n">
        <x:f>M8/I8-1</x:f>
        <x:v>0.0021629549882475896</x:v>
      </x:c>
      <x:c r="N13" s="34" t="n">
        <x:f>N8/J8-1</x:f>
        <x:v>0.002162399823411265</x:v>
      </x:c>
      <x:c r="O13" s="34" t="n">
        <x:f>O8/K8-1</x:f>
        <x:v>0.0021536486299158497</x:v>
      </x:c>
    </x:row>
    <x:row r="14" ht="18" customHeight="1">
      <x:c r="A14" s="2"/>
      <x:c r="B14" s="2"/>
      <x:c r="C14" s="105" t="str">
        <x:v>Claim exposure growth, YoY</x:v>
      </x:c>
      <x:c r="D14" s="49" t="str">
        <x:v>n.a.</x:v>
      </x:c>
      <x:c r="E14" s="49" t="str">
        <x:v>n.a.</x:v>
      </x:c>
      <x:c r="F14" s="49" t="str">
        <x:v>n.a.</x:v>
      </x:c>
      <x:c r="G14" s="49" t="str">
        <x:v>n.a.</x:v>
      </x:c>
      <x:c r="H14" s="34" t="n">
        <x:f>H9/D9-1</x:f>
        <x:v>8.531386075372183e-7</x:v>
      </x:c>
      <x:c r="I14" s="34" t="n">
        <x:f>I9/E9-1</x:f>
        <x:v>0.0002483367403733894</x:v>
      </x:c>
      <x:c r="J14" s="34" t="n">
        <x:f>J9/F9-1</x:f>
        <x:v>0.00038386928625011585</x:v>
      </x:c>
      <x:c r="K14" s="34" t="n">
        <x:f>K9/G9-1</x:f>
        <x:v>0.00048492628830398843</x:v>
      </x:c>
      <x:c r="L14" s="34" t="n">
        <x:f>L9/H9-1</x:f>
        <x:v>0.0005859681530309135</x:v>
      </x:c>
      <x:c r="M14" s="34" t="n">
        <x:f>M9/I9-1</x:f>
        <x:v>0.000689259530249009</x:v>
      </x:c>
      <x:c r="N14" s="34" t="n">
        <x:f>N9/J9-1</x:f>
        <x:v>0.0008219624604486331</x:v>
      </x:c>
      <x:c r="O14" s="34" t="n">
        <x:f>O9/K9-1</x:f>
        <x:v>0.000963674256856839</x:v>
      </x:c>
    </x:row>
    <x:row r="15" ht="18" customHeight="1">
      <x:c r="A15" s="2"/>
      <x:c r="B15" s="2"/>
      <x:c r="C15" s="105" t="str">
        <x:v>Modeled total-loss frequency</x:v>
      </x:c>
      <x:c r="D15" s="34" t="n">
        <x:f>D10/D9</x:f>
        <x:v>0.2336010862080718</x:v>
      </x:c>
      <x:c r="E15" s="34" t="n">
        <x:f>E10/E9</x:f>
        <x:v>0.23335260644494227</x:v>
      </x:c>
      <x:c r="F15" s="34" t="n">
        <x:f>F10/F9</x:f>
        <x:v>0.23321415218888455</x:v>
      </x:c>
      <x:c r="G15" s="34" t="n">
        <x:f>G10/G9</x:f>
        <x:v>0.23310958152779765</x:v>
      </x:c>
      <x:c r="H15" s="34" t="n">
        <x:f>H10/H9</x:f>
        <x:v>0.23300502653034832</x:v>
      </x:c>
      <x:c r="I15" s="34" t="n">
        <x:f>I10/I9</x:f>
        <x:v>0.23289732186954212</x:v>
      </x:c>
      <x:c r="J15" s="34" t="n">
        <x:f>J10/J9</x:f>
        <x:v>0.23274849974930784</x:v>
      </x:c>
      <x:c r="K15" s="34" t="n">
        <x:f>K10/K9</x:f>
        <x:v>0.23258707293216913</x:v>
      </x:c>
      <x:c r="L15" s="34" t="n">
        <x:f>L10/L9</x:f>
        <x:v>0.23242570289533807</x:v>
      </x:c>
      <x:c r="M15" s="34" t="n">
        <x:f>M10/M9</x:f>
        <x:v>0.23225951656670427</x:v>
      </x:c>
      <x:c r="N15" s="34" t="n">
        <x:f>N10/N9</x:f>
        <x:v>0.23203007736980027</x:v>
      </x:c>
      <x:c r="O15" s="34" t="n">
        <x:f>O10/O9</x:f>
        <x:v>0.23178130359114013</x:v>
      </x:c>
    </x:row>
    <x:row r="16" ht="18" customHeight="1">
      <x:c r="A16" s="2"/>
      <x:c r="B16" s="2"/>
      <x:c r="C16" s="105" t="str">
        <x:v>Auction-volume contribution, YoY</x:v>
      </x:c>
      <x:c r="D16" s="49" t="str">
        <x:v>n.a.</x:v>
      </x:c>
      <x:c r="E16" s="49" t="str">
        <x:v>n.a.</x:v>
      </x:c>
      <x:c r="F16" s="49" t="str">
        <x:v>n.a.</x:v>
      </x:c>
      <x:c r="G16" s="49" t="str">
        <x:v>n.a.</x:v>
      </x:c>
      <x:c r="H16" s="34" t="n">
        <x:f>H10/D10-1</x:f>
        <x:v>-0.0025507625063388994</x:v>
      </x:c>
      <x:c r="I16" s="34" t="n">
        <x:f>I10/E10-1</x:f>
        <x:v>-0.0017032062324067176</x:v>
      </x:c>
      <x:c r="J16" s="34" t="n">
        <x:f>J10/F10-1</x:f>
        <x:v>-0.0016135703411231939</x:v>
      </x:c>
      <x:c r="K16" s="34" t="n">
        <x:f>K10/G10-1</x:f>
        <x:v>-0.0017576326419478372</x:v>
      </x:c>
      <x:c r="L16" s="34" t="n">
        <x:f>L10/H10-1</x:f>
        <x:v>-0.0019018026424854062</x:v>
      </x:c>
      <x:c r="M16" s="34" t="n">
        <x:f>M10/I10-1</x:f>
        <x:v>-0.0020511966978340457</x:v>
      </x:c>
      <x:c r="N16" s="34" t="n">
        <x:f>N10/J10-1</x:f>
        <x:v>-0.0022672643079676424</x:v>
      </x:c>
      <x:c r="O16" s="34" t="n">
        <x:f>O10/K10-1</x:f>
        <x:v>-0.002504041424982284</x:v>
      </x:c>
    </x:row>
    <x:row r="17" ht="18" customHeight="1">
      <x:c r="A17" s="2"/>
      <x:c r="B17" s="2"/>
      <x:c r="C17" s="105" t="str">
        <x:v>Modeled service RPU ($)</x:v>
      </x:c>
      <x:c r="D17" s="29" t="n">
        <x:f>D11/D10</x:f>
        <x:v>1046.907889935716</x:v>
      </x:c>
      <x:c r="E17" s="29" t="n">
        <x:f>E11/E10</x:f>
        <x:v>1047.6261980442305</x:v>
      </x:c>
      <x:c r="F17" s="29" t="n">
        <x:f>F11/F10</x:f>
        <x:v>1048.4277086068091</x:v>
      </x:c>
      <x:c r="G17" s="29" t="n">
        <x:f>G11/G10</x:f>
        <x:v>1049.255028643386</x:v>
      </x:c>
      <x:c r="H17" s="29" t="n">
        <x:f>H11/H10</x:f>
        <x:v>1050.0829671771671</x:v>
      </x:c>
      <x:c r="I17" s="29" t="n">
        <x:f>I11/I10</x:f>
        <x:v>1050.9019951552364</x:v>
      </x:c>
      <x:c r="J17" s="29" t="n">
        <x:f>J11/J10</x:f>
        <x:v>1051.5977861136205</x:v>
      </x:c>
      <x:c r="K17" s="29" t="n">
        <x:f>K11/K10</x:f>
        <x:v>1052.256140380159</x:v>
      </x:c>
      <x:c r="L17" s="29" t="n">
        <x:f>L11/L10</x:f>
        <x:v>1052.9151770892433</x:v>
      </x:c>
      <x:c r="M17" s="29" t="n">
        <x:f>M11/M10</x:f>
        <x:v>1053.5704019716472</x:v>
      </x:c>
      <x:c r="N17" s="29" t="n">
        <x:f>N11/N10</x:f>
        <x:v>1054.1679546390938</x:v>
      </x:c>
      <x:c r="O17" s="29" t="n">
        <x:f>O11/O10</x:f>
        <x:v>1054.7484024466326</x:v>
      </x:c>
    </x:row>
    <x:row r="18" ht="18" customHeight="1">
      <x:c r="A18" s="2"/>
      <x:c r="B18" s="2"/>
      <x:c r="C18" s="105" t="str">
        <x:v>Composition contribution to RPU, YoY</x:v>
      </x:c>
      <x:c r="D18" s="49" t="str">
        <x:v>n.a.</x:v>
      </x:c>
      <x:c r="E18" s="49" t="str">
        <x:v>n.a.</x:v>
      </x:c>
      <x:c r="F18" s="49" t="str">
        <x:v>n.a.</x:v>
      </x:c>
      <x:c r="G18" s="49" t="str">
        <x:v>n.a.</x:v>
      </x:c>
      <x:c r="H18" s="34" t="n">
        <x:f>H17/D17-1</x:f>
        <x:v>0.0030328143210822667</x:v>
      </x:c>
      <x:c r="I18" s="34" t="n">
        <x:f>I17/E17-1</x:f>
        <x:v>0.0031268759001266133</x:v>
      </x:c>
      <x:c r="J18" s="34" t="n">
        <x:f>J17/F17-1</x:f>
        <x:v>0.0030236491088393436</x:v>
      </x:c>
      <x:c r="K18" s="34" t="n">
        <x:f>K17/G17-1</x:f>
        <x:v>0.0028602309780239032</x:v>
      </x:c>
      <x:c r="L18" s="34" t="n">
        <x:f>L17/H17-1</x:f>
        <x:v>0.002697129656040298</x:v>
      </x:c>
      <x:c r="M18" s="34" t="n">
        <x:f>M17/I17-1</x:f>
        <x:v>0.0025391585787375437</x:v>
      </x:c>
      <x:c r="N18" s="34" t="n">
        <x:f>N17/J17-1</x:f>
        <x:v>0.0024440604187383475</x:v>
      </x:c>
      <x:c r="O18" s="34" t="n">
        <x:f>O17/K17-1</x:f>
        <x:v>0.0023684937258461325</x:v>
      </x:c>
    </x:row>
    <x:row r="19" ht="18" customHeight="1">
      <x:c r="A19" s="2"/>
      <x:c r="B19" s="2"/>
      <x:c r="C19" s="105" t="str">
        <x:v>Demographic revenue effect, YoY</x:v>
      </x:c>
      <x:c r="D19" s="49" t="str">
        <x:v>n.a.</x:v>
      </x:c>
      <x:c r="E19" s="49" t="str">
        <x:v>n.a.</x:v>
      </x:c>
      <x:c r="F19" s="49" t="str">
        <x:v>n.a.</x:v>
      </x:c>
      <x:c r="G19" s="49" t="str">
        <x:v>n.a.</x:v>
      </x:c>
      <x:c r="H19" s="34" t="n">
        <x:f>(1+H16)*(1+H18)-1</x:f>
        <x:v>0.00047431582568435715</x:v>
      </x:c>
      <x:c r="I19" s="34" t="n">
        <x:f>(1+I16)*(1+I18)-1</x:f>
        <x:v>0.0014183439531987307</x:v>
      </x:c>
      <x:c r="J19" s="34" t="n">
        <x:f>(1+J16)*(1+J18)-1</x:f>
        <x:v>0.001405199897192233</x:v>
      </x:c>
      <x:c r="K19" s="34" t="n">
        <x:f>(1+K16)*(1+K18)-1</x:f>
        <x:v>0.001097571100745487</x:v>
      </x:c>
      <x:c r="L19" s="34" t="n">
        <x:f>(1+L16)*(1+L18)-1</x:f>
        <x:v>0.0007901976052480109</x:v>
      </x:c>
      <x:c r="M19" s="34" t="n">
        <x:f>(1+M16)*(1+M18)-1</x:f>
        <x:v>0.00048275356721161344</x:v>
      </x:c>
      <x:c r="N19" s="34" t="n">
        <x:f>(1+N16)*(1+N18)-1</x:f>
        <x:v>0.00017125477981672077</x:v>
      </x:c>
      <x:c r="O19" s="34" t="n">
        <x:f>(1+O16)*(1+O18)-1</x:f>
        <x:v>-0.00014147850554047103</x:v>
      </x:c>
    </x:row>
    <x:row r="20" ht="18" customHeight="1">
      <x:c r="A20" s="2"/>
      <x:c r="B20" s="2"/>
      <x:c r="C20" s="105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</x:row>
    <x:row r="21" ht="21" customHeight="1">
      <x:c r="A21" s="2"/>
      <x:c r="B21" s="2"/>
      <x:c r="C21" s="10" t="str">
        <x:v>Calendar-year-end cohort engine</x:v>
      </x:c>
      <x:c r="D21" s="19"/>
      <x:c r="E21" s="19"/>
      <x:c r="F21" s="19"/>
      <x:c r="G21" s="19"/>
      <x:c r="H21" s="19"/>
      <x:c r="I21" s="19"/>
      <x:c r="J21" s="19"/>
      <x:c r="K21" s="19"/>
      <x:c r="L21" s="3"/>
      <x:c r="M21" s="3"/>
      <x:c r="N21" s="3"/>
      <x:c r="O21" s="3"/>
    </x:row>
    <x:row r="22" ht="29" customHeight="1">
      <x:c r="A22" s="2"/>
      <x:c r="B22" s="2"/>
      <x:c r="C22" s="10" t="str">
        <x:v>Calendar year</x:v>
      </x:c>
      <x:c r="D22" s="26" t="n">
        <x:v>2023</x:v>
      </x:c>
      <x:c r="E22" s="26" t="n">
        <x:v>2024</x:v>
      </x:c>
      <x:c r="F22" s="26" t="n">
        <x:v>2025</x:v>
      </x:c>
      <x:c r="G22" s="26" t="n">
        <x:v>2026</x:v>
      </x:c>
      <x:c r="H22" s="26" t="n">
        <x:v>2027</x:v>
      </x:c>
      <x:c r="I22" s="3"/>
      <x:c r="J22" s="3"/>
      <x:c r="K22" s="3"/>
      <x:c r="L22" s="3"/>
      <x:c r="M22" s="3"/>
      <x:c r="N22" s="3"/>
      <x:c r="O22" s="3"/>
    </x:row>
    <x:row r="23" ht="18" customHeight="1">
      <x:c r="A23" s="2"/>
      <x:c r="B23" s="2"/>
      <x:c r="C23" s="105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</x:row>
    <x:row r="24" ht="18" customHeight="1">
      <x:c r="A24" s="2"/>
      <x:c r="B24" s="2"/>
      <x:c r="C24" s="105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</x:row>
    <x:row r="25" ht="18" customHeight="1">
      <x:c r="A25" s="2"/>
      <x:c r="B25" s="2"/>
      <x:c r="C25" s="105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</x:row>
    <x:row r="26" ht="18" customHeight="1">
      <x:c r="A26" s="2"/>
      <x:c r="B26" s="2"/>
      <x:c r="C26" s="105" t="str">
        <x:v>New vehicles (000s)</x:v>
      </x:c>
      <x:c r="D26" s="28" t="n">
        <x:f>SUM('AD Fleet'!D59:E59)</x:f>
        <x:v>15168</x:v>
      </x:c>
      <x:c r="E26" s="28" t="n">
        <x:f>SUM('AD Fleet'!D60:E60)</x:f>
        <x:v>15496.2</x:v>
      </x:c>
      <x:c r="F26" s="28" t="n">
        <x:f>SUM('AD Fleet'!D61:E61)</x:f>
        <x:v>15854.9</x:v>
      </x:c>
      <x:c r="G26" s="46" t="n">
        <x:f>F26</x:f>
        <x:v>15854.9</x:v>
      </x:c>
      <x:c r="H26" s="46" t="n">
        <x:f>G26</x:f>
        <x:v>15854.9</x:v>
      </x:c>
      <x:c r="I26" s="3"/>
      <x:c r="J26" s="3"/>
      <x:c r="K26" s="3"/>
      <x:c r="L26" s="3"/>
      <x:c r="M26" s="3"/>
      <x:c r="N26" s="3"/>
      <x:c r="O26" s="3"/>
    </x:row>
    <x:row r="27" ht="18" customHeight="1">
      <x:c r="A27" s="2"/>
      <x:c r="B27" s="2"/>
      <x:c r="C27" s="105" t="str">
        <x:v>LT share of new vehicles</x:v>
      </x:c>
      <x:c r="D27" s="33" t="n">
        <x:f>'AD Fleet'!E59/D26</x:f>
        <x:v>0.7900448312236287</x:v>
      </x:c>
      <x:c r="E27" s="33" t="n">
        <x:f>'AD Fleet'!E60/E26</x:f>
        <x:v>0.8037906067293917</x:v>
      </x:c>
      <x:c r="F27" s="33" t="n">
        <x:f>'AD Fleet'!E61/F26</x:f>
        <x:v>0.8256438072772455</x:v>
      </x:c>
      <x:c r="G27" s="47" t="n">
        <x:f>F27</x:f>
        <x:v>0.8256438072772455</x:v>
      </x:c>
      <x:c r="H27" s="47" t="n">
        <x:f>G27</x:f>
        <x:v>0.8256438072772455</x:v>
      </x:c>
      <x:c r="I27" s="3"/>
      <x:c r="J27" s="3"/>
      <x:c r="K27" s="3"/>
      <x:c r="L27" s="3"/>
      <x:c r="M27" s="3"/>
      <x:c r="N27" s="3"/>
      <x:c r="O27" s="3"/>
    </x:row>
    <x:row r="28" ht="18" customHeight="1">
      <x:c r="A28" s="2"/>
      <x:c r="B28" s="2"/>
      <x:c r="C28" s="105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</x:row>
    <x:row r="29" ht="18" customHeight="1">
      <x:c r="A29" s="2"/>
      <x:c r="B29" s="2"/>
      <x:c r="C29" s="105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</x:row>
    <x:row r="30" ht="18" customHeight="1">
      <x:c r="A30" s="2"/>
      <x:c r="B30" s="2"/>
      <x:c r="C30" s="105" t="str">
        <x:v>Vehicles (000s)</x:v>
      </x:c>
      <x:c r="D30" s="29" t="n">
        <x:f>SUM(D42:D225)</x:f>
        <x:v>292035.77348288044</x:v>
      </x:c>
      <x:c r="E30" s="29" t="n">
        <x:f>SUM(E42:E225)</x:f>
        <x:v>292230.6779897601</x:v>
      </x:c>
      <x:c r="F30" s="29" t="n">
        <x:f>SUM(F42:F225)</x:f>
        <x:v>292831.7487555134</x:v>
      </x:c>
      <x:c r="G30" s="29" t="n">
        <x:f>SUM(G42:G225)</x:f>
        <x:v>293467.1057237187</x:v>
      </x:c>
      <x:c r="H30" s="29" t="n">
        <x:f>SUM(H42:H225)</x:f>
        <x:v>294093.57588496536</x:v>
      </x:c>
      <x:c r="I30" s="3"/>
      <x:c r="J30" s="3"/>
      <x:c r="K30" s="3"/>
      <x:c r="L30" s="3"/>
      <x:c r="M30" s="3"/>
      <x:c r="N30" s="3"/>
      <x:c r="O30" s="3"/>
    </x:row>
    <x:row r="31" ht="18" customHeight="1">
      <x:c r="A31" s="2"/>
      <x:c r="B31" s="2"/>
      <x:c r="C31" s="105" t="str">
        <x:v>Claim exposure</x:v>
      </x:c>
      <x:c r="D31" s="29" t="n">
        <x:f>SUMPRODUCT(D42:D225,$O$42:$O$225)</x:f>
        <x:v>193681.52973134577</x:v>
      </x:c>
      <x:c r="E31" s="29" t="n">
        <x:f>SUMPRODUCT(E42:E225,$O$42:$O$225)</x:f>
        <x:v>193541.25488039045</x:v>
      </x:c>
      <x:c r="F31" s="29" t="n">
        <x:f>SUMPRODUCT(F42:F225,$O$42:$O$225)</x:f>
        <x:v>193599.2482694966</x:v>
      </x:c>
      <x:c r="G31" s="29" t="n">
        <x:f>SUMPRODUCT(G42:G225,$O$42:$O$225)</x:f>
        <x:v>193735.5094609544</x:v>
      </x:c>
      <x:c r="H31" s="29" t="n">
        <x:f>SUMPRODUCT(H42:H225,$O$42:$O$225)</x:f>
        <x:v>193981.65924435205</x:v>
      </x:c>
      <x:c r="I31" s="3"/>
      <x:c r="J31" s="3"/>
      <x:c r="K31" s="3"/>
      <x:c r="L31" s="3"/>
      <x:c r="M31" s="3"/>
      <x:c r="N31" s="3"/>
      <x:c r="O31" s="3"/>
    </x:row>
    <x:row r="32" ht="18" customHeight="1">
      <x:c r="A32" s="2"/>
      <x:c r="B32" s="2"/>
      <x:c r="C32" s="105" t="str">
        <x:v>Sale exposure</x:v>
      </x:c>
      <x:c r="D32" s="29" t="n">
        <x:f>SUMPRODUCT(D42:D225,$O$42:$O$225,$J$42:$J$225)</x:f>
        <x:v>45385.12086779097</x:v>
      </x:c>
      <x:c r="E32" s="29" t="n">
        <x:f>SUMPRODUCT(E42:E225,$O$42:$O$225,$J$42:$J$225)</x:f>
        <x:v>45153.42760091169</x:v>
      </x:c>
      <x:c r="F32" s="29" t="n">
        <x:f>SUMPRODUCT(F42:F225,$O$42:$O$225,$J$42:$J$225)</x:f>
        <x:v>45085.98641402332</x:v>
      </x:c>
      <x:c r="G32" s="29" t="n">
        <x:f>SUMPRODUCT(G42:G225,$O$42:$O$225,$J$42:$J$225)</x:f>
        <x:v>44992.652233729</x:v>
      </x:c>
      <x:c r="H32" s="29" t="n">
        <x:f>SUMPRODUCT(H42:H225,$O$42:$O$225,$J$42:$J$225)</x:f>
        <x:v>44856.868862730145</x:v>
      </x:c>
      <x:c r="I32" s="3"/>
      <x:c r="J32" s="3"/>
      <x:c r="K32" s="3"/>
      <x:c r="L32" s="3"/>
      <x:c r="M32" s="3"/>
      <x:c r="N32" s="3"/>
      <x:c r="O32" s="3"/>
    </x:row>
    <x:row r="33" ht="18" customHeight="1">
      <x:c r="A33" s="2"/>
      <x:c r="B33" s="2"/>
      <x:c r="C33" s="105" t="str">
        <x:v>Fee exposure</x:v>
      </x:c>
      <x:c r="D33" s="29" t="n">
        <x:f>SUMPRODUCT(D42:D225,$O$42:$O$225,$J$42:$J$225,$I$42:$I$225)</x:f>
        <x:v>47422930.7062582</x:v>
      </x:c>
      <x:c r="E33" s="29" t="n">
        <x:f>SUMPRODUCT(E42:E225,$O$42:$O$225,$J$42:$J$225,$I$42:$I$225)</x:f>
        <x:v>47308995.66664897</x:v>
      </x:c>
      <x:c r="F33" s="29" t="n">
        <x:f>SUMPRODUCT(F42:F225,$O$42:$O$225,$J$42:$J$225,$I$42:$I$225)</x:f>
        <x:v>47387611.507461786</x:v>
      </x:c>
      <x:c r="G33" s="29" t="n">
        <x:f>SUMPRODUCT(G42:G225,$O$42:$O$225,$J$42:$J$225,$I$42:$I$225)</x:f>
        <x:v>47408079.04341031</x:v>
      </x:c>
      <x:c r="H33" s="29" t="n">
        <x:f>SUMPRODUCT(H42:H225,$O$42:$O$225,$J$42:$J$225,$I$42:$I$225)</x:f>
        <x:v>47369259.615848124</x:v>
      </x:c>
      <x:c r="I33" s="3"/>
      <x:c r="J33" s="3"/>
      <x:c r="K33" s="3"/>
      <x:c r="L33" s="3"/>
      <x:c r="M33" s="3"/>
      <x:c r="N33" s="3"/>
      <x:c r="O33" s="3"/>
    </x:row>
    <x:row r="34" ht="18" customHeight="1">
      <x:c r="A34" s="2"/>
      <x:c r="B34" s="2"/>
      <x:c r="C34" s="105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</x:row>
    <x:row r="35" ht="28" customHeight="1">
      <x:c r="A35" s="2"/>
      <x:c r="B35" s="2"/>
      <x:c r="C35" s="6" t="str">
        <x:v>Quarter stocks average three monthly midpoints between calendar-year-end stocks. Same-quarter prior-year reported service revenue supplies financial seasonality.</x:v>
      </x:c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</x:row>
    <x:row r="36" ht="18" customHeight="1">
      <x:c r="A36" s="2"/>
      <x:c r="B36" s="2"/>
      <x:c r="C36" s="105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</x:row>
    <x:row r="37" ht="18" customHeight="1">
      <x:c r="A37" s="2"/>
      <x:c r="B37" s="2"/>
      <x:c r="C37" s="105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</x:row>
    <x:row r="38" ht="18" customHeight="1">
      <x:c r="A38" s="2"/>
      <x:c r="B38" s="2"/>
      <x:c r="C38" s="105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</x:row>
    <x:row r="39" ht="18" customHeight="1">
      <x:c r="A39" s="2"/>
      <x:c r="B39" s="2"/>
      <x:c r="C39" s="105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</x:row>
    <x:row r="40" ht="29" customHeight="1">
      <x:c r="A40" s="2"/>
      <x:c r="B40" s="2"/>
      <x:c r="C40" s="10" t="str">
        <x:v>Body / age</x:v>
      </x:c>
      <x:c r="D40" s="26" t="n">
        <x:v>2023</x:v>
      </x:c>
      <x:c r="E40" s="26" t="n">
        <x:v>2024</x:v>
      </x:c>
      <x:c r="F40" s="26" t="n">
        <x:v>2025</x:v>
      </x:c>
      <x:c r="G40" s="26" t="n">
        <x:v>2026</x:v>
      </x:c>
      <x:c r="H40" s="26" t="n">
        <x:v>2027</x:v>
      </x:c>
      <x:c r="I40" s="25" t="str">
        <x:v>Service RPU</x:v>
      </x:c>
      <x:c r="J40" s="25" t="str">
        <x:v>TL probability</x:v>
      </x:c>
      <x:c r="K40" s="25" t="str">
        <x:v>Body</x:v>
      </x:c>
      <x:c r="L40" s="25" t="str">
        <x:v>Age</x:v>
      </x:c>
      <x:c r="M40" s="25" t="str">
        <x:v>Bucket</x:v>
      </x:c>
      <x:c r="N40" s="25" t="str">
        <x:v>Survival</x:v>
      </x:c>
      <x:c r="O40" s="25" t="str">
        <x:v>Claim weight</x:v>
      </x:c>
    </x:row>
    <x:row r="41" ht="18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</x:row>
    <x:row r="42" ht="18" customHeight="1">
      <x:c r="A42" s="2"/>
      <x:c r="B42" s="2"/>
      <x:c r="C42" s="2" t="str">
        <x:v>Car / 0</x:v>
      </x:c>
      <x:c r="D42" s="28" t="n">
        <x:f>INDEX('AD Fleet'!$D$6:$D$61,MATCH(2023,'AD Fleet'!$C$6:$C$61,0))*$N42</x:f>
        <x:v>3184.6</x:v>
      </x:c>
      <x:c r="E42" s="28" t="n">
        <x:f>INDEX('AD Fleet'!$D$6:$D$61,MATCH(2024,'AD Fleet'!$C$6:$C$61,0))*$N42</x:f>
        <x:v>3040.5</x:v>
      </x:c>
      <x:c r="F42" s="28" t="n">
        <x:f>INDEX('AD Fleet'!$D$6:$D$61,MATCH(2025,'AD Fleet'!$C$6:$C$61,0))*$N42</x:f>
        <x:v>2764.4</x:v>
      </x:c>
      <x:c r="G42" s="29" t="n">
        <x:f>G$26*(1-G$27)*$N42</x:f>
        <x:v>2764.4</x:v>
      </x:c>
      <x:c r="H42" s="29" t="n">
        <x:f>H$26*(1-H$27)*$N42</x:f>
        <x:v>2764.4</x:v>
      </x:c>
      <x:c r="I42" s="28" t="n">
        <x:f>'Fee Calculation'!M8</x:f>
        <x:v>1462.4438194150855</x:v>
      </x:c>
      <x:c r="J42" s="33" t="n">
        <x:f>INDEX('Loss Calibration'!$E$8:$H$13,M42,1)</x:f>
        <x:v>0.12970305926838227</x:v>
      </x:c>
      <x:c r="K42" s="3" t="str">
        <x:v>Car</x:v>
      </x:c>
      <x:c r="L42" s="48" t="n">
        <x:v>0</x:v>
      </x:c>
      <x:c r="M42" s="48" t="n">
        <x:v>1</x:v>
      </x:c>
      <x:c r="N42" s="33" t="n">
        <x:f>IF(($L42/'Volume Build'!$D$22)&gt;=31,0,INDEX('AD Fleet'!$H$6:$H$37,INT(($L42/'Volume Build'!$D$22))+1)+(($L42/'Volume Build'!$D$22)-INT(($L42/'Volume Build'!$D$22)))*(INDEX('AD Fleet'!$H$6:$H$37,MIN(INT(($L42/'Volume Build'!$D$22))+2,32))-INDEX('AD Fleet'!$H$6:$H$37,INT(($L42/'Volume Build'!$D$22))+1)))</x:f>
        <x:v>1</x:v>
      </x:c>
      <x:c r="O42" s="33" t="n">
        <x:f>IF(L42=0,'Volume Build'!$D$25,1)*EXP(-'Volume Build'!$D$24*MAX(L42-6,0))*'Vehicle Economics'!D$10</x:f>
        <x:v>0.5</x:v>
      </x:c>
    </x:row>
    <x:row r="43" ht="18" customHeight="1">
      <x:c r="A43" s="2"/>
      <x:c r="B43" s="2"/>
      <x:c r="C43" s="2" t="str">
        <x:v>Car / 1</x:v>
      </x:c>
      <x:c r="D43" s="28" t="n">
        <x:f>INDEX('AD Fleet'!$D$6:$D$61,MATCH(2022,'AD Fleet'!$C$6:$C$61,0))*$N43</x:f>
        <x:v>2923.777086614173</x:v>
      </x:c>
      <x:c r="E43" s="28" t="n">
        <x:f>INDEX('AD Fleet'!$D$6:$D$61,MATCH(2023,'AD Fleet'!$C$6:$C$61,0))*$N43</x:f>
        <x:v>3177.0773228346457</x:v>
      </x:c>
      <x:c r="F43" s="28" t="n">
        <x:f>INDEX('AD Fleet'!$D$6:$D$61,MATCH(2024,'AD Fleet'!$C$6:$C$61,0))*$N43</x:f>
        <x:v>3033.317716535433</x:v>
      </x:c>
      <x:c r="G43" s="28" t="n">
        <x:f>INDEX('AD Fleet'!$D$6:$D$61,MATCH(2025,'AD Fleet'!$C$6:$C$61,0))*$N43</x:f>
        <x:v>2757.8699212598426</x:v>
      </x:c>
      <x:c r="H43" s="29" t="n">
        <x:f>G$26*(1-G$27)*$N43</x:f>
        <x:v>2757.8699212598426</x:v>
      </x:c>
      <x:c r="I43" s="28" t="n">
        <x:f>'Fee Calculation'!M9</x:f>
        <x:v>1393.902373338834</x:v>
      </x:c>
      <x:c r="J43" s="33" t="n">
        <x:f>INDEX('Loss Calibration'!$E$8:$H$13,M43,1)</x:f>
        <x:v>0.1414675778549528</x:v>
      </x:c>
      <x:c r="K43" s="3" t="str">
        <x:v>Car</x:v>
      </x:c>
      <x:c r="L43" s="48" t="n">
        <x:v>1</x:v>
      </x:c>
      <x:c r="M43" s="48" t="n">
        <x:v>2</x:v>
      </x:c>
      <x:c r="N43" s="33" t="n">
        <x:f>IF(($L43/'Volume Build'!$D$22)&gt;=31,0,INDEX('AD Fleet'!$H$6:$H$37,INT(($L43/'Volume Build'!$D$22))+1)+(($L43/'Volume Build'!$D$22)-INT(($L43/'Volume Build'!$D$22)))*(INDEX('AD Fleet'!$H$6:$H$37,MIN(INT(($L43/'Volume Build'!$D$22))+2,32))-INDEX('AD Fleet'!$H$6:$H$37,INT(($L43/'Volume Build'!$D$22))+1)))</x:f>
        <x:v>0.9976377952755906</x:v>
      </x:c>
      <x:c r="O43" s="33" t="n">
        <x:f>IF(L43=0,'Volume Build'!$D$25,1)*EXP(-'Volume Build'!$D$24*MAX(L43-6,0))*'Vehicle Economics'!D$10</x:f>
        <x:v>1</x:v>
      </x:c>
    </x:row>
    <x:row r="44" ht="18" customHeight="1">
      <x:c r="A44" s="2"/>
      <x:c r="B44" s="2"/>
      <x:c r="C44" s="2" t="str">
        <x:v>Car / 2</x:v>
      </x:c>
      <x:c r="D44" s="28" t="n">
        <x:f>INDEX('AD Fleet'!$D$6:$D$61,MATCH(2021,'AD Fleet'!$C$6:$C$61,0))*$N44</x:f>
        <x:v>3334.2727559055115</x:v>
      </x:c>
      <x:c r="E44" s="28" t="n">
        <x:f>INDEX('AD Fleet'!$D$6:$D$61,MATCH(2022,'AD Fleet'!$C$6:$C$61,0))*$N44</x:f>
        <x:v>2916.854173228346</x:v>
      </x:c>
      <x:c r="F44" s="28" t="n">
        <x:f>INDEX('AD Fleet'!$D$6:$D$61,MATCH(2023,'AD Fleet'!$C$6:$C$61,0))*$N44</x:f>
        <x:v>3169.5546456692914</x:v>
      </x:c>
      <x:c r="G44" s="28" t="n">
        <x:f>INDEX('AD Fleet'!$D$6:$D$61,MATCH(2024,'AD Fleet'!$C$6:$C$61,0))*$N44</x:f>
        <x:v>3026.135433070866</x:v>
      </x:c>
      <x:c r="H44" s="28" t="n">
        <x:f>INDEX('AD Fleet'!$D$6:$D$61,MATCH(2025,'AD Fleet'!$C$6:$C$61,0))*$N44</x:f>
        <x:v>2751.339842519685</x:v>
      </x:c>
      <x:c r="I44" s="28" t="n">
        <x:f>'Fee Calculation'!M10</x:f>
        <x:v>1335.814911419096</x:v>
      </x:c>
      <x:c r="J44" s="33" t="n">
        <x:f>INDEX('Loss Calibration'!$E$8:$H$13,M44,1)</x:f>
        <x:v>0.1414675778549528</x:v>
      </x:c>
      <x:c r="K44" s="3" t="str">
        <x:v>Car</x:v>
      </x:c>
      <x:c r="L44" s="48" t="n">
        <x:v>2</x:v>
      </x:c>
      <x:c r="M44" s="48" t="n">
        <x:v>2</x:v>
      </x:c>
      <x:c r="N44" s="33" t="n">
        <x:f>IF(($L44/'Volume Build'!$D$22)&gt;=31,0,INDEX('AD Fleet'!$H$6:$H$37,INT(($L44/'Volume Build'!$D$22))+1)+(($L44/'Volume Build'!$D$22)-INT(($L44/'Volume Build'!$D$22)))*(INDEX('AD Fleet'!$H$6:$H$37,MIN(INT(($L44/'Volume Build'!$D$22))+2,32))-INDEX('AD Fleet'!$H$6:$H$37,INT(($L44/'Volume Build'!$D$22))+1)))</x:f>
        <x:v>0.9952755905511811</x:v>
      </x:c>
      <x:c r="O44" s="33" t="n">
        <x:f>IF(L44=0,'Volume Build'!$D$25,1)*EXP(-'Volume Build'!$D$24*MAX(L44-6,0))*'Vehicle Economics'!D$10</x:f>
        <x:v>1</x:v>
      </x:c>
    </x:row>
    <x:row r="45" ht="18" customHeight="1">
      <x:c r="A45" s="2"/>
      <x:c r="B45" s="2"/>
      <x:c r="C45" s="2" t="str">
        <x:v>Car / 3</x:v>
      </x:c>
      <x:c r="D45" s="28" t="n">
        <x:f>INDEX('AD Fleet'!$D$6:$D$61,MATCH(2020,'AD Fleet'!$C$6:$C$61,0))*$N45</x:f>
        <x:v>3377.692755905512</x:v>
      </x:c>
      <x:c r="E45" s="28" t="n">
        <x:f>INDEX('AD Fleet'!$D$6:$D$61,MATCH(2021,'AD Fleet'!$C$6:$C$61,0))*$N45</x:f>
        <x:v>3326.359133858268</x:v>
      </x:c>
      <x:c r="F45" s="28" t="n">
        <x:f>INDEX('AD Fleet'!$D$6:$D$61,MATCH(2022,'AD Fleet'!$C$6:$C$61,0))*$N45</x:f>
        <x:v>2909.9312598425195</x:v>
      </x:c>
      <x:c r="G45" s="28" t="n">
        <x:f>INDEX('AD Fleet'!$D$6:$D$61,MATCH(2023,'AD Fleet'!$C$6:$C$61,0))*$N45</x:f>
        <x:v>3162.031968503937</x:v>
      </x:c>
      <x:c r="H45" s="28" t="n">
        <x:f>INDEX('AD Fleet'!$D$6:$D$61,MATCH(2024,'AD Fleet'!$C$6:$C$61,0))*$N45</x:f>
        <x:v>3018.953149606299</x:v>
      </x:c>
      <x:c r="I45" s="28" t="n">
        <x:f>'Fee Calculation'!M11</x:f>
        <x:v>1286.6503248964573</x:v>
      </x:c>
      <x:c r="J45" s="33" t="n">
        <x:f>INDEX('Loss Calibration'!$E$8:$H$13,M45,1)</x:f>
        <x:v>0.1414675778549528</x:v>
      </x:c>
      <x:c r="K45" s="3" t="str">
        <x:v>Car</x:v>
      </x:c>
      <x:c r="L45" s="48" t="n">
        <x:v>3</x:v>
      </x:c>
      <x:c r="M45" s="48" t="n">
        <x:v>2</x:v>
      </x:c>
      <x:c r="N45" s="33" t="n">
        <x:f>IF(($L45/'Volume Build'!$D$22)&gt;=31,0,INDEX('AD Fleet'!$H$6:$H$37,INT(($L45/'Volume Build'!$D$22))+1)+(($L45/'Volume Build'!$D$22)-INT(($L45/'Volume Build'!$D$22)))*(INDEX('AD Fleet'!$H$6:$H$37,MIN(INT(($L45/'Volume Build'!$D$22))+2,32))-INDEX('AD Fleet'!$H$6:$H$37,INT(($L45/'Volume Build'!$D$22))+1)))</x:f>
        <x:v>0.9929133858267717</x:v>
      </x:c>
      <x:c r="O45" s="33" t="n">
        <x:f>IF(L45=0,'Volume Build'!$D$25,1)*EXP(-'Volume Build'!$D$24*MAX(L45-6,0))*'Vehicle Economics'!D$10</x:f>
        <x:v>1</x:v>
      </x:c>
    </x:row>
    <x:row r="46" ht="18" customHeight="1">
      <x:c r="A46" s="2"/>
      <x:c r="B46" s="2"/>
      <x:c r="C46" s="2" t="str">
        <x:v>Car / 4</x:v>
      </x:c>
      <x:c r="D46" s="28" t="n">
        <x:f>INDEX('AD Fleet'!$D$6:$D$61,MATCH(2019,'AD Fleet'!$C$6:$C$61,0))*$N46</x:f>
        <x:v>4672.280022047244</x:v>
      </x:c>
      <x:c r="E46" s="28" t="n">
        <x:f>INDEX('AD Fleet'!$D$6:$D$61,MATCH(2020,'AD Fleet'!$C$6:$C$61,0))*$N46</x:f>
        <x:v>3367.6212850393704</x:v>
      </x:c>
      <x:c r="F46" s="28" t="n">
        <x:f>INDEX('AD Fleet'!$D$6:$D$61,MATCH(2021,'AD Fleet'!$C$6:$C$61,0))*$N46</x:f>
        <x:v>3316.440727559055</x:v>
      </x:c>
      <x:c r="G46" s="28" t="n">
        <x:f>INDEX('AD Fleet'!$D$6:$D$61,MATCH(2022,'AD Fleet'!$C$6:$C$61,0))*$N46</x:f>
        <x:v>2901.254541732283</x:v>
      </x:c>
      <x:c r="H46" s="28" t="n">
        <x:f>INDEX('AD Fleet'!$D$6:$D$61,MATCH(2023,'AD Fleet'!$C$6:$C$61,0))*$N46</x:f>
        <x:v>3152.6035464566926</x:v>
      </x:c>
      <x:c r="I46" s="28" t="n">
        <x:f>'Fee Calculation'!M12</x:f>
        <x:v>1214.904256046861</x:v>
      </x:c>
      <x:c r="J46" s="33" t="n">
        <x:f>INDEX('Loss Calibration'!$E$8:$H$13,M46,1)</x:f>
        <x:v>0.19811643359572595</x:v>
      </x:c>
      <x:c r="K46" s="3" t="str">
        <x:v>Car</x:v>
      </x:c>
      <x:c r="L46" s="48" t="n">
        <x:v>4</x:v>
      </x:c>
      <x:c r="M46" s="48" t="n">
        <x:v>3</x:v>
      </x:c>
      <x:c r="N46" s="33" t="n">
        <x:f>IF(($L46/'Volume Build'!$D$22)&gt;=31,0,INDEX('AD Fleet'!$H$6:$H$37,INT(($L46/'Volume Build'!$D$22))+1)+(($L46/'Volume Build'!$D$22)-INT(($L46/'Volume Build'!$D$22)))*(INDEX('AD Fleet'!$H$6:$H$37,MIN(INT(($L46/'Volume Build'!$D$22))+2,32))-INDEX('AD Fleet'!$H$6:$H$37,INT(($L46/'Volume Build'!$D$22))+1)))</x:f>
        <x:v>0.9899527559055118</x:v>
      </x:c>
      <x:c r="O46" s="33" t="n">
        <x:f>IF(L46=0,'Volume Build'!$D$25,1)*EXP(-'Volume Build'!$D$24*MAX(L46-6,0))*'Vehicle Economics'!D$10</x:f>
        <x:v>1</x:v>
      </x:c>
    </x:row>
    <x:row r="47" ht="18" customHeight="1">
      <x:c r="A47" s="2"/>
      <x:c r="B47" s="2"/>
      <x:c r="C47" s="2" t="str">
        <x:v>Car / 5</x:v>
      </x:c>
      <x:c r="D47" s="28" t="n">
        <x:f>INDEX('AD Fleet'!$D$6:$D$61,MATCH(2018,'AD Fleet'!$C$6:$C$61,0))*$N47</x:f>
        <x:v>5227.676749606299</x:v>
      </x:c>
      <x:c r="E47" s="28" t="n">
        <x:f>INDEX('AD Fleet'!$D$6:$D$61,MATCH(2019,'AD Fleet'!$C$6:$C$61,0))*$N47</x:f>
        <x:v>4646.265927559055</x:v>
      </x:c>
      <x:c r="F47" s="28" t="n">
        <x:f>INDEX('AD Fleet'!$D$6:$D$61,MATCH(2020,'AD Fleet'!$C$6:$C$61,0))*$N47</x:f>
        <x:v>3348.8712062992126</x:v>
      </x:c>
      <x:c r="G47" s="28" t="n">
        <x:f>INDEX('AD Fleet'!$D$6:$D$61,MATCH(2021,'AD Fleet'!$C$6:$C$61,0))*$N47</x:f>
        <x:v>3297.9756094488184</x:v>
      </x:c>
      <x:c r="H47" s="28" t="n">
        <x:f>INDEX('AD Fleet'!$D$6:$D$61,MATCH(2022,'AD Fleet'!$C$6:$C$61,0))*$N47</x:f>
        <x:v>2885.101077165354</x:v>
      </x:c>
      <x:c r="I47" s="28" t="n">
        <x:f>'Fee Calculation'!M13</x:f>
        <x:v>1156.5965524840153</x:v>
      </x:c>
      <x:c r="J47" s="33" t="n">
        <x:f>INDEX('Loss Calibration'!$E$8:$H$13,M47,1)</x:f>
        <x:v>0.19811643359572595</x:v>
      </x:c>
      <x:c r="K47" s="3" t="str">
        <x:v>Car</x:v>
      </x:c>
      <x:c r="L47" s="48" t="n">
        <x:v>5</x:v>
      </x:c>
      <x:c r="M47" s="48" t="n">
        <x:v>3</x:v>
      </x:c>
      <x:c r="N47" s="33" t="n">
        <x:f>IF(($L47/'Volume Build'!$D$22)&gt;=31,0,INDEX('AD Fleet'!$H$6:$H$37,INT(($L47/'Volume Build'!$D$22))+1)+(($L47/'Volume Build'!$D$22)-INT(($L47/'Volume Build'!$D$22)))*(INDEX('AD Fleet'!$H$6:$H$37,MIN(INT(($L47/'Volume Build'!$D$22))+2,32))-INDEX('AD Fleet'!$H$6:$H$37,INT(($L47/'Volume Build'!$D$22))+1)))</x:f>
        <x:v>0.9844409448818897</x:v>
      </x:c>
      <x:c r="O47" s="33" t="n">
        <x:f>IF(L47=0,'Volume Build'!$D$25,1)*EXP(-'Volume Build'!$D$24*MAX(L47-6,0))*'Vehicle Economics'!D$10</x:f>
        <x:v>1</x:v>
      </x:c>
    </x:row>
    <x:row r="48" ht="18" customHeight="1">
      <x:c r="A48" s="2"/>
      <x:c r="B48" s="2"/>
      <x:c r="C48" s="2" t="str">
        <x:v>Car / 6</x:v>
      </x:c>
      <x:c r="D48" s="28" t="n">
        <x:f>INDEX('AD Fleet'!$D$6:$D$61,MATCH(2017,'AD Fleet'!$C$6:$C$61,0))*$N48</x:f>
        <x:v>5947.66205984252</x:v>
      </x:c>
      <x:c r="E48" s="28" t="n">
        <x:f>INDEX('AD Fleet'!$D$6:$D$61,MATCH(2018,'AD Fleet'!$C$6:$C$61,0))*$N48</x:f>
        <x:v>5186.866885039371</x:v>
      </x:c>
      <x:c r="F48" s="28" t="n">
        <x:f>INDEX('AD Fleet'!$D$6:$D$61,MATCH(2019,'AD Fleet'!$C$6:$C$61,0))*$N48</x:f>
        <x:v>4609.994847244095</x:v>
      </x:c>
      <x:c r="G48" s="28" t="n">
        <x:f>INDEX('AD Fleet'!$D$6:$D$61,MATCH(2020,'AD Fleet'!$C$6:$C$61,0))*$N48</x:f>
        <x:v>3322.728239370079</x:v>
      </x:c>
      <x:c r="H48" s="28" t="n">
        <x:f>INDEX('AD Fleet'!$D$6:$D$61,MATCH(2021,'AD Fleet'!$C$6:$C$61,0))*$N48</x:f>
        <x:v>3272.229959055118</x:v>
      </x:c>
      <x:c r="I48" s="28" t="n">
        <x:f>'Fee Calculation'!M14</x:f>
        <x:v>1107.7689637169524</x:v>
      </x:c>
      <x:c r="J48" s="33" t="n">
        <x:f>INDEX('Loss Calibration'!$E$8:$H$13,M48,1)</x:f>
        <x:v>0.19811643359572595</x:v>
      </x:c>
      <x:c r="K48" s="3" t="str">
        <x:v>Car</x:v>
      </x:c>
      <x:c r="L48" s="48" t="n">
        <x:v>6</x:v>
      </x:c>
      <x:c r="M48" s="48" t="n">
        <x:v>3</x:v>
      </x:c>
      <x:c r="N48" s="33" t="n">
        <x:f>IF(($L48/'Volume Build'!$D$22)&gt;=31,0,INDEX('AD Fleet'!$H$6:$H$37,INT(($L48/'Volume Build'!$D$22))+1)+(($L48/'Volume Build'!$D$22)-INT(($L48/'Volume Build'!$D$22)))*(INDEX('AD Fleet'!$H$6:$H$37,MIN(INT(($L48/'Volume Build'!$D$22))+2,32))-INDEX('AD Fleet'!$H$6:$H$37,INT(($L48/'Volume Build'!$D$22))+1)))</x:f>
        <x:v>0.976755905511811</x:v>
      </x:c>
      <x:c r="O48" s="33" t="n">
        <x:f>IF(L48=0,'Volume Build'!$D$25,1)*EXP(-'Volume Build'!$D$24*MAX(L48-6,0))*'Vehicle Economics'!D$10</x:f>
        <x:v>1</x:v>
      </x:c>
    </x:row>
    <x:row r="49" ht="18" customHeight="1">
      <x:c r="A49" s="2"/>
      <x:c r="B49" s="2"/>
      <x:c r="C49" s="2" t="str">
        <x:v>Car / 7</x:v>
      </x:c>
      <x:c r="D49" s="28" t="n">
        <x:f>INDEX('AD Fleet'!$D$6:$D$61,MATCH(2016,'AD Fleet'!$C$6:$C$61,0))*$N49</x:f>
        <x:v>6658.53586535433</x:v>
      </x:c>
      <x:c r="E49" s="28" t="n">
        <x:f>INDEX('AD Fleet'!$D$6:$D$61,MATCH(2017,'AD Fleet'!$C$6:$C$61,0))*$N49</x:f>
        <x:v>5890.366044094488</x:v>
      </x:c>
      <x:c r="F49" s="28" t="n">
        <x:f>INDEX('AD Fleet'!$D$6:$D$61,MATCH(2018,'AD Fleet'!$C$6:$C$61,0))*$N49</x:f>
        <x:v>5136.899888976378</x:v>
      </x:c>
      <x:c r="G49" s="28" t="n">
        <x:f>INDEX('AD Fleet'!$D$6:$D$61,MATCH(2019,'AD Fleet'!$C$6:$C$61,0))*$N49</x:f>
        <x:v>4565.585071653542</x:v>
      </x:c>
      <x:c r="H49" s="28" t="n">
        <x:f>INDEX('AD Fleet'!$D$6:$D$61,MATCH(2020,'AD Fleet'!$C$6:$C$61,0))*$N49</x:f>
        <x:v>3290.719176377953</x:v>
      </x:c>
      <x:c r="I49" s="28" t="n">
        <x:f>'Fee Calculation'!M15</x:f>
        <x:v>1085.7330569091205</x:v>
      </x:c>
      <x:c r="J49" s="33" t="n">
        <x:f>INDEX('Loss Calibration'!$E$8:$H$13,M49,1)</x:f>
        <x:v>0.27711955443615977</x:v>
      </x:c>
      <x:c r="K49" s="3" t="str">
        <x:v>Car</x:v>
      </x:c>
      <x:c r="L49" s="48" t="n">
        <x:v>7</x:v>
      </x:c>
      <x:c r="M49" s="48" t="n">
        <x:v>4</x:v>
      </x:c>
      <x:c r="N49" s="33" t="n">
        <x:f>IF(($L49/'Volume Build'!$D$22)&gt;=31,0,INDEX('AD Fleet'!$H$6:$H$37,INT(($L49/'Volume Build'!$D$22))+1)+(($L49/'Volume Build'!$D$22)-INT(($L49/'Volume Build'!$D$22)))*(INDEX('AD Fleet'!$H$6:$H$37,MIN(INT(($L49/'Volume Build'!$D$22))+2,32))-INDEX('AD Fleet'!$H$6:$H$37,INT(($L49/'Volume Build'!$D$22))+1)))</x:f>
        <x:v>0.9673464566929133</x:v>
      </x:c>
      <x:c r="O49" s="33" t="n">
        <x:f>IF(L49=0,'Volume Build'!$D$25,1)*EXP(-'Volume Build'!$D$24*MAX(L49-6,0))*'Vehicle Economics'!D$10</x:f>
        <x:v>0.9136844571609987</x:v>
      </x:c>
    </x:row>
    <x:row r="50" ht="18" customHeight="1">
      <x:c r="A50" s="2"/>
      <x:c r="B50" s="2"/>
      <x:c r="C50" s="2" t="str">
        <x:v>Car / 8</x:v>
      </x:c>
      <x:c r="D50" s="28" t="n">
        <x:f>INDEX('AD Fleet'!$D$6:$D$61,MATCH(2015,'AD Fleet'!$C$6:$C$61,0))*$N50</x:f>
        <x:v>7192.088681102362</x:v>
      </x:c>
      <x:c r="E50" s="28" t="n">
        <x:f>INDEX('AD Fleet'!$D$6:$D$61,MATCH(2016,'AD Fleet'!$C$6:$C$61,0))*$N50</x:f>
        <x:v>6575.719468503938</x:v>
      </x:c>
      <x:c r="F50" s="28" t="n">
        <x:f>INDEX('AD Fleet'!$D$6:$D$61,MATCH(2017,'AD Fleet'!$C$6:$C$61,0))*$N50</x:f>
        <x:v>5817.1038582677165</x:v>
      </x:c>
      <x:c r="G50" s="28" t="n">
        <x:f>INDEX('AD Fleet'!$D$6:$D$61,MATCH(2018,'AD Fleet'!$C$6:$C$61,0))*$N50</x:f>
        <x:v>5073.009035433071</x:v>
      </x:c>
      <x:c r="H50" s="28" t="n">
        <x:f>INDEX('AD Fleet'!$D$6:$D$61,MATCH(2019,'AD Fleet'!$C$6:$C$61,0))*$N50</x:f>
        <x:v>4508.800019685039</x:v>
      </x:c>
      <x:c r="I50" s="28" t="n">
        <x:f>'Fee Calculation'!M16</x:f>
        <x:v>1029.0683309792203</x:v>
      </x:c>
      <x:c r="J50" s="33" t="n">
        <x:f>INDEX('Loss Calibration'!$E$8:$H$13,M50,1)</x:f>
        <x:v>0.27711955443615977</x:v>
      </x:c>
      <x:c r="K50" s="3" t="str">
        <x:v>Car</x:v>
      </x:c>
      <x:c r="L50" s="48" t="n">
        <x:v>8</x:v>
      </x:c>
      <x:c r="M50" s="48" t="n">
        <x:v>4</x:v>
      </x:c>
      <x:c r="N50" s="33" t="n">
        <x:f>IF(($L50/'Volume Build'!$D$22)&gt;=31,0,INDEX('AD Fleet'!$H$6:$H$37,INT(($L50/'Volume Build'!$D$22))+1)+(($L50/'Volume Build'!$D$22)-INT(($L50/'Volume Build'!$D$22)))*(INDEX('AD Fleet'!$H$6:$H$37,MIN(INT(($L50/'Volume Build'!$D$22))+2,32))-INDEX('AD Fleet'!$H$6:$H$37,INT(($L50/'Volume Build'!$D$22))+1)))</x:f>
        <x:v>0.9553149606299213</x:v>
      </x:c>
      <x:c r="O50" s="33" t="n">
        <x:f>IF(L50=0,'Volume Build'!$D$25,1)*EXP(-'Volume Build'!$D$24*MAX(L50-6,0))*'Vehicle Economics'!D$10</x:f>
        <x:v>0.8348192872575889</x:v>
      </x:c>
    </x:row>
    <x:row r="51" ht="18" customHeight="1">
      <x:c r="A51" s="2"/>
      <x:c r="B51" s="2"/>
      <x:c r="C51" s="2" t="str">
        <x:v>Car / 9</x:v>
      </x:c>
      <x:c r="D51" s="28" t="n">
        <x:f>INDEX('AD Fleet'!$D$6:$D$61,MATCH(2014,'AD Fleet'!$C$6:$C$61,0))*$N51</x:f>
        <x:v>7246.24831496063</x:v>
      </x:c>
      <x:c r="E51" s="28" t="n">
        <x:f>INDEX('AD Fleet'!$D$6:$D$61,MATCH(2015,'AD Fleet'!$C$6:$C$61,0))*$N51</x:f>
        <x:v>7077.501354330709</x:v>
      </x:c>
      <x:c r="F51" s="28" t="n">
        <x:f>INDEX('AD Fleet'!$D$6:$D$61,MATCH(2016,'AD Fleet'!$C$6:$C$61,0))*$N51</x:f>
        <x:v>6470.952390551181</x:v>
      </x:c>
      <x:c r="G51" s="28" t="n">
        <x:f>INDEX('AD Fleet'!$D$6:$D$61,MATCH(2017,'AD Fleet'!$C$6:$C$61,0))*$N51</x:f>
        <x:v>5724.423357480315</x:v>
      </x:c>
      <x:c r="H51" s="28" t="n">
        <x:f>INDEX('AD Fleet'!$D$6:$D$61,MATCH(2018,'AD Fleet'!$C$6:$C$61,0))*$N51</x:f>
        <x:v>4992.183760629921</x:v>
      </x:c>
      <x:c r="I51" s="28" t="n">
        <x:f>'Fee Calculation'!M17</x:f>
        <x:v>972.6205101690778</x:v>
      </x:c>
      <x:c r="J51" s="33" t="n">
        <x:f>INDEX('Loss Calibration'!$E$8:$H$13,M51,1)</x:f>
        <x:v>0.27711955443615977</x:v>
      </x:c>
      <x:c r="K51" s="3" t="str">
        <x:v>Car</x:v>
      </x:c>
      <x:c r="L51" s="48" t="n">
        <x:v>9</x:v>
      </x:c>
      <x:c r="M51" s="48" t="n">
        <x:v>4</x:v>
      </x:c>
      <x:c r="N51" s="33" t="n">
        <x:f>IF(($L51/'Volume Build'!$D$22)&gt;=31,0,INDEX('AD Fleet'!$H$6:$H$37,INT(($L51/'Volume Build'!$D$22))+1)+(($L51/'Volume Build'!$D$22)-INT(($L51/'Volume Build'!$D$22)))*(INDEX('AD Fleet'!$H$6:$H$37,MIN(INT(($L51/'Volume Build'!$D$22))+2,32))-INDEX('AD Fleet'!$H$6:$H$37,INT(($L51/'Volume Build'!$D$22))+1)))</x:f>
        <x:v>0.9400944881889763</x:v>
      </x:c>
      <x:c r="O51" s="33" t="n">
        <x:f>IF(L51=0,'Volume Build'!$D$25,1)*EXP(-'Volume Build'!$D$24*MAX(L51-6,0))*'Vehicle Economics'!D$10</x:f>
        <x:v>0.7627614073054819</x:v>
      </x:c>
    </x:row>
    <x:row r="52" ht="18" customHeight="1">
      <x:c r="A52" s="2"/>
      <x:c r="B52" s="2"/>
      <x:c r="C52" s="2" t="str">
        <x:v>Car / 10</x:v>
      </x:c>
      <x:c r="D52" s="28" t="n">
        <x:f>INDEX('AD Fleet'!$D$6:$D$61,MATCH(2013,'AD Fleet'!$C$6:$C$61,0))*$N52</x:f>
        <x:v>7000.422595275591</x:v>
      </x:c>
      <x:c r="E52" s="28" t="n">
        <x:f>INDEX('AD Fleet'!$D$6:$D$61,MATCH(2014,'AD Fleet'!$C$6:$C$61,0))*$N52</x:f>
        <x:v>7112.723905511812</x:v>
      </x:c>
      <x:c r="F52" s="28" t="n">
        <x:f>INDEX('AD Fleet'!$D$6:$D$61,MATCH(2015,'AD Fleet'!$C$6:$C$61,0))*$N52</x:f>
        <x:v>6947.086393700788</x:v>
      </x:c>
      <x:c r="G52" s="28" t="n">
        <x:f>INDEX('AD Fleet'!$D$6:$D$61,MATCH(2016,'AD Fleet'!$C$6:$C$61,0))*$N52</x:f>
        <x:v>6351.714122834646</x:v>
      </x:c>
      <x:c r="H52" s="28" t="n">
        <x:f>INDEX('AD Fleet'!$D$6:$D$61,MATCH(2017,'AD Fleet'!$C$6:$C$61,0))*$N52</x:f>
        <x:v>5618.941152755906</x:v>
      </x:c>
      <x:c r="I52" s="28" t="n">
        <x:f>'Fee Calculation'!M18</x:f>
        <x:v>955</x:v>
      </x:c>
      <x:c r="J52" s="33" t="n">
        <x:f>INDEX('Loss Calibration'!$E$8:$H$13,M52,1)</x:f>
        <x:v>0.3624976614821436</x:v>
      </x:c>
      <x:c r="K52" s="3" t="str">
        <x:v>Car</x:v>
      </x:c>
      <x:c r="L52" s="48" t="n">
        <x:v>10</x:v>
      </x:c>
      <x:c r="M52" s="48" t="n">
        <x:v>5</x:v>
      </x:c>
      <x:c r="N52" s="33" t="n">
        <x:f>IF(($L52/'Volume Build'!$D$22)&gt;=31,0,INDEX('AD Fleet'!$H$6:$H$37,INT(($L52/'Volume Build'!$D$22))+1)+(($L52/'Volume Build'!$D$22)-INT(($L52/'Volume Build'!$D$22)))*(INDEX('AD Fleet'!$H$6:$H$37,MIN(INT(($L52/'Volume Build'!$D$22))+2,32))-INDEX('AD Fleet'!$H$6:$H$37,INT(($L52/'Volume Build'!$D$22))+1)))</x:f>
        <x:v>0.9227716535433071</x:v>
      </x:c>
      <x:c r="O52" s="33" t="n">
        <x:f>IF(L52=0,'Volume Build'!$D$25,1)*EXP(-'Volume Build'!$D$24*MAX(L52-6,0))*'Vehicle Economics'!D$10</x:f>
        <x:v>0.6969232423772687</x:v>
      </x:c>
    </x:row>
    <x:row r="53" ht="18" customHeight="1">
      <x:c r="A53" s="2"/>
      <x:c r="B53" s="2"/>
      <x:c r="C53" s="2" t="str">
        <x:v>Car / 11</x:v>
      </x:c>
      <x:c r="D53" s="28" t="n">
        <x:f>INDEX('AD Fleet'!$D$6:$D$61,MATCH(2012,'AD Fleet'!$C$6:$C$61,0))*$N53</x:f>
        <x:v>6536.197278740157</x:v>
      </x:c>
      <x:c r="E53" s="28" t="n">
        <x:f>INDEX('AD Fleet'!$D$6:$D$61,MATCH(2013,'AD Fleet'!$C$6:$C$61,0))*$N53</x:f>
        <x:v>6843.917823622048</x:v>
      </x:c>
      <x:c r="F53" s="28" t="n">
        <x:f>INDEX('AD Fleet'!$D$6:$D$61,MATCH(2014,'AD Fleet'!$C$6:$C$61,0))*$N53</x:f>
        <x:v>6953.708472440945</x:v>
      </x:c>
      <x:c r="G53" s="28" t="n">
        <x:f>INDEX('AD Fleet'!$D$6:$D$61,MATCH(2015,'AD Fleet'!$C$6:$C$61,0))*$N53</x:f>
        <x:v>6791.774031496064</x:v>
      </x:c>
      <x:c r="H53" s="28" t="n">
        <x:f>INDEX('AD Fleet'!$D$6:$D$61,MATCH(2016,'AD Fleet'!$C$6:$C$61,0))*$N53</x:f>
        <x:v>6209.712185826772</x:v>
      </x:c>
      <x:c r="I53" s="28" t="n">
        <x:f>'Fee Calculation'!M19</x:f>
        <x:v>903.5804901643152</x:v>
      </x:c>
      <x:c r="J53" s="33" t="n">
        <x:f>INDEX('Loss Calibration'!$E$8:$H$13,M53,1)</x:f>
        <x:v>0.3624976614821436</x:v>
      </x:c>
      <x:c r="K53" s="3" t="str">
        <x:v>Car</x:v>
      </x:c>
      <x:c r="L53" s="48" t="n">
        <x:v>11</x:v>
      </x:c>
      <x:c r="M53" s="48" t="n">
        <x:v>5</x:v>
      </x:c>
      <x:c r="N53" s="33" t="n">
        <x:f>IF(($L53/'Volume Build'!$D$22)&gt;=31,0,INDEX('AD Fleet'!$H$6:$H$37,INT(($L53/'Volume Build'!$D$22))+1)+(($L53/'Volume Build'!$D$22)-INT(($L53/'Volume Build'!$D$22)))*(INDEX('AD Fleet'!$H$6:$H$37,MIN(INT(($L53/'Volume Build'!$D$22))+2,32))-INDEX('AD Fleet'!$H$6:$H$37,INT(($L53/'Volume Build'!$D$22))+1)))</x:f>
        <x:v>0.9021417322834646</x:v>
      </x:c>
      <x:c r="O53" s="33" t="n">
        <x:f>IF(L53=0,'Volume Build'!$D$25,1)*EXP(-'Volume Build'!$D$24*MAX(L53-6,0))*'Vehicle Economics'!D$10</x:f>
        <x:v>0.6367679343943579</x:v>
      </x:c>
    </x:row>
    <x:row r="54" ht="18" customHeight="1">
      <x:c r="A54" s="2"/>
      <x:c r="B54" s="2"/>
      <x:c r="C54" s="2" t="str">
        <x:v>Car / 12</x:v>
      </x:c>
      <x:c r="D54" s="28" t="n">
        <x:f>INDEX('AD Fleet'!$D$6:$D$61,MATCH(2011,'AD Fleet'!$C$6:$C$61,0))*$N54</x:f>
        <x:v>5356.186831496063</x:v>
      </x:c>
      <x:c r="E54" s="28" t="n">
        <x:f>INDEX('AD Fleet'!$D$6:$D$61,MATCH(2012,'AD Fleet'!$C$6:$C$61,0))*$N54</x:f>
        <x:v>6369.158337007874</x:v>
      </x:c>
      <x:c r="F54" s="28" t="n">
        <x:f>INDEX('AD Fleet'!$D$6:$D$61,MATCH(2013,'AD Fleet'!$C$6:$C$61,0))*$N54</x:f>
        <x:v>6669.014781102363</x:v>
      </x:c>
      <x:c r="G54" s="28" t="n">
        <x:f>INDEX('AD Fleet'!$D$6:$D$61,MATCH(2014,'AD Fleet'!$C$6:$C$61,0))*$N54</x:f>
        <x:v>6775.999622047245</x:v>
      </x:c>
      <x:c r="H54" s="28" t="n">
        <x:f>INDEX('AD Fleet'!$D$6:$D$61,MATCH(2015,'AD Fleet'!$C$6:$C$61,0))*$N54</x:f>
        <x:v>6618.20357480315</x:v>
      </x:c>
      <x:c r="I54" s="28" t="n">
        <x:f>'Fee Calculation'!M20</x:f>
        <x:v>861.9976903693578</x:v>
      </x:c>
      <x:c r="J54" s="33" t="n">
        <x:f>INDEX('Loss Calibration'!$E$8:$H$13,M54,1)</x:f>
        <x:v>0.3624976614821436</x:v>
      </x:c>
      <x:c r="K54" s="3" t="str">
        <x:v>Car</x:v>
      </x:c>
      <x:c r="L54" s="48" t="n">
        <x:v>12</x:v>
      </x:c>
      <x:c r="M54" s="48" t="n">
        <x:v>5</x:v>
      </x:c>
      <x:c r="N54" s="33" t="n">
        <x:f>IF(($L54/'Volume Build'!$D$22)&gt;=31,0,INDEX('AD Fleet'!$H$6:$H$37,INT(($L54/'Volume Build'!$D$22))+1)+(($L54/'Volume Build'!$D$22)-INT(($L54/'Volume Build'!$D$22)))*(INDEX('AD Fleet'!$H$6:$H$37,MIN(INT(($L54/'Volume Build'!$D$22))+2,32))-INDEX('AD Fleet'!$H$6:$H$37,INT(($L54/'Volume Build'!$D$22))+1)))</x:f>
        <x:v>0.8790866141732284</x:v>
      </x:c>
      <x:c r="O54" s="33" t="n">
        <x:f>IF(L54=0,'Volume Build'!$D$25,1)*EXP(-'Volume Build'!$D$24*MAX(L54-6,0))*'Vehicle Economics'!D$10</x:f>
        <x:v>0.5818049644746394</x:v>
      </x:c>
    </x:row>
    <x:row r="55" ht="18" customHeight="1">
      <x:c r="A55" s="2"/>
      <x:c r="B55" s="2"/>
      <x:c r="C55" s="2" t="str">
        <x:v>Car / 13</x:v>
      </x:c>
      <x:c r="D55" s="28" t="n">
        <x:f>INDEX('AD Fleet'!$D$6:$D$61,MATCH(2010,'AD Fleet'!$C$6:$C$61,0))*$N55</x:f>
        <x:v>4810.047762204725</x:v>
      </x:c>
      <x:c r="E55" s="28" t="n">
        <x:f>INDEX('AD Fleet'!$D$6:$D$61,MATCH(2011,'AD Fleet'!$C$6:$C$61,0))*$N55</x:f>
        <x:v>5200.266162204724</x:v>
      </x:c>
      <x:c r="F55" s="28" t="n">
        <x:f>INDEX('AD Fleet'!$D$6:$D$61,MATCH(2012,'AD Fleet'!$C$6:$C$61,0))*$N55</x:f>
        <x:v>6183.749675590551</x:v>
      </x:c>
      <x:c r="G55" s="28" t="n">
        <x:f>INDEX('AD Fleet'!$D$6:$D$61,MATCH(2013,'AD Fleet'!$C$6:$C$61,0))*$N55</x:f>
        <x:v>6474.877182677165</x:v>
      </x:c>
      <x:c r="H55" s="28" t="n">
        <x:f>INDEX('AD Fleet'!$D$6:$D$61,MATCH(2014,'AD Fleet'!$C$6:$C$61,0))*$N55</x:f>
        <x:v>6578.747653543307</x:v>
      </x:c>
      <x:c r="I55" s="28" t="n">
        <x:f>'Fee Calculation'!M21</x:f>
        <x:v>817.6481864818061</x:v>
      </x:c>
      <x:c r="J55" s="33" t="n">
        <x:f>INDEX('Loss Calibration'!$E$8:$H$13,M55,1)</x:f>
        <x:v>0.4946908337805008</x:v>
      </x:c>
      <x:c r="K55" s="3" t="str">
        <x:v>Car</x:v>
      </x:c>
      <x:c r="L55" s="48" t="n">
        <x:v>13</x:v>
      </x:c>
      <x:c r="M55" s="48" t="n">
        <x:v>6</x:v>
      </x:c>
      <x:c r="N55" s="33" t="n">
        <x:f>IF(($L55/'Volume Build'!$D$22)&gt;=31,0,INDEX('AD Fleet'!$H$6:$H$37,INT(($L55/'Volume Build'!$D$22))+1)+(($L55/'Volume Build'!$D$22)-INT(($L55/'Volume Build'!$D$22)))*(INDEX('AD Fleet'!$H$6:$H$37,MIN(INT(($L55/'Volume Build'!$D$22))+2,32))-INDEX('AD Fleet'!$H$6:$H$37,INT(($L55/'Volume Build'!$D$22))+1)))</x:f>
        <x:v>0.853496062992126</x:v>
      </x:c>
      <x:c r="O55" s="33" t="n">
        <x:f>IF(L55=0,'Volume Build'!$D$25,1)*EXP(-'Volume Build'!$D$24*MAX(L55-6,0))*'Vehicle Economics'!D$10</x:f>
        <x:v>0.5315861531395849</x:v>
      </x:c>
    </x:row>
    <x:row r="56" ht="18" customHeight="1">
      <x:c r="A56" s="2"/>
      <x:c r="B56" s="2"/>
      <x:c r="C56" s="2" t="str">
        <x:v>Car / 14</x:v>
      </x:c>
      <x:c r="D56" s="28" t="n">
        <x:f>INDEX('AD Fleet'!$D$6:$D$61,MATCH(2009,'AD Fleet'!$C$6:$C$61,0))*$N56</x:f>
        <x:v>4456.872919685039</x:v>
      </x:c>
      <x:c r="E56" s="28" t="n">
        <x:f>INDEX('AD Fleet'!$D$6:$D$61,MATCH(2010,'AD Fleet'!$C$6:$C$61,0))*$N56</x:f>
        <x:v>4650.029382677165</x:v>
      </x:c>
      <x:c r="F56" s="28" t="n">
        <x:f>INDEX('AD Fleet'!$D$6:$D$61,MATCH(2011,'AD Fleet'!$C$6:$C$61,0))*$N56</x:f>
        <x:v>5027.266182677165</x:v>
      </x:c>
      <x:c r="G56" s="28" t="n">
        <x:f>INDEX('AD Fleet'!$D$6:$D$61,MATCH(2012,'AD Fleet'!$C$6:$C$61,0))*$N56</x:f>
        <x:v>5978.031634645668</x:v>
      </x:c>
      <x:c r="H56" s="28" t="n">
        <x:f>INDEX('AD Fleet'!$D$6:$D$61,MATCH(2013,'AD Fleet'!$C$6:$C$61,0))*$N56</x:f>
        <x:v>6259.4740503937</x:v>
      </x:c>
      <x:c r="I56" s="28" t="n">
        <x:f>'Fee Calculation'!M22</x:f>
        <x:v>809.1884055242767</x:v>
      </x:c>
      <x:c r="J56" s="33" t="n">
        <x:f>INDEX('Loss Calibration'!$E$8:$H$13,M56,1)</x:f>
        <x:v>0.4946908337805008</x:v>
      </x:c>
      <x:c r="K56" s="3" t="str">
        <x:v>Car</x:v>
      </x:c>
      <x:c r="L56" s="48" t="n">
        <x:v>14</x:v>
      </x:c>
      <x:c r="M56" s="48" t="n">
        <x:v>6</x:v>
      </x:c>
      <x:c r="N56" s="33" t="n">
        <x:f>IF(($L56/'Volume Build'!$D$22)&gt;=31,0,INDEX('AD Fleet'!$H$6:$H$37,INT(($L56/'Volume Build'!$D$22))+1)+(($L56/'Volume Build'!$D$22)-INT(($L56/'Volume Build'!$D$22)))*(INDEX('AD Fleet'!$H$6:$H$37,MIN(INT(($L56/'Volume Build'!$D$22))+2,32))-INDEX('AD Fleet'!$H$6:$H$37,INT(($L56/'Volume Build'!$D$22))+1)))</x:f>
        <x:v>0.8251023622047243</x:v>
      </x:c>
      <x:c r="O56" s="33" t="n">
        <x:f>IF(L56=0,'Volume Build'!$D$25,1)*EXP(-'Volume Build'!$D$24*MAX(L56-6,0))*'Vehicle Economics'!D$10</x:f>
        <x:v>0.4857020057656452</x:v>
      </x:c>
    </x:row>
    <x:row r="57" ht="18" customHeight="1">
      <x:c r="A57" s="2"/>
      <x:c r="B57" s="2"/>
      <x:c r="C57" s="2" t="str">
        <x:v>Car / 15</x:v>
      </x:c>
      <x:c r="D57" s="28" t="n">
        <x:f>INDEX('AD Fleet'!$D$6:$D$61,MATCH(2008,'AD Fleet'!$C$6:$C$61,0))*$N57</x:f>
        <x:v>5382.660400000001</x:v>
      </x:c>
      <x:c r="E57" s="28" t="n">
        <x:f>INDEX('AD Fleet'!$D$6:$D$61,MATCH(2009,'AD Fleet'!$C$6:$C$61,0))*$N57</x:f>
        <x:v>4295.250242519685</x:v>
      </x:c>
      <x:c r="F57" s="28" t="n">
        <x:f>INDEX('AD Fleet'!$D$6:$D$61,MATCH(2010,'AD Fleet'!$C$6:$C$61,0))*$N57</x:f>
        <x:v>4481.402138582677</x:v>
      </x:c>
      <x:c r="G57" s="28" t="n">
        <x:f>INDEX('AD Fleet'!$D$6:$D$61,MATCH(2011,'AD Fleet'!$C$6:$C$61,0))*$N57</x:f>
        <x:v>4844.958938582677</x:v>
      </x:c>
      <x:c r="H57" s="28" t="n">
        <x:f>INDEX('AD Fleet'!$D$6:$D$61,MATCH(2012,'AD Fleet'!$C$6:$C$61,0))*$N57</x:f>
        <x:v>5761.246122834646</x:v>
      </x:c>
      <x:c r="I57" s="28" t="n">
        <x:f>'Fee Calculation'!M23</x:f>
        <x:v>751.533679165516</x:v>
      </x:c>
      <x:c r="J57" s="33" t="n">
        <x:f>INDEX('Loss Calibration'!$E$8:$H$13,M57,1)</x:f>
        <x:v>0.4946908337805008</x:v>
      </x:c>
      <x:c r="K57" s="3" t="str">
        <x:v>Car</x:v>
      </x:c>
      <x:c r="L57" s="48" t="n">
        <x:v>15</x:v>
      </x:c>
      <x:c r="M57" s="48" t="n">
        <x:v>6</x:v>
      </x:c>
      <x:c r="N57" s="33" t="n">
        <x:f>IF(($L57/'Volume Build'!$D$22)&gt;=31,0,INDEX('AD Fleet'!$H$6:$H$37,INT(($L57/'Volume Build'!$D$22))+1)+(($L57/'Volume Build'!$D$22)-INT(($L57/'Volume Build'!$D$22)))*(INDEX('AD Fleet'!$H$6:$H$37,MIN(INT(($L57/'Volume Build'!$D$22))+2,32))-INDEX('AD Fleet'!$H$6:$H$37,INT(($L57/'Volume Build'!$D$22))+1)))</x:f>
        <x:v>0.7951811023622047</x:v>
      </x:c>
      <x:c r="O57" s="33" t="n">
        <x:f>IF(L57=0,'Volume Build'!$D$25,1)*EXP(-'Volume Build'!$D$24*MAX(L57-6,0))*'Vehicle Economics'!D$10</x:f>
        <x:v>0.44377837347999183</x:v>
      </x:c>
    </x:row>
    <x:row r="58" ht="18" customHeight="1">
      <x:c r="A58" s="2"/>
      <x:c r="B58" s="2"/>
      <x:c r="C58" s="2" t="str">
        <x:v>Car / 16</x:v>
      </x:c>
      <x:c r="D58" s="28" t="n">
        <x:f>INDEX('AD Fleet'!$D$6:$D$61,MATCH(2007,'AD Fleet'!$C$6:$C$61,0))*$N58</x:f>
        <x:v>5642.309439370079</x:v>
      </x:c>
      <x:c r="E58" s="28" t="n">
        <x:f>INDEX('AD Fleet'!$D$6:$D$61,MATCH(2008,'AD Fleet'!$C$6:$C$61,0))*$N58</x:f>
        <x:v>5050.494800000001</x:v>
      </x:c>
      <x:c r="F58" s="28" t="n">
        <x:f>INDEX('AD Fleet'!$D$6:$D$61,MATCH(2009,'AD Fleet'!$C$6:$C$61,0))*$N58</x:f>
        <x:v>4030.189051968505</x:v>
      </x:c>
      <x:c r="G58" s="28" t="n">
        <x:f>INDEX('AD Fleet'!$D$6:$D$61,MATCH(2010,'AD Fleet'!$C$6:$C$61,0))*$N58</x:f>
        <x:v>4204.8534582677175</x:v>
      </x:c>
      <x:c r="H58" s="28" t="n">
        <x:f>INDEX('AD Fleet'!$D$6:$D$61,MATCH(2011,'AD Fleet'!$C$6:$C$61,0))*$N58</x:f>
        <x:v>4545.975058267717</x:v>
      </x:c>
      <x:c r="I58" s="28" t="n">
        <x:f>'Fee Calculation'!M24</x:f>
        <x:v>705.8573963312832</x:v>
      </x:c>
      <x:c r="J58" s="33" t="n">
        <x:f>INDEX('Loss Calibration'!$E$8:$H$13,M58,1)</x:f>
        <x:v>0.4946908337805008</x:v>
      </x:c>
      <x:c r="K58" s="3" t="str">
        <x:v>Car</x:v>
      </x:c>
      <x:c r="L58" s="48" t="n">
        <x:v>16</x:v>
      </x:c>
      <x:c r="M58" s="48" t="n">
        <x:v>6</x:v>
      </x:c>
      <x:c r="N58" s="33" t="n">
        <x:f>IF(($L58/'Volume Build'!$D$22)&gt;=31,0,INDEX('AD Fleet'!$H$6:$H$37,INT(($L58/'Volume Build'!$D$22))+1)+(($L58/'Volume Build'!$D$22)-INT(($L58/'Volume Build'!$D$22)))*(INDEX('AD Fleet'!$H$6:$H$37,MIN(INT(($L58/'Volume Build'!$D$22))+2,32))-INDEX('AD Fleet'!$H$6:$H$37,INT(($L58/'Volume Build'!$D$22))+1)))</x:f>
        <x:v>0.7461102362204726</x:v>
      </x:c>
      <x:c r="O58" s="33" t="n">
        <x:f>IF(L58=0,'Volume Build'!$D$25,1)*EXP(-'Volume Build'!$D$24*MAX(L58-6,0))*'Vehicle Economics'!D$10</x:f>
        <x:v>0.4054734022728572</x:v>
      </x:c>
    </x:row>
    <x:row r="59" ht="18" customHeight="1">
      <x:c r="A59" s="2"/>
      <x:c r="B59" s="2"/>
      <x:c r="C59" s="2" t="str">
        <x:v>Car / 17</x:v>
      </x:c>
      <x:c r="D59" s="28" t="n">
        <x:f>INDEX('AD Fleet'!$D$6:$D$61,MATCH(2006,'AD Fleet'!$C$6:$C$61,0))*$N59</x:f>
        <x:v>5258.392327559055</x:v>
      </x:c>
      <x:c r="E59" s="28" t="n">
        <x:f>INDEX('AD Fleet'!$D$6:$D$61,MATCH(2007,'AD Fleet'!$C$6:$C$61,0))*$N59</x:f>
        <x:v>5123.368931496063</x:v>
      </x:c>
      <x:c r="F59" s="28" t="n">
        <x:f>INDEX('AD Fleet'!$D$6:$D$61,MATCH(2008,'AD Fleet'!$C$6:$C$61,0))*$N59</x:f>
        <x:v>4585.9853</x:v>
      </x:c>
      <x:c r="G59" s="28" t="n">
        <x:f>INDEX('AD Fleet'!$D$6:$D$61,MATCH(2009,'AD Fleet'!$C$6:$C$61,0))*$N59</x:f>
        <x:v>3659.5202015748037</x:v>
      </x:c>
      <x:c r="H59" s="28" t="n">
        <x:f>INDEX('AD Fleet'!$D$6:$D$61,MATCH(2010,'AD Fleet'!$C$6:$C$61,0))*$N59</x:f>
        <x:v>3818.1201866141732</x:v>
      </x:c>
      <x:c r="I59" s="28" t="n">
        <x:f>'Fee Calculation'!M25</x:f>
        <x:v>662.0902364549692</x:v>
      </x:c>
      <x:c r="J59" s="33" t="n">
        <x:f>INDEX('Loss Calibration'!$E$8:$H$13,M59,1)</x:f>
        <x:v>0.4946908337805008</x:v>
      </x:c>
      <x:c r="K59" s="3" t="str">
        <x:v>Car</x:v>
      </x:c>
      <x:c r="L59" s="48" t="n">
        <x:v>17</x:v>
      </x:c>
      <x:c r="M59" s="48" t="n">
        <x:v>6</x:v>
      </x:c>
      <x:c r="N59" s="33" t="n">
        <x:f>IF(($L59/'Volume Build'!$D$22)&gt;=31,0,INDEX('AD Fleet'!$H$6:$H$37,INT(($L59/'Volume Build'!$D$22))+1)+(($L59/'Volume Build'!$D$22)-INT(($L59/'Volume Build'!$D$22)))*(INDEX('AD Fleet'!$H$6:$H$37,MIN(INT(($L59/'Volume Build'!$D$22))+2,32))-INDEX('AD Fleet'!$H$6:$H$37,INT(($L59/'Volume Build'!$D$22))+1)))</x:f>
        <x:v>0.677488188976378</x:v>
      </x:c>
      <x:c r="O59" s="33" t="n">
        <x:f>IF(L59=0,'Volume Build'!$D$25,1)*EXP(-'Volume Build'!$D$24*MAX(L59-6,0))*'Vehicle Economics'!D$10</x:f>
        <x:v>0.37047474544889886</x:v>
      </x:c>
    </x:row>
    <x:row r="60" ht="18" customHeight="1">
      <x:c r="A60" s="2"/>
      <x:c r="B60" s="2"/>
      <x:c r="C60" s="2" t="str">
        <x:v>Car / 18</x:v>
      </x:c>
      <x:c r="D60" s="28" t="n">
        <x:f>INDEX('AD Fleet'!$D$6:$D$61,MATCH(2005,'AD Fleet'!$C$6:$C$61,0))*$N60</x:f>
        <x:v>4558.906299212598</x:v>
      </x:c>
      <x:c r="E60" s="28" t="n">
        <x:f>INDEX('AD Fleet'!$D$6:$D$61,MATCH(2006,'AD Fleet'!$C$6:$C$61,0))*$N60</x:f>
        <x:v>4619.374299212599</x:v>
      </x:c>
      <x:c r="F60" s="28" t="n">
        <x:f>INDEX('AD Fleet'!$D$6:$D$61,MATCH(2007,'AD Fleet'!$C$6:$C$61,0))*$N60</x:f>
        <x:v>4500.7594133858265</x:v>
      </x:c>
      <x:c r="G60" s="28" t="n">
        <x:f>INDEX('AD Fleet'!$D$6:$D$61,MATCH(2008,'AD Fleet'!$C$6:$C$61,0))*$N60</x:f>
        <x:v>4028.6805000000004</x:v>
      </x:c>
      <x:c r="H60" s="28" t="n">
        <x:f>INDEX('AD Fleet'!$D$6:$D$61,MATCH(2009,'AD Fleet'!$C$6:$C$61,0))*$N60</x:f>
        <x:v>3214.8026456692915</x:v>
      </x:c>
      <x:c r="I60" s="28" t="n">
        <x:f>'Fee Calculation'!M26</x:f>
        <x:v>638.9194756940666</x:v>
      </x:c>
      <x:c r="J60" s="33" t="n">
        <x:f>INDEX('Loss Calibration'!$E$8:$H$13,M60,1)</x:f>
        <x:v>0.4946908337805008</x:v>
      </x:c>
      <x:c r="K60" s="3" t="str">
        <x:v>Car</x:v>
      </x:c>
      <x:c r="L60" s="48" t="n">
        <x:v>18</x:v>
      </x:c>
      <x:c r="M60" s="48" t="n">
        <x:v>6</x:v>
      </x:c>
      <x:c r="N60" s="33" t="n">
        <x:f>IF(($L60/'Volume Build'!$D$22)&gt;=31,0,INDEX('AD Fleet'!$H$6:$H$37,INT(($L60/'Volume Build'!$D$22))+1)+(($L60/'Volume Build'!$D$22)-INT(($L60/'Volume Build'!$D$22)))*(INDEX('AD Fleet'!$H$6:$H$37,MIN(INT(($L60/'Volume Build'!$D$22))+2,32))-INDEX('AD Fleet'!$H$6:$H$37,INT(($L60/'Volume Build'!$D$22))+1)))</x:f>
        <x:v>0.5951574803149606</x:v>
      </x:c>
      <x:c r="O60" s="33" t="n">
        <x:f>IF(L60=0,'Volume Build'!$D$25,1)*EXP(-'Volume Build'!$D$24*MAX(L60-6,0))*'Vehicle Economics'!D$10</x:f>
        <x:v>0.33849701668733634</x:v>
      </x:c>
    </x:row>
    <x:row r="61" ht="18" customHeight="1">
      <x:c r="A61" s="2"/>
      <x:c r="B61" s="2"/>
      <x:c r="C61" s="2" t="str">
        <x:v>Car / 19</x:v>
      </x:c>
      <x:c r="D61" s="28" t="n">
        <x:f>INDEX('AD Fleet'!$D$6:$D$61,MATCH(2004,'AD Fleet'!$C$6:$C$61,0))*$N61</x:f>
        <x:v>3846.4688267716533</x:v>
      </x:c>
      <x:c r="E61" s="28" t="n">
        <x:f>INDEX('AD Fleet'!$D$6:$D$61,MATCH(2005,'AD Fleet'!$C$6:$C$61,0))*$N61</x:f>
        <x:v>3937.662204724409</x:v>
      </x:c>
      <x:c r="F61" s="28" t="n">
        <x:f>INDEX('AD Fleet'!$D$6:$D$61,MATCH(2006,'AD Fleet'!$C$6:$C$61,0))*$N61</x:f>
        <x:v>3989.890204724409</x:v>
      </x:c>
      <x:c r="G61" s="28" t="n">
        <x:f>INDEX('AD Fleet'!$D$6:$D$61,MATCH(2007,'AD Fleet'!$C$6:$C$61,0))*$N61</x:f>
        <x:v>3887.439019685039</x:v>
      </x:c>
      <x:c r="H61" s="28" t="n">
        <x:f>INDEX('AD Fleet'!$D$6:$D$61,MATCH(2008,'AD Fleet'!$C$6:$C$61,0))*$N61</x:f>
        <x:v>3479.6905</x:v>
      </x:c>
      <x:c r="I61" s="28" t="n">
        <x:f>'Fee Calculation'!M27</x:f>
        <x:v>616.2883591688719</x:v>
      </x:c>
      <x:c r="J61" s="33" t="n">
        <x:f>INDEX('Loss Calibration'!$E$8:$H$13,M61,1)</x:f>
        <x:v>0.4946908337805008</x:v>
      </x:c>
      <x:c r="K61" s="3" t="str">
        <x:v>Car</x:v>
      </x:c>
      <x:c r="L61" s="48" t="n">
        <x:v>19</x:v>
      </x:c>
      <x:c r="M61" s="48" t="n">
        <x:v>6</x:v>
      </x:c>
      <x:c r="N61" s="33" t="n">
        <x:f>IF(($L61/'Volume Build'!$D$22)&gt;=31,0,INDEX('AD Fleet'!$H$6:$H$37,INT(($L61/'Volume Build'!$D$22))+1)+(($L61/'Volume Build'!$D$22)-INT(($L61/'Volume Build'!$D$22)))*(INDEX('AD Fleet'!$H$6:$H$37,MIN(INT(($L61/'Volume Build'!$D$22))+2,32))-INDEX('AD Fleet'!$H$6:$H$37,INT(($L61/'Volume Build'!$D$22))+1)))</x:f>
        <x:v>0.5140551181102362</x:v>
      </x:c>
      <x:c r="O61" s="33" t="n">
        <x:f>IF(L61=0,'Volume Build'!$D$25,1)*EXP(-'Volume Build'!$D$24*MAX(L61-6,0))*'Vehicle Economics'!D$10</x:f>
        <x:v>0.3092794629425864</x:v>
      </x:c>
    </x:row>
    <x:row r="62" ht="18" customHeight="1">
      <x:c r="A62" s="2"/>
      <x:c r="B62" s="2"/>
      <x:c r="C62" s="2" t="str">
        <x:v>Car / 20</x:v>
      </x:c>
      <x:c r="D62" s="28" t="n">
        <x:f>INDEX('AD Fleet'!$D$6:$D$61,MATCH(2003,'AD Fleet'!$C$6:$C$61,0))*$N62</x:f>
        <x:v>3316.432456692913</x:v>
      </x:c>
      <x:c r="E62" s="28" t="n">
        <x:f>INDEX('AD Fleet'!$D$6:$D$61,MATCH(2004,'AD Fleet'!$C$6:$C$61,0))*$N62</x:f>
        <x:v>3284.39005511811</x:v>
      </x:c>
      <x:c r="F62" s="28" t="n">
        <x:f>INDEX('AD Fleet'!$D$6:$D$61,MATCH(2005,'AD Fleet'!$C$6:$C$61,0))*$N62</x:f>
        <x:v>3362.25748031496</x:v>
      </x:c>
      <x:c r="G62" s="28" t="n">
        <x:f>INDEX('AD Fleet'!$D$6:$D$61,MATCH(2006,'AD Fleet'!$C$6:$C$61,0))*$N62</x:f>
        <x:v>3406.8534803149605</x:v>
      </x:c>
      <x:c r="H62" s="28" t="n">
        <x:f>INDEX('AD Fleet'!$D$6:$D$61,MATCH(2007,'AD Fleet'!$C$6:$C$61,0))*$N62</x:f>
        <x:v>3319.373334645669</x:v>
      </x:c>
      <x:c r="I62" s="28" t="n">
        <x:f>'Fee Calculation'!M28</x:f>
        <x:v>582.895532940573</x:v>
      </x:c>
      <x:c r="J62" s="33" t="n">
        <x:f>INDEX('Loss Calibration'!$E$8:$H$13,M62,1)</x:f>
        <x:v>0.4946908337805008</x:v>
      </x:c>
      <x:c r="K62" s="3" t="str">
        <x:v>Car</x:v>
      </x:c>
      <x:c r="L62" s="48" t="n">
        <x:v>20</x:v>
      </x:c>
      <x:c r="M62" s="48" t="n">
        <x:v>6</x:v>
      </x:c>
      <x:c r="N62" s="33" t="n">
        <x:f>IF(($L62/'Volume Build'!$D$22)&gt;=31,0,INDEX('AD Fleet'!$H$6:$H$37,INT(($L62/'Volume Build'!$D$22))+1)+(($L62/'Volume Build'!$D$22)-INT(($L62/'Volume Build'!$D$22)))*(INDEX('AD Fleet'!$H$6:$H$37,MIN(INT(($L62/'Volume Build'!$D$22))+2,32))-INDEX('AD Fleet'!$H$6:$H$37,INT(($L62/'Volume Build'!$D$22))+1)))</x:f>
        <x:v>0.4389370078740157</x:v>
      </x:c>
      <x:c r="O62" s="33" t="n">
        <x:f>IF(L62=0,'Volume Build'!$D$25,1)*EXP(-'Volume Build'!$D$24*MAX(L62-6,0))*'Vehicle Economics'!D$10</x:f>
        <x:v>0.28258383820974226</x:v>
      </x:c>
    </x:row>
    <x:row r="63" ht="18" customHeight="1">
      <x:c r="A63" s="2"/>
      <x:c r="B63" s="2"/>
      <x:c r="C63" s="2" t="str">
        <x:v>Car / 21</x:v>
      </x:c>
      <x:c r="D63" s="28" t="n">
        <x:f>INDEX('AD Fleet'!$D$6:$D$61,MATCH(2002,'AD Fleet'!$C$6:$C$61,0))*$N63</x:f>
        <x:v>2980.1470889763787</x:v>
      </x:c>
      <x:c r="E63" s="28" t="n">
        <x:f>INDEX('AD Fleet'!$D$6:$D$61,MATCH(2003,'AD Fleet'!$C$6:$C$61,0))*$N63</x:f>
        <x:v>2799.7959968503947</x:v>
      </x:c>
      <x:c r="F63" s="28" t="n">
        <x:f>INDEX('AD Fleet'!$D$6:$D$61,MATCH(2004,'AD Fleet'!$C$6:$C$61,0))*$N63</x:f>
        <x:v>2772.7451858267723</x:v>
      </x:c>
      <x:c r="G63" s="28" t="n">
        <x:f>INDEX('AD Fleet'!$D$6:$D$61,MATCH(2005,'AD Fleet'!$C$6:$C$61,0))*$N63</x:f>
        <x:v>2838.482362204725</x:v>
      </x:c>
      <x:c r="H63" s="28" t="n">
        <x:f>INDEX('AD Fleet'!$D$6:$D$61,MATCH(2006,'AD Fleet'!$C$6:$C$61,0))*$N63</x:f>
        <x:v>2876.131162204725</x:v>
      </x:c>
      <x:c r="I63" s="28" t="n">
        <x:f>'Fee Calculation'!M29</x:f>
        <x:v>519.9445300437695</x:v>
      </x:c>
      <x:c r="J63" s="33" t="n">
        <x:f>INDEX('Loss Calibration'!$E$8:$H$13,M63,1)</x:f>
        <x:v>0.4946908337805008</x:v>
      </x:c>
      <x:c r="K63" s="3" t="str">
        <x:v>Car</x:v>
      </x:c>
      <x:c r="L63" s="48" t="n">
        <x:v>21</x:v>
      </x:c>
      <x:c r="M63" s="48" t="n">
        <x:v>6</x:v>
      </x:c>
      <x:c r="N63" s="33" t="n">
        <x:f>IF(($L63/'Volume Build'!$D$22)&gt;=31,0,INDEX('AD Fleet'!$H$6:$H$37,INT(($L63/'Volume Build'!$D$22))+1)+(($L63/'Volume Build'!$D$22)-INT(($L63/'Volume Build'!$D$22)))*(INDEX('AD Fleet'!$H$6:$H$37,MIN(INT(($L63/'Volume Build'!$D$22))+2,32))-INDEX('AD Fleet'!$H$6:$H$37,INT(($L63/'Volume Build'!$D$22))+1)))</x:f>
        <x:v>0.3705590551181103</x:v>
      </x:c>
      <x:c r="O63" s="33" t="n">
        <x:f>IF(L63=0,'Volume Build'!$D$25,1)*EXP(-'Volume Build'!$D$24*MAX(L63-6,0))*'Vehicle Economics'!D$10</x:f>
        <x:v>0.25819246081713987</x:v>
      </x:c>
    </x:row>
    <x:row r="64" ht="18" customHeight="1">
      <x:c r="A64" s="2"/>
      <x:c r="B64" s="2"/>
      <x:c r="C64" s="2" t="str">
        <x:v>Car / 22</x:v>
      </x:c>
      <x:c r="D64" s="28" t="n">
        <x:f>INDEX('AD Fleet'!$D$6:$D$61,MATCH(2001,'AD Fleet'!$C$6:$C$61,0))*$N64</x:f>
        <x:v>2581.425637795275</x:v>
      </x:c>
      <x:c r="E64" s="28" t="n">
        <x:f>INDEX('AD Fleet'!$D$6:$D$61,MATCH(2002,'AD Fleet'!$C$6:$C$61,0))*$N64</x:f>
        <x:v>2485.7039519685036</x:v>
      </x:c>
      <x:c r="F64" s="28" t="n">
        <x:f>INDEX('AD Fleet'!$D$6:$D$61,MATCH(2003,'AD Fleet'!$C$6:$C$61,0))*$N64</x:f>
        <x:v>2335.275329133858</x:v>
      </x:c>
      <x:c r="G64" s="28" t="n">
        <x:f>INDEX('AD Fleet'!$D$6:$D$61,MATCH(2004,'AD Fleet'!$C$6:$C$61,0))*$N64</x:f>
        <x:v>2312.712581102362</x:v>
      </x:c>
      <x:c r="H64" s="28" t="n">
        <x:f>INDEX('AD Fleet'!$D$6:$D$61,MATCH(2005,'AD Fleet'!$C$6:$C$61,0))*$N64</x:f>
        <x:v>2367.543149606299</x:v>
      </x:c>
      <x:c r="I64" s="28" t="n">
        <x:f>'Fee Calculation'!M30</x:f>
        <x:v>511.14330542946425</x:v>
      </x:c>
      <x:c r="J64" s="33" t="n">
        <x:f>INDEX('Loss Calibration'!$E$8:$H$13,M64,1)</x:f>
        <x:v>0.4946908337805008</x:v>
      </x:c>
      <x:c r="K64" s="3" t="str">
        <x:v>Car</x:v>
      </x:c>
      <x:c r="L64" s="48" t="n">
        <x:v>22</x:v>
      </x:c>
      <x:c r="M64" s="48" t="n">
        <x:v>6</x:v>
      </x:c>
      <x:c r="N64" s="33" t="n">
        <x:f>IF(($L64/'Volume Build'!$D$22)&gt;=31,0,INDEX('AD Fleet'!$H$6:$H$37,INT(($L64/'Volume Build'!$D$22))+1)+(($L64/'Volume Build'!$D$22)-INT(($L64/'Volume Build'!$D$22)))*(INDEX('AD Fleet'!$H$6:$H$37,MIN(INT(($L64/'Volume Build'!$D$22))+2,32))-INDEX('AD Fleet'!$H$6:$H$37,INT(($L64/'Volume Build'!$D$22))+1)))</x:f>
        <x:v>0.30907874015748027</x:v>
      </x:c>
      <x:c r="O64" s="33" t="n">
        <x:f>IF(L64=0,'Volume Build'!$D$25,1)*EXP(-'Volume Build'!$D$24*MAX(L64-6,0))*'Vehicle Economics'!D$10</x:f>
        <x:v>0.23590643840477085</x:v>
      </x:c>
    </x:row>
    <x:row r="65" ht="18" customHeight="1">
      <x:c r="A65" s="2"/>
      <x:c r="B65" s="2"/>
      <x:c r="C65" s="2" t="str">
        <x:v>Car / 23</x:v>
      </x:c>
      <x:c r="D65" s="28" t="n">
        <x:f>INDEX('AD Fleet'!$D$6:$D$61,MATCH(2000,'AD Fleet'!$C$6:$C$61,0))*$N65</x:f>
        <x:v>2234.8577125984257</x:v>
      </x:c>
      <x:c r="E65" s="28" t="n">
        <x:f>INDEX('AD Fleet'!$D$6:$D$61,MATCH(2001,'AD Fleet'!$C$6:$C$61,0))*$N65</x:f>
        <x:v>2126.4718110236226</x:v>
      </x:c>
      <x:c r="F65" s="28" t="n">
        <x:f>INDEX('AD Fleet'!$D$6:$D$61,MATCH(2002,'AD Fleet'!$C$6:$C$61,0))*$N65</x:f>
        <x:v>2047.6202401574808</x:v>
      </x:c>
      <x:c r="G65" s="28" t="n">
        <x:f>INDEX('AD Fleet'!$D$6:$D$61,MATCH(2003,'AD Fleet'!$C$6:$C$61,0))*$N65</x:f>
        <x:v>1923.703354330709</x:v>
      </x:c>
      <x:c r="H65" s="28" t="n">
        <x:f>INDEX('AD Fleet'!$D$6:$D$61,MATCH(2004,'AD Fleet'!$C$6:$C$61,0))*$N65</x:f>
        <x:v>1905.1170944881894</x:v>
      </x:c>
      <x:c r="I65" s="28" t="n">
        <x:f>'Fee Calculation'!M31</x:f>
        <x:v>488.9538151640815</x:v>
      </x:c>
      <x:c r="J65" s="33" t="n">
        <x:f>INDEX('Loss Calibration'!$E$8:$H$13,M65,1)</x:f>
        <x:v>0.4946908337805008</x:v>
      </x:c>
      <x:c r="K65" s="3" t="str">
        <x:v>Car</x:v>
      </x:c>
      <x:c r="L65" s="48" t="n">
        <x:v>23</x:v>
      </x:c>
      <x:c r="M65" s="48" t="n">
        <x:v>6</x:v>
      </x:c>
      <x:c r="N65" s="33" t="n">
        <x:f>IF(($L65/'Volume Build'!$D$22)&gt;=31,0,INDEX('AD Fleet'!$H$6:$H$37,INT(($L65/'Volume Build'!$D$22))+1)+(($L65/'Volume Build'!$D$22)-INT(($L65/'Volume Build'!$D$22)))*(INDEX('AD Fleet'!$H$6:$H$37,MIN(INT(($L65/'Volume Build'!$D$22))+2,32))-INDEX('AD Fleet'!$H$6:$H$37,INT(($L65/'Volume Build'!$D$22))+1)))</x:f>
        <x:v>0.2546062992125985</x:v>
      </x:c>
      <x:c r="O65" s="33" t="n">
        <x:f>IF(L65=0,'Volume Build'!$D$25,1)*EXP(-'Volume Build'!$D$24*MAX(L65-6,0))*'Vehicle Economics'!D$10</x:f>
        <x:v>0.2155440461146476</x:v>
      </x:c>
    </x:row>
    <x:row r="66" ht="18" customHeight="1">
      <x:c r="A66" s="2"/>
      <x:c r="B66" s="2"/>
      <x:c r="C66" s="2" t="str">
        <x:v>Car / 24</x:v>
      </x:c>
      <x:c r="D66" s="28" t="n">
        <x:f>INDEX('AD Fleet'!$D$6:$D$61,MATCH(1999,'AD Fleet'!$C$6:$C$61,0))*$N66</x:f>
        <x:v>1804.735192913387</x:v>
      </x:c>
      <x:c r="E66" s="28" t="n">
        <x:f>INDEX('AD Fleet'!$D$6:$D$61,MATCH(2000,'AD Fleet'!$C$6:$C$61,0))*$N66</x:f>
        <x:v>1833.9863740157493</x:v>
      </x:c>
      <x:c r="F66" s="28" t="n">
        <x:f>INDEX('AD Fleet'!$D$6:$D$61,MATCH(2001,'AD Fleet'!$C$6:$C$61,0))*$N66</x:f>
        <x:v>1745.0418897637805</x:v>
      </x:c>
      <x:c r="G66" s="28" t="n">
        <x:f>INDEX('AD Fleet'!$D$6:$D$61,MATCH(2002,'AD Fleet'!$C$6:$C$61,0))*$N66</x:f>
        <x:v>1680.334098425198</x:v>
      </x:c>
      <x:c r="H66" s="28" t="n">
        <x:f>INDEX('AD Fleet'!$D$6:$D$61,MATCH(2003,'AD Fleet'!$C$6:$C$61,0))*$N66</x:f>
        <x:v>1578.6444566929144</x:v>
      </x:c>
      <x:c r="I66" s="28" t="n">
        <x:f>'Fee Calculation'!M32</x:f>
        <x:v>460.84163567299277</x:v>
      </x:c>
      <x:c r="J66" s="33" t="n">
        <x:f>INDEX('Loss Calibration'!$E$8:$H$13,M66,1)</x:f>
        <x:v>0.4946908337805008</x:v>
      </x:c>
      <x:c r="K66" s="3" t="str">
        <x:v>Car</x:v>
      </x:c>
      <x:c r="L66" s="48" t="n">
        <x:v>24</x:v>
      </x:c>
      <x:c r="M66" s="48" t="n">
        <x:v>6</x:v>
      </x:c>
      <x:c r="N66" s="33" t="n">
        <x:f>IF(($L66/'Volume Build'!$D$22)&gt;=31,0,INDEX('AD Fleet'!$H$6:$H$37,INT(($L66/'Volume Build'!$D$22))+1)+(($L66/'Volume Build'!$D$22)-INT(($L66/'Volume Build'!$D$22)))*(INDEX('AD Fleet'!$H$6:$H$37,MIN(INT(($L66/'Volume Build'!$D$22))+2,32))-INDEX('AD Fleet'!$H$6:$H$37,INT(($L66/'Volume Build'!$D$22))+1)))</x:f>
        <x:v>0.20893700787401587</x:v>
      </x:c>
      <x:c r="O66" s="33" t="n">
        <x:f>IF(L66=0,'Volume Build'!$D$25,1)*EXP(-'Volume Build'!$D$24*MAX(L66-6,0))*'Vehicle Economics'!D$10</x:f>
        <x:v>0.19693924476854713</x:v>
      </x:c>
    </x:row>
    <x:row r="67" ht="18" customHeight="1">
      <x:c r="A67" s="2"/>
      <x:c r="B67" s="2"/>
      <x:c r="C67" s="2" t="str">
        <x:v>Car / 25</x:v>
      </x:c>
      <x:c r="D67" s="28" t="n">
        <x:f>INDEX('AD Fleet'!$D$6:$D$61,MATCH(1998,'AD Fleet'!$C$6:$C$61,0))*$N67</x:f>
        <x:v>1386.4820078740156</x:v>
      </x:c>
      <x:c r="E67" s="28" t="n">
        <x:f>INDEX('AD Fleet'!$D$6:$D$61,MATCH(1999,'AD Fleet'!$C$6:$C$61,0))*$N67</x:f>
        <x:v>1481.2635299212598</x:v>
      </x:c>
      <x:c r="F67" s="28" t="n">
        <x:f>INDEX('AD Fleet'!$D$6:$D$61,MATCH(2000,'AD Fleet'!$C$6:$C$61,0))*$N67</x:f>
        <x:v>1505.2718763779528</x:v>
      </x:c>
      <x:c r="G67" s="28" t="n">
        <x:f>INDEX('AD Fleet'!$D$6:$D$61,MATCH(2001,'AD Fleet'!$C$6:$C$61,0))*$N67</x:f>
        <x:v>1432.2693543307084</x:v>
      </x:c>
      <x:c r="H67" s="28" t="n">
        <x:f>INDEX('AD Fleet'!$D$6:$D$61,MATCH(2002,'AD Fleet'!$C$6:$C$61,0))*$N67</x:f>
        <x:v>1379.1594622047244</x:v>
      </x:c>
      <x:c r="I67" s="28" t="n">
        <x:f>'Fee Calculation'!M33</x:f>
        <x:v>441.1506192178116</x:v>
      </x:c>
      <x:c r="J67" s="33" t="n">
        <x:f>INDEX('Loss Calibration'!$E$8:$H$13,M67,1)</x:f>
        <x:v>0.4946908337805008</x:v>
      </x:c>
      <x:c r="K67" s="3" t="str">
        <x:v>Car</x:v>
      </x:c>
      <x:c r="L67" s="48" t="n">
        <x:v>25</x:v>
      </x:c>
      <x:c r="M67" s="48" t="n">
        <x:v>6</x:v>
      </x:c>
      <x:c r="N67" s="33" t="n">
        <x:f>IF(($L67/'Volume Build'!$D$22)&gt;=31,0,INDEX('AD Fleet'!$H$6:$H$37,INT(($L67/'Volume Build'!$D$22))+1)+(($L67/'Volume Build'!$D$22)-INT(($L67/'Volume Build'!$D$22)))*(INDEX('AD Fleet'!$H$6:$H$37,MIN(INT(($L67/'Volume Build'!$D$22))+2,32))-INDEX('AD Fleet'!$H$6:$H$37,INT(($L67/'Volume Build'!$D$22))+1)))</x:f>
        <x:v>0.17148818897637794</x:v>
      </x:c>
      <x:c r="O67" s="33" t="n">
        <x:f>IF(L67=0,'Volume Build'!$D$25,1)*EXP(-'Volume Build'!$D$24*MAX(L67-6,0))*'Vehicle Economics'!D$10</x:f>
        <x:v>0.17994032695004702</x:v>
      </x:c>
    </x:row>
    <x:row r="68" ht="18" customHeight="1">
      <x:c r="A68" s="2"/>
      <x:c r="B68" s="2"/>
      <x:c r="C68" s="2" t="str">
        <x:v>Car / 26</x:v>
      </x:c>
      <x:c r="D68" s="28" t="n">
        <x:f>INDEX('AD Fleet'!$D$6:$D$61,MATCH(1997,'AD Fleet'!$C$6:$C$61,0))*$N68</x:f>
        <x:v>1146.503011811024</x:v>
      </x:c>
      <x:c r="E68" s="28" t="n">
        <x:f>INDEX('AD Fleet'!$D$6:$D$61,MATCH(1998,'AD Fleet'!$C$6:$C$61,0))*$N68</x:f>
        <x:v>1128.0166535433075</x:v>
      </x:c>
      <x:c r="F68" s="28" t="n">
        <x:f>INDEX('AD Fleet'!$D$6:$D$61,MATCH(1999,'AD Fleet'!$C$6:$C$61,0))*$N68</x:f>
        <x:v>1205.1291834645674</x:v>
      </x:c>
      <x:c r="G68" s="28" t="n">
        <x:f>INDEX('AD Fleet'!$D$6:$D$61,MATCH(2000,'AD Fleet'!$C$6:$C$61,0))*$N68</x:f>
        <x:v>1224.6619393700792</x:v>
      </x:c>
      <x:c r="H68" s="28" t="n">
        <x:f>INDEX('AD Fleet'!$D$6:$D$61,MATCH(2001,'AD Fleet'!$C$6:$C$61,0))*$N68</x:f>
        <x:v>1165.2684094488193</x:v>
      </x:c>
      <x:c r="I68" s="28" t="n">
        <x:f>'Fee Calculation'!M34</x:f>
        <x:v>419.85258215935863</x:v>
      </x:c>
      <x:c r="J68" s="33" t="n">
        <x:f>INDEX('Loss Calibration'!$E$8:$H$13,M68,1)</x:f>
        <x:v>0.4946908337805008</x:v>
      </x:c>
      <x:c r="K68" s="3" t="str">
        <x:v>Car</x:v>
      </x:c>
      <x:c r="L68" s="48" t="n">
        <x:v>26</x:v>
      </x:c>
      <x:c r="M68" s="48" t="n">
        <x:v>6</x:v>
      </x:c>
      <x:c r="N68" s="33" t="n">
        <x:f>IF(($L68/'Volume Build'!$D$22)&gt;=31,0,INDEX('AD Fleet'!$H$6:$H$37,INT(($L68/'Volume Build'!$D$22))+1)+(($L68/'Volume Build'!$D$22)-INT(($L68/'Volume Build'!$D$22)))*(INDEX('AD Fleet'!$H$6:$H$37,MIN(INT(($L68/'Volume Build'!$D$22))+2,32))-INDEX('AD Fleet'!$H$6:$H$37,INT(($L68/'Volume Build'!$D$22))+1)))</x:f>
        <x:v>0.13951968503937012</x:v>
      </x:c>
      <x:c r="O68" s="33" t="n">
        <x:f>IF(L68=0,'Volume Build'!$D$25,1)*EXP(-'Volume Build'!$D$24*MAX(L68-6,0))*'Vehicle Economics'!D$10</x:f>
        <x:v>0.16440867995072633</x:v>
      </x:c>
    </x:row>
    <x:row r="69" ht="18" customHeight="1">
      <x:c r="A69" s="2"/>
      <x:c r="B69" s="2"/>
      <x:c r="C69" s="2" t="str">
        <x:v>Car / 27</x:v>
      </x:c>
      <x:c r="D69" s="28" t="n">
        <x:f>INDEX('AD Fleet'!$D$6:$D$61,MATCH(1996,'AD Fleet'!$C$6:$C$61,0))*$N69</x:f>
        <x:v>955.7339055118107</x:v>
      </x:c>
      <x:c r="E69" s="28" t="n">
        <x:f>INDEX('AD Fleet'!$D$6:$D$61,MATCH(1997,'AD Fleet'!$C$6:$C$61,0))*$N69</x:f>
        <x:v>926.3128346456689</x:v>
      </x:c>
      <x:c r="F69" s="28" t="n">
        <x:f>INDEX('AD Fleet'!$D$6:$D$61,MATCH(1998,'AD Fleet'!$C$6:$C$61,0))*$N69</x:f>
        <x:v>911.3768503937005</x:v>
      </x:c>
      <x:c r="G69" s="28" t="n">
        <x:f>INDEX('AD Fleet'!$D$6:$D$61,MATCH(1999,'AD Fleet'!$C$6:$C$61,0))*$N69</x:f>
        <x:v>973.6796314960627</x:v>
      </x:c>
      <x:c r="H69" s="28" t="n">
        <x:f>INDEX('AD Fleet'!$D$6:$D$61,MATCH(2000,'AD Fleet'!$C$6:$C$61,0))*$N69</x:f>
        <x:v>989.4610488188973</x:v>
      </x:c>
      <x:c r="I69" s="28" t="n">
        <x:f>'Fee Calculation'!M35</x:f>
        <x:v>391.92202288632814</x:v>
      </x:c>
      <x:c r="J69" s="33" t="n">
        <x:f>INDEX('Loss Calibration'!$E$8:$H$13,M69,1)</x:f>
        <x:v>0.4946908337805008</x:v>
      </x:c>
      <x:c r="K69" s="3" t="str">
        <x:v>Car</x:v>
      </x:c>
      <x:c r="L69" s="48" t="n">
        <x:v>27</x:v>
      </x:c>
      <x:c r="M69" s="48" t="n">
        <x:v>6</x:v>
      </x:c>
      <x:c r="N69" s="33" t="n">
        <x:f>IF(($L69/'Volume Build'!$D$22)&gt;=31,0,INDEX('AD Fleet'!$H$6:$H$37,INT(($L69/'Volume Build'!$D$22))+1)+(($L69/'Volume Build'!$D$22)-INT(($L69/'Volume Build'!$D$22)))*(INDEX('AD Fleet'!$H$6:$H$37,MIN(INT(($L69/'Volume Build'!$D$22))+2,32))-INDEX('AD Fleet'!$H$6:$H$37,INT(($L69/'Volume Build'!$D$22))+1)))</x:f>
        <x:v>0.11272440944881885</x:v>
      </x:c>
      <x:c r="O69" s="33" t="n">
        <x:f>IF(L69=0,'Volume Build'!$D$25,1)*EXP(-'Volume Build'!$D$24*MAX(L69-6,0))*'Vehicle Economics'!D$10</x:f>
        <x:v>0.15021765549333577</x:v>
      </x:c>
    </x:row>
    <x:row r="70" ht="18" customHeight="1">
      <x:c r="A70" s="2"/>
      <x:c r="B70" s="2"/>
      <x:c r="C70" s="2" t="str">
        <x:v>Car / 28</x:v>
      </x:c>
      <x:c r="D70" s="28" t="n">
        <x:f>INDEX('AD Fleet'!$D$6:$D$61,MATCH(1995,'AD Fleet'!$C$6:$C$61,0))*$N70</x:f>
        <x:v>784.0988220472442</x:v>
      </x:c>
      <x:c r="E70" s="28" t="n">
        <x:f>INDEX('AD Fleet'!$D$6:$D$61,MATCH(1996,'AD Fleet'!$C$6:$C$61,0))*$N70</x:f>
        <x:v>771.2097007874016</x:v>
      </x:c>
      <x:c r="F70" s="28" t="n">
        <x:f>INDEX('AD Fleet'!$D$6:$D$61,MATCH(1997,'AD Fleet'!$C$6:$C$61,0))*$N70</x:f>
        <x:v>747.4689763779528</x:v>
      </x:c>
      <x:c r="G70" s="28" t="n">
        <x:f>INDEX('AD Fleet'!$D$6:$D$61,MATCH(1998,'AD Fleet'!$C$6:$C$61,0))*$N70</x:f>
        <x:v>735.4166929133859</x:v>
      </x:c>
      <x:c r="H70" s="28" t="n">
        <x:f>INDEX('AD Fleet'!$D$6:$D$61,MATCH(1999,'AD Fleet'!$C$6:$C$61,0))*$N70</x:f>
        <x:v>785.6906330708663</x:v>
      </x:c>
      <x:c r="I70" s="28" t="n">
        <x:f>'Fee Calculation'!M36</x:f>
        <x:v>366.0858665865904</x:v>
      </x:c>
      <x:c r="J70" s="33" t="n">
        <x:f>INDEX('Loss Calibration'!$E$8:$H$13,M70,1)</x:f>
        <x:v>0.4946908337805008</x:v>
      </x:c>
      <x:c r="K70" s="3" t="str">
        <x:v>Car</x:v>
      </x:c>
      <x:c r="L70" s="48" t="n">
        <x:v>28</x:v>
      </x:c>
      <x:c r="M70" s="48" t="n">
        <x:v>6</x:v>
      </x:c>
      <x:c r="N70" s="33" t="n">
        <x:f>IF(($L70/'Volume Build'!$D$22)&gt;=31,0,INDEX('AD Fleet'!$H$6:$H$37,INT(($L70/'Volume Build'!$D$22))+1)+(($L70/'Volume Build'!$D$22)-INT(($L70/'Volume Build'!$D$22)))*(INDEX('AD Fleet'!$H$6:$H$37,MIN(INT(($L70/'Volume Build'!$D$22))+2,32))-INDEX('AD Fleet'!$H$6:$H$37,INT(($L70/'Volume Build'!$D$22))+1)))</x:f>
        <x:v>0.09096062992125985</x:v>
      </x:c>
      <x:c r="O70" s="33" t="n">
        <x:f>IF(L70=0,'Volume Build'!$D$25,1)*EXP(-'Volume Build'!$D$24*MAX(L70-6,0))*'Vehicle Economics'!D$10</x:f>
        <x:v>0.1372515370154264</x:v>
      </x:c>
    </x:row>
    <x:row r="71" ht="18" customHeight="1">
      <x:c r="A71" s="2"/>
      <x:c r="B71" s="2"/>
      <x:c r="C71" s="2" t="str">
        <x:v>Car / 29</x:v>
      </x:c>
      <x:c r="D71" s="28" t="n">
        <x:f>INDEX('AD Fleet'!$D$6:$D$61,MATCH(1994,'AD Fleet'!$C$6:$C$61,0))*$N71</x:f>
        <x:v>662.0405984251971</x:v>
      </x:c>
      <x:c r="E71" s="28" t="n">
        <x:f>INDEX('AD Fleet'!$D$6:$D$61,MATCH(1995,'AD Fleet'!$C$6:$C$61,0))*$N71</x:f>
        <x:v>634.772522834646</x:v>
      </x:c>
      <x:c r="F71" s="28" t="n">
        <x:f>INDEX('AD Fleet'!$D$6:$D$61,MATCH(1996,'AD Fleet'!$C$6:$C$61,0))*$N71</x:f>
        <x:v>624.3380472440948</x:v>
      </x:c>
      <x:c r="G71" s="28" t="n">
        <x:f>INDEX('AD Fleet'!$D$6:$D$61,MATCH(1997,'AD Fleet'!$C$6:$C$61,0))*$N71</x:f>
        <x:v>605.1185826771656</x:v>
      </x:c>
      <x:c r="H71" s="28" t="n">
        <x:f>INDEX('AD Fleet'!$D$6:$D$61,MATCH(1998,'AD Fleet'!$C$6:$C$61,0))*$N71</x:f>
        <x:v>595.3615748031499</x:v>
      </x:c>
      <x:c r="I71" s="28" t="n">
        <x:f>'Fee Calculation'!M37</x:f>
        <x:v>351.6982343067162</x:v>
      </x:c>
      <x:c r="J71" s="33" t="n">
        <x:f>INDEX('Loss Calibration'!$E$8:$H$13,M71,1)</x:f>
        <x:v>0.4946908337805008</x:v>
      </x:c>
      <x:c r="K71" s="3" t="str">
        <x:v>Car</x:v>
      </x:c>
      <x:c r="L71" s="48" t="n">
        <x:v>29</x:v>
      </x:c>
      <x:c r="M71" s="48" t="n">
        <x:v>6</x:v>
      </x:c>
      <x:c r="N71" s="33" t="n">
        <x:f>IF(($L71/'Volume Build'!$D$22)&gt;=31,0,INDEX('AD Fleet'!$H$6:$H$37,INT(($L71/'Volume Build'!$D$22))+1)+(($L71/'Volume Build'!$D$22)-INT(($L71/'Volume Build'!$D$22)))*(INDEX('AD Fleet'!$H$6:$H$37,MIN(INT(($L71/'Volume Build'!$D$22))+2,32))-INDEX('AD Fleet'!$H$6:$H$37,INT(($L71/'Volume Build'!$D$22))+1)))</x:f>
        <x:v>0.07363779527559058</x:v>
      </x:c>
      <x:c r="O71" s="33" t="n">
        <x:f>IF(L71=0,'Volume Build'!$D$25,1)*EXP(-'Volume Build'!$D$24*MAX(L71-6,0))*'Vehicle Economics'!D$10</x:f>
        <x:v>0.12540459609245258</x:v>
      </x:c>
    </x:row>
    <x:row r="72" ht="18" customHeight="1">
      <x:c r="A72" s="2"/>
      <x:c r="B72" s="2"/>
      <x:c r="C72" s="2" t="str">
        <x:v>Car / 30</x:v>
      </x:c>
      <x:c r="D72" s="28" t="n">
        <x:f>INDEX('AD Fleet'!$D$6:$D$61,MATCH(1993,'AD Fleet'!$C$6:$C$61,0))*$N72</x:f>
        <x:v>506.1778842519684</x:v>
      </x:c>
      <x:c r="E72" s="28" t="n">
        <x:f>INDEX('AD Fleet'!$D$6:$D$61,MATCH(1994,'AD Fleet'!$C$6:$C$61,0))*$N72</x:f>
        <x:v>534.2622322834645</x:v>
      </x:c>
      <x:c r="F72" s="28" t="n">
        <x:f>INDEX('AD Fleet'!$D$6:$D$61,MATCH(1995,'AD Fleet'!$C$6:$C$61,0))*$N72</x:f>
        <x:v>512.2570818897638</x:v>
      </x:c>
      <x:c r="G72" s="28" t="n">
        <x:f>INDEX('AD Fleet'!$D$6:$D$61,MATCH(1996,'AD Fleet'!$C$6:$C$61,0))*$N72</x:f>
        <x:v>503.83653149606295</x:v>
      </x:c>
      <x:c r="H72" s="28" t="n">
        <x:f>INDEX('AD Fleet'!$D$6:$D$61,MATCH(1997,'AD Fleet'!$C$6:$C$61,0))*$N72</x:f>
        <x:v>488.32655511811015</x:v>
      </x:c>
      <x:c r="I72" s="28" t="n">
        <x:f>'Fee Calculation'!M38</x:f>
        <x:v>349.9902339883935</x:v>
      </x:c>
      <x:c r="J72" s="33" t="n">
        <x:f>INDEX('Loss Calibration'!$E$8:$H$13,M72,1)</x:f>
        <x:v>0.4946908337805008</x:v>
      </x:c>
      <x:c r="K72" s="3" t="str">
        <x:v>Car</x:v>
      </x:c>
      <x:c r="L72" s="48" t="n">
        <x:v>30</x:v>
      </x:c>
      <x:c r="M72" s="48" t="n">
        <x:v>6</x:v>
      </x:c>
      <x:c r="N72" s="33" t="n">
        <x:f>IF(($L72/'Volume Build'!$D$22)&gt;=31,0,INDEX('AD Fleet'!$H$6:$H$37,INT(($L72/'Volume Build'!$D$22))+1)+(($L72/'Volume Build'!$D$22)-INT(($L72/'Volume Build'!$D$22)))*(INDEX('AD Fleet'!$H$6:$H$37,MIN(INT(($L72/'Volume Build'!$D$22))+2,32))-INDEX('AD Fleet'!$H$6:$H$37,INT(($L72/'Volume Build'!$D$22))+1)))</x:f>
        <x:v>0.05942519685039369</x:v>
      </x:c>
      <x:c r="O72" s="33" t="n">
        <x:f>IF(L72=0,'Volume Build'!$D$25,1)*EXP(-'Volume Build'!$D$24*MAX(L72-6,0))*'Vehicle Economics'!D$10</x:f>
        <x:v>0.11458023030622685</x:v>
      </x:c>
    </x:row>
    <x:row r="73" ht="18" customHeight="1">
      <x:c r="A73" s="2"/>
      <x:c r="B73" s="2"/>
      <x:c r="C73" s="2" t="str">
        <x:v>Car / 31</x:v>
      </x:c>
      <x:c r="D73" s="28" t="n">
        <x:f>INDEX('AD Fleet'!$D$6:$D$61,MATCH(1992,'AD Fleet'!$C$6:$C$61,0))*$N73</x:f>
        <x:v>391.57732677165365</x:v>
      </x:c>
      <x:c r="E73" s="28" t="n">
        <x:f>INDEX('AD Fleet'!$D$6:$D$61,MATCH(1993,'AD Fleet'!$C$6:$C$61,0))*$N73</x:f>
        <x:v>406.1093267716536</x:v>
      </x:c>
      <x:c r="F73" s="28" t="n">
        <x:f>INDEX('AD Fleet'!$D$6:$D$61,MATCH(1994,'AD Fleet'!$C$6:$C$61,0))*$N73</x:f>
        <x:v>428.6415551181103</x:v>
      </x:c>
      <x:c r="G73" s="28" t="n">
        <x:f>INDEX('AD Fleet'!$D$6:$D$61,MATCH(1995,'AD Fleet'!$C$6:$C$61,0))*$N73</x:f>
        <x:v>410.9867007874017</x:v>
      </x:c>
      <x:c r="H73" s="28" t="n">
        <x:f>INDEX('AD Fleet'!$D$6:$D$61,MATCH(1996,'AD Fleet'!$C$6:$C$61,0))*$N73</x:f>
        <x:v>404.230846456693</x:v>
      </x:c>
      <x:c r="I73" s="28" t="n">
        <x:f>'Fee Calculation'!M39</x:f>
        <x:v>313.44477139035786</x:v>
      </x:c>
      <x:c r="J73" s="33" t="n">
        <x:f>INDEX('Loss Calibration'!$E$8:$H$13,M73,1)</x:f>
        <x:v>0.4946908337805008</x:v>
      </x:c>
      <x:c r="K73" s="3" t="str">
        <x:v>Car</x:v>
      </x:c>
      <x:c r="L73" s="48" t="n">
        <x:v>31</x:v>
      </x:c>
      <x:c r="M73" s="48" t="n">
        <x:v>6</x:v>
      </x:c>
      <x:c r="N73" s="33" t="n">
        <x:f>IF(($L73/'Volume Build'!$D$22)&gt;=31,0,INDEX('AD Fleet'!$H$6:$H$37,INT(($L73/'Volume Build'!$D$22))+1)+(($L73/'Volume Build'!$D$22)-INT(($L73/'Volume Build'!$D$22)))*(INDEX('AD Fleet'!$H$6:$H$37,MIN(INT(($L73/'Volume Build'!$D$22))+2,32))-INDEX('AD Fleet'!$H$6:$H$37,INT(($L73/'Volume Build'!$D$22))+1)))</x:f>
        <x:v>0.04767716535433072</x:v>
      </x:c>
      <x:c r="O73" s="33" t="n">
        <x:f>IF(L73=0,'Volume Build'!$D$25,1)*EXP(-'Volume Build'!$D$24*MAX(L73-6,0))*'Vehicle Economics'!D$10</x:f>
        <x:v>0.10469017552872706</x:v>
      </x:c>
    </x:row>
    <x:row r="74" ht="18" customHeight="1">
      <x:c r="A74" s="2"/>
      <x:c r="B74" s="2"/>
      <x:c r="C74" s="2" t="str">
        <x:v>Car / 32</x:v>
      </x:c>
      <x:c r="D74" s="28" t="n">
        <x:f>INDEX('AD Fleet'!$D$6:$D$61,MATCH(1991,'AD Fleet'!$C$6:$C$61,0))*$N74</x:f>
        <x:v>311.2877952755908</x:v>
      </x:c>
      <x:c r="E74" s="28" t="n">
        <x:f>INDEX('AD Fleet'!$D$6:$D$61,MATCH(1992,'AD Fleet'!$C$6:$C$61,0))*$N74</x:f>
        <x:v>312.35648031496083</x:v>
      </x:c>
      <x:c r="F74" s="28" t="n">
        <x:f>INDEX('AD Fleet'!$D$6:$D$61,MATCH(1993,'AD Fleet'!$C$6:$C$61,0))*$N74</x:f>
        <x:v>323.9484803149608</x:v>
      </x:c>
      <x:c r="G74" s="28" t="n">
        <x:f>INDEX('AD Fleet'!$D$6:$D$61,MATCH(1994,'AD Fleet'!$C$6:$C$61,0))*$N74</x:f>
        <x:v>341.92216535433096</x:v>
      </x:c>
      <x:c r="H74" s="28" t="n">
        <x:f>INDEX('AD Fleet'!$D$6:$D$61,MATCH(1995,'AD Fleet'!$C$6:$C$61,0))*$N74</x:f>
        <x:v>327.839102362205</x:v>
      </x:c>
      <x:c r="I74" s="28" t="n">
        <x:f>'Fee Calculation'!M40</x:f>
        <x:v>298.29637900348007</x:v>
      </x:c>
      <x:c r="J74" s="33" t="n">
        <x:f>INDEX('Loss Calibration'!$E$8:$H$13,M74,1)</x:f>
        <x:v>0.4946908337805008</x:v>
      </x:c>
      <x:c r="K74" s="3" t="str">
        <x:v>Car</x:v>
      </x:c>
      <x:c r="L74" s="48" t="n">
        <x:v>32</x:v>
      </x:c>
      <x:c r="M74" s="48" t="n">
        <x:v>6</x:v>
      </x:c>
      <x:c r="N74" s="33" t="n">
        <x:f>IF(($L74/'Volume Build'!$D$22)&gt;=31,0,INDEX('AD Fleet'!$H$6:$H$37,INT(($L74/'Volume Build'!$D$22))+1)+(($L74/'Volume Build'!$D$22)-INT(($L74/'Volume Build'!$D$22)))*(INDEX('AD Fleet'!$H$6:$H$37,MIN(INT(($L74/'Volume Build'!$D$22))+2,32))-INDEX('AD Fleet'!$H$6:$H$37,INT(($L74/'Volume Build'!$D$22))+1)))</x:f>
        <x:v>0.03803149606299215</x:v>
      </x:c>
      <x:c r="O74" s="33" t="n">
        <x:f>IF(L74=0,'Volume Build'!$D$25,1)*EXP(-'Volume Build'!$D$24*MAX(L74-6,0))*'Vehicle Economics'!D$10</x:f>
        <x:v>0.09565378619805467</x:v>
      </x:c>
    </x:row>
    <x:row r="75" ht="18" customHeight="1">
      <x:c r="A75" s="2"/>
      <x:c r="B75" s="2"/>
      <x:c r="C75" s="2" t="str">
        <x:v>Car / 33</x:v>
      </x:c>
      <x:c r="D75" s="28" t="n">
        <x:f>INDEX('AD Fleet'!$D$6:$D$61,MATCH(1990,'AD Fleet'!$C$6:$C$61,0))*$N75</x:f>
        <x:v>280.5007559055118</x:v>
      </x:c>
      <x:c r="E75" s="28" t="n">
        <x:f>INDEX('AD Fleet'!$D$6:$D$61,MATCH(1991,'AD Fleet'!$C$6:$C$61,0))*$N75</x:f>
        <x:v>246.83897637795275</x:v>
      </x:c>
      <x:c r="F75" s="28" t="n">
        <x:f>INDEX('AD Fleet'!$D$6:$D$61,MATCH(1992,'AD Fleet'!$C$6:$C$61,0))*$N75</x:f>
        <x:v>247.68640157480314</x:v>
      </x:c>
      <x:c r="G75" s="28" t="n">
        <x:f>INDEX('AD Fleet'!$D$6:$D$61,MATCH(1993,'AD Fleet'!$C$6:$C$61,0))*$N75</x:f>
        <x:v>256.8784015748031</x:v>
      </x:c>
      <x:c r="H75" s="28" t="n">
        <x:f>INDEX('AD Fleet'!$D$6:$D$61,MATCH(1994,'AD Fleet'!$C$6:$C$61,0))*$N75</x:f>
        <x:v>271.1308267716535</x:v>
      </x:c>
      <x:c r="I75" s="28" t="n">
        <x:f>'Fee Calculation'!M41</x:f>
        <x:v>297.03106124673644</x:v>
      </x:c>
      <x:c r="J75" s="33" t="n">
        <x:f>INDEX('Loss Calibration'!$E$8:$H$13,M75,1)</x:f>
        <x:v>0.4946908337805008</x:v>
      </x:c>
      <x:c r="K75" s="3" t="str">
        <x:v>Car</x:v>
      </x:c>
      <x:c r="L75" s="48" t="n">
        <x:v>33</x:v>
      </x:c>
      <x:c r="M75" s="48" t="n">
        <x:v>6</x:v>
      </x:c>
      <x:c r="N75" s="33" t="n">
        <x:f>IF(($L75/'Volume Build'!$D$22)&gt;=31,0,INDEX('AD Fleet'!$H$6:$H$37,INT(($L75/'Volume Build'!$D$22))+1)+(($L75/'Volume Build'!$D$22)-INT(($L75/'Volume Build'!$D$22)))*(INDEX('AD Fleet'!$H$6:$H$37,MIN(INT(($L75/'Volume Build'!$D$22))+2,32))-INDEX('AD Fleet'!$H$6:$H$37,INT(($L75/'Volume Build'!$D$22))+1)))</x:f>
        <x:v>0.030157480314960627</x:v>
      </x:c>
      <x:c r="O75" s="33" t="n">
        <x:f>IF(L75=0,'Volume Build'!$D$25,1)*EXP(-'Volume Build'!$D$24*MAX(L75-6,0))*'Vehicle Economics'!D$10</x:f>
        <x:v>0.08739737771776383</x:v>
      </x:c>
    </x:row>
    <x:row r="76" ht="18" customHeight="1">
      <x:c r="A76" s="2"/>
      <x:c r="B76" s="2"/>
      <x:c r="C76" s="2" t="str">
        <x:v>Car / 34</x:v>
      </x:c>
      <x:c r="D76" s="28" t="n">
        <x:f>INDEX('AD Fleet'!$D$6:$D$61,MATCH(1989,'AD Fleet'!$C$6:$C$61,0))*$N76</x:f>
        <x:v>240.47174488188986</x:v>
      </x:c>
      <x:c r="E76" s="28" t="n">
        <x:f>INDEX('AD Fleet'!$D$6:$D$61,MATCH(1990,'AD Fleet'!$C$6:$C$61,0))*$N76</x:f>
        <x:v>228.794872440945</x:v>
      </x:c>
      <x:c r="F76" s="28" t="n">
        <x:f>INDEX('AD Fleet'!$D$6:$D$61,MATCH(1991,'AD Fleet'!$C$6:$C$61,0))*$N76</x:f>
        <x:v>201.33811023622056</x:v>
      </x:c>
      <x:c r="G76" s="28" t="n">
        <x:f>INDEX('AD Fleet'!$D$6:$D$61,MATCH(1992,'AD Fleet'!$C$6:$C$61,0))*$N76</x:f>
        <x:v>202.02932598425207</x:v>
      </x:c>
      <x:c r="H76" s="28" t="n">
        <x:f>INDEX('AD Fleet'!$D$6:$D$61,MATCH(1993,'AD Fleet'!$C$6:$C$61,0))*$N76</x:f>
        <x:v>209.52692598425205</x:v>
      </x:c>
      <x:c r="I76" s="28" t="n">
        <x:f>'Fee Calculation'!M42</x:f>
        <x:v>289.6361543947295</x:v>
      </x:c>
      <x:c r="J76" s="33" t="n">
        <x:f>INDEX('Loss Calibration'!$E$8:$H$13,M76,1)</x:f>
        <x:v>0.4946908337805008</x:v>
      </x:c>
      <x:c r="K76" s="3" t="str">
        <x:v>Car</x:v>
      </x:c>
      <x:c r="L76" s="48" t="n">
        <x:v>34</x:v>
      </x:c>
      <x:c r="M76" s="48" t="n">
        <x:v>6</x:v>
      </x:c>
      <x:c r="N76" s="33" t="n">
        <x:f>IF(($L76/'Volume Build'!$D$22)&gt;=31,0,INDEX('AD Fleet'!$H$6:$H$37,INT(($L76/'Volume Build'!$D$22))+1)+(($L76/'Volume Build'!$D$22)-INT(($L76/'Volume Build'!$D$22)))*(INDEX('AD Fleet'!$H$6:$H$37,MIN(INT(($L76/'Volume Build'!$D$22))+2,32))-INDEX('AD Fleet'!$H$6:$H$37,INT(($L76/'Volume Build'!$D$22))+1)))</x:f>
        <x:v>0.024598425196850404</x:v>
      </x:c>
      <x:c r="O76" s="33" t="n">
        <x:f>IF(L76=0,'Volume Build'!$D$25,1)*EXP(-'Volume Build'!$D$24*MAX(L76-6,0))*'Vehicle Economics'!D$10</x:f>
        <x:v>0.0798536256173498</x:v>
      </x:c>
    </x:row>
    <x:row r="77" ht="18" customHeight="1">
      <x:c r="A77" s="2"/>
      <x:c r="B77" s="2"/>
      <x:c r="C77" s="2" t="str">
        <x:v>Car / 35</x:v>
      </x:c>
      <x:c r="D77" s="28" t="n">
        <x:f>INDEX('AD Fleet'!$D$6:$D$61,MATCH(1988,'AD Fleet'!$C$6:$C$61,0))*$N77</x:f>
        <x:v>183.55826456692907</x:v>
      </x:c>
      <x:c r="E77" s="28" t="n">
        <x:f>INDEX('AD Fleet'!$D$6:$D$61,MATCH(1989,'AD Fleet'!$C$6:$C$61,0))*$N77</x:f>
        <x:v>170.19303070866135</x:v>
      </x:c>
      <x:c r="F77" s="28" t="n">
        <x:f>INDEX('AD Fleet'!$D$6:$D$61,MATCH(1990,'AD Fleet'!$C$6:$C$61,0))*$N77</x:f>
        <x:v>161.92876535433066</x:v>
      </x:c>
      <x:c r="G77" s="28" t="n">
        <x:f>INDEX('AD Fleet'!$D$6:$D$61,MATCH(1991,'AD Fleet'!$C$6:$C$61,0))*$N77</x:f>
        <x:v>142.4963385826771</x:v>
      </x:c>
      <x:c r="H77" s="28" t="n">
        <x:f>INDEX('AD Fleet'!$D$6:$D$61,MATCH(1992,'AD Fleet'!$C$6:$C$61,0))*$N77</x:f>
        <x:v>142.98554409448815</x:v>
      </x:c>
      <x:c r="I77" s="28" t="n">
        <x:f>'Fee Calculation'!M43</x:f>
        <x:v>281.10019983486785</x:v>
      </x:c>
      <x:c r="J77" s="33" t="n">
        <x:f>INDEX('Loss Calibration'!$E$8:$H$13,M77,1)</x:f>
        <x:v>0.4946908337805008</x:v>
      </x:c>
      <x:c r="K77" s="3" t="str">
        <x:v>Car</x:v>
      </x:c>
      <x:c r="L77" s="48" t="n">
        <x:v>35</x:v>
      </x:c>
      <x:c r="M77" s="48" t="n">
        <x:v>6</x:v>
      </x:c>
      <x:c r="N77" s="33" t="n">
        <x:f>IF(($L77/'Volume Build'!$D$22)&gt;=31,0,INDEX('AD Fleet'!$H$6:$H$37,INT(($L77/'Volume Build'!$D$22))+1)+(($L77/'Volume Build'!$D$22)-INT(($L77/'Volume Build'!$D$22)))*(INDEX('AD Fleet'!$H$6:$H$37,MIN(INT(($L77/'Volume Build'!$D$22))+2,32))-INDEX('AD Fleet'!$H$6:$H$37,INT(($L77/'Volume Build'!$D$22))+1)))</x:f>
        <x:v>0.01740944881889763</x:v>
      </x:c>
      <x:c r="O77" s="33" t="n">
        <x:f>IF(L77=0,'Volume Build'!$D$25,1)*EXP(-'Volume Build'!$D$24*MAX(L77-6,0))*'Vehicle Economics'!D$10</x:f>
        <x:v>0.07296101657452587</x:v>
      </x:c>
    </x:row>
    <x:row r="78" ht="18" customHeight="1">
      <x:c r="A78" s="2"/>
      <x:c r="B78" s="2"/>
      <x:c r="C78" s="2" t="str">
        <x:v>Car / 36</x:v>
      </x:c>
      <x:c r="D78" s="28" t="n">
        <x:f>INDEX('AD Fleet'!$D$6:$D$61,MATCH(1987,'AD Fleet'!$C$6:$C$61,0))*$N78</x:f>
        <x:v>121.84891732283465</x:v>
      </x:c>
      <x:c r="E78" s="28" t="n">
        <x:f>INDEX('AD Fleet'!$D$6:$D$61,MATCH(1988,'AD Fleet'!$C$6:$C$61,0))*$N78</x:f>
        <x:v>126.10809763779528</x:v>
      </x:c>
      <x:c r="F78" s="28" t="n">
        <x:f>INDEX('AD Fleet'!$D$6:$D$61,MATCH(1989,'AD Fleet'!$C$6:$C$61,0))*$N78</x:f>
        <x:v>116.9259220472441</x:v>
      </x:c>
      <x:c r="G78" s="28" t="n">
        <x:f>INDEX('AD Fleet'!$D$6:$D$61,MATCH(1990,'AD Fleet'!$C$6:$C$61,0))*$N78</x:f>
        <x:v>111.24821102362206</x:v>
      </x:c>
      <x:c r="H78" s="28" t="n">
        <x:f>INDEX('AD Fleet'!$D$6:$D$61,MATCH(1991,'AD Fleet'!$C$6:$C$61,0))*$N78</x:f>
        <x:v>97.89775590551181</x:v>
      </x:c>
      <x:c r="I78" s="28" t="n">
        <x:f>'Fee Calculation'!M44</x:f>
        <x:v>278.28782938572004</x:v>
      </x:c>
      <x:c r="J78" s="33" t="n">
        <x:f>INDEX('Loss Calibration'!$E$8:$H$13,M78,1)</x:f>
        <x:v>0.4946908337805008</x:v>
      </x:c>
      <x:c r="K78" s="3" t="str">
        <x:v>Car</x:v>
      </x:c>
      <x:c r="L78" s="48" t="n">
        <x:v>36</x:v>
      </x:c>
      <x:c r="M78" s="48" t="n">
        <x:v>6</x:v>
      </x:c>
      <x:c r="N78" s="33" t="n">
        <x:f>IF(($L78/'Volume Build'!$D$22)&gt;=31,0,INDEX('AD Fleet'!$H$6:$H$37,INT(($L78/'Volume Build'!$D$22))+1)+(($L78/'Volume Build'!$D$22)-INT(($L78/'Volume Build'!$D$22)))*(INDEX('AD Fleet'!$H$6:$H$37,MIN(INT(($L78/'Volume Build'!$D$22))+2,32))-INDEX('AD Fleet'!$H$6:$H$37,INT(($L78/'Volume Build'!$D$22))+1)))</x:f>
        <x:v>0.011960629921259843</x:v>
      </x:c>
      <x:c r="O78" s="33" t="n">
        <x:f>IF(L78=0,'Volume Build'!$D$25,1)*EXP(-'Volume Build'!$D$24*MAX(L78-6,0))*'Vehicle Economics'!D$10</x:f>
        <x:v>0.0666633468228103</x:v>
      </x:c>
    </x:row>
    <x:row r="79" ht="18" customHeight="1">
      <x:c r="A79" s="2"/>
      <x:c r="B79" s="2"/>
      <x:c r="C79" s="2" t="str">
        <x:v>Car / 37</x:v>
      </x:c>
      <x:c r="D79" s="28" t="n">
        <x:f>INDEX('AD Fleet'!$D$6:$D$61,MATCH(1986,'AD Fleet'!$C$6:$C$61,0))*$N79</x:f>
        <x:v>109.46140078740164</x:v>
      </x:c>
      <x:c r="E79" s="28" t="n">
        <x:f>INDEX('AD Fleet'!$D$6:$D$61,MATCH(1987,'AD Fleet'!$C$6:$C$61,0))*$N79</x:f>
        <x:v>97.78395669291345</x:v>
      </x:c>
      <x:c r="F79" s="28" t="n">
        <x:f>INDEX('AD Fleet'!$D$6:$D$61,MATCH(1988,'AD Fleet'!$C$6:$C$61,0))*$N79</x:f>
        <x:v>101.20195590551188</x:v>
      </x:c>
      <x:c r="G79" s="28" t="n">
        <x:f>INDEX('AD Fleet'!$D$6:$D$61,MATCH(1989,'AD Fleet'!$C$6:$C$61,0))*$N79</x:f>
        <x:v>93.83324488188981</x:v>
      </x:c>
      <x:c r="H79" s="28" t="n">
        <x:f>INDEX('AD Fleet'!$D$6:$D$61,MATCH(1990,'AD Fleet'!$C$6:$C$61,0))*$N79</x:f>
        <x:v>89.27687244094494</x:v>
      </x:c>
      <x:c r="I79" s="28" t="n">
        <x:f>'Fee Calculation'!M45</x:f>
        <x:v>277.43966152877</x:v>
      </x:c>
      <x:c r="J79" s="33" t="n">
        <x:f>INDEX('Loss Calibration'!$E$8:$H$13,M79,1)</x:f>
        <x:v>0.4946908337805008</x:v>
      </x:c>
      <x:c r="K79" s="3" t="str">
        <x:v>Car</x:v>
      </x:c>
      <x:c r="L79" s="48" t="n">
        <x:v>37</x:v>
      </x:c>
      <x:c r="M79" s="48" t="n">
        <x:v>6</x:v>
      </x:c>
      <x:c r="N79" s="33" t="n">
        <x:f>IF(($L79/'Volume Build'!$D$22)&gt;=31,0,INDEX('AD Fleet'!$H$6:$H$37,INT(($L79/'Volume Build'!$D$22))+1)+(($L79/'Volume Build'!$D$22)-INT(($L79/'Volume Build'!$D$22)))*(INDEX('AD Fleet'!$H$6:$H$37,MIN(INT(($L79/'Volume Build'!$D$22))+2,32))-INDEX('AD Fleet'!$H$6:$H$37,INT(($L79/'Volume Build'!$D$22))+1)))</x:f>
        <x:v>0.0095984251968504</x:v>
      </x:c>
      <x:c r="O79" s="33" t="n">
        <x:f>IF(L79=0,'Volume Build'!$D$25,1)*EXP(-'Volume Build'!$D$24*MAX(L79-6,0))*'Vehicle Economics'!D$10</x:f>
        <x:v>0.06090926385433481</x:v>
      </x:c>
    </x:row>
    <x:row r="80" ht="18" customHeight="1">
      <x:c r="A80" s="2"/>
      <x:c r="B80" s="2"/>
      <x:c r="C80" s="2" t="str">
        <x:v>Car / 38</x:v>
      </x:c>
      <x:c r="D80" s="28" t="n">
        <x:f>INDEX('AD Fleet'!$D$6:$D$61,MATCH(1985,'AD Fleet'!$C$6:$C$61,0))*$N80</x:f>
        <x:v>79.44791181102363</x:v>
      </x:c>
      <x:c r="E80" s="28" t="n">
        <x:f>INDEX('AD Fleet'!$D$6:$D$61,MATCH(1986,'AD Fleet'!$C$6:$C$61,0))*$N80</x:f>
        <x:v>82.52258188976379</x:v>
      </x:c>
      <x:c r="F80" s="28" t="n">
        <x:f>INDEX('AD Fleet'!$D$6:$D$61,MATCH(1987,'AD Fleet'!$C$6:$C$61,0))*$N80</x:f>
        <x:v>73.71899606299212</x:v>
      </x:c>
      <x:c r="G80" s="28" t="n">
        <x:f>INDEX('AD Fleet'!$D$6:$D$61,MATCH(1988,'AD Fleet'!$C$6:$C$61,0))*$N80</x:f>
        <x:v>76.29581417322835</x:v>
      </x:c>
      <x:c r="H80" s="28" t="n">
        <x:f>INDEX('AD Fleet'!$D$6:$D$61,MATCH(1989,'AD Fleet'!$C$6:$C$61,0))*$N80</x:f>
        <x:v>70.74056771653542</x:v>
      </x:c>
      <x:c r="I80" s="28" t="n">
        <x:f>'Fee Calculation'!M46</x:f>
        <x:v>231.04720751502614</x:v>
      </x:c>
      <x:c r="J80" s="33" t="n">
        <x:f>INDEX('Loss Calibration'!$E$8:$H$13,M80,1)</x:f>
        <x:v>0.4946908337805008</x:v>
      </x:c>
      <x:c r="K80" s="3" t="str">
        <x:v>Car</x:v>
      </x:c>
      <x:c r="L80" s="48" t="n">
        <x:v>38</x:v>
      </x:c>
      <x:c r="M80" s="48" t="n">
        <x:v>6</x:v>
      </x:c>
      <x:c r="N80" s="33" t="n">
        <x:f>IF(($L80/'Volume Build'!$D$22)&gt;=31,0,INDEX('AD Fleet'!$H$6:$H$37,INT(($L80/'Volume Build'!$D$22))+1)+(($L80/'Volume Build'!$D$22)-INT(($L80/'Volume Build'!$D$22)))*(INDEX('AD Fleet'!$H$6:$H$37,MIN(INT(($L80/'Volume Build'!$D$22))+2,32))-INDEX('AD Fleet'!$H$6:$H$37,INT(($L80/'Volume Build'!$D$22))+1)))</x:f>
        <x:v>0.007236220472440945</x:v>
      </x:c>
      <x:c r="O80" s="33" t="n">
        <x:f>IF(L80=0,'Volume Build'!$D$25,1)*EXP(-'Volume Build'!$D$24*MAX(L80-6,0))*'Vehicle Economics'!D$10</x:f>
        <x:v>0.05565184768082394</x:v>
      </x:c>
    </x:row>
    <x:row r="81" ht="18" customHeight="1">
      <x:c r="A81" s="2"/>
      <x:c r="B81" s="2"/>
      <x:c r="C81" s="2" t="str">
        <x:v>Car / 39</x:v>
      </x:c>
      <x:c r="D81" s="28" t="n">
        <x:f>INDEX('AD Fleet'!$D$6:$D$61,MATCH(1984,'AD Fleet'!$C$6:$C$61,0))*$N81</x:f>
        <x:v>35.68586062992133</x:v>
      </x:c>
      <x:c r="E81" s="28" t="n">
        <x:f>INDEX('AD Fleet'!$D$6:$D$61,MATCH(1985,'AD Fleet'!$C$6:$C$61,0))*$N81</x:f>
        <x:v>37.95172283464574</x:v>
      </x:c>
      <x:c r="F81" s="28" t="n">
        <x:f>INDEX('AD Fleet'!$D$6:$D$61,MATCH(1986,'AD Fleet'!$C$6:$C$61,0))*$N81</x:f>
        <x:v>39.42047165354338</x:v>
      </x:c>
      <x:c r="G81" s="28" t="n">
        <x:f>INDEX('AD Fleet'!$D$6:$D$61,MATCH(1987,'AD Fleet'!$C$6:$C$61,0))*$N81</x:f>
        <x:v>35.215059055118175</x:v>
      </x:c>
      <x:c r="H81" s="28" t="n">
        <x:f>INDEX('AD Fleet'!$D$6:$D$61,MATCH(1988,'AD Fleet'!$C$6:$C$61,0))*$N81</x:f>
        <x:v>36.44598740157487</x:v>
      </x:c>
      <x:c r="I81" s="28" t="n">
        <x:f>'Fee Calculation'!M47</x:f>
        <x:v>230.35278640676887</x:v>
      </x:c>
      <x:c r="J81" s="33" t="n">
        <x:f>INDEX('Loss Calibration'!$E$8:$H$13,M81,1)</x:f>
        <x:v>0.4946908337805008</x:v>
      </x:c>
      <x:c r="K81" s="3" t="str">
        <x:v>Car</x:v>
      </x:c>
      <x:c r="L81" s="48" t="n">
        <x:v>39</x:v>
      </x:c>
      <x:c r="M81" s="48" t="n">
        <x:v>6</x:v>
      </x:c>
      <x:c r="N81" s="33" t="n">
        <x:f>IF(($L81/'Volume Build'!$D$22)&gt;=31,0,INDEX('AD Fleet'!$H$6:$H$37,INT(($L81/'Volume Build'!$D$22))+1)+(($L81/'Volume Build'!$D$22)-INT(($L81/'Volume Build'!$D$22)))*(INDEX('AD Fleet'!$H$6:$H$37,MIN(INT(($L81/'Volume Build'!$D$22))+2,32))-INDEX('AD Fleet'!$H$6:$H$37,INT(($L81/'Volume Build'!$D$22))+1)))</x:f>
        <x:v>0.003456692913385833</x:v>
      </x:c>
      <x:c r="O81" s="33" t="n">
        <x:f>IF(L81=0,'Volume Build'!$D$25,1)*EXP(-'Volume Build'!$D$24*MAX(L81-6,0))*'Vehicle Economics'!D$10</x:f>
        <x:v>0.05084822823826022</x:v>
      </x:c>
    </x:row>
    <x:row r="82" ht="18" customHeight="1">
      <x:c r="A82" s="2"/>
      <x:c r="B82" s="2"/>
      <x:c r="C82" s="2" t="str">
        <x:v>Car / 40</x:v>
      </x:c>
      <x:c r="D82" s="28" t="n">
        <x:f>INDEX('AD Fleet'!$D$6:$D$61,MATCH(1983,'AD Fleet'!$C$6:$C$61,0))*$N82</x:f>
        <x:v>0</x:v>
      </x:c>
      <x:c r="E82" s="28" t="n">
        <x:f>INDEX('AD Fleet'!$D$6:$D$61,MATCH(1984,'AD Fleet'!$C$6:$C$61,0))*$N82</x:f>
        <x:v>0</x:v>
      </x:c>
      <x:c r="F82" s="28" t="n">
        <x:f>INDEX('AD Fleet'!$D$6:$D$61,MATCH(1985,'AD Fleet'!$C$6:$C$61,0))*$N82</x:f>
        <x:v>0</x:v>
      </x:c>
      <x:c r="G82" s="28" t="n">
        <x:f>INDEX('AD Fleet'!$D$6:$D$61,MATCH(1986,'AD Fleet'!$C$6:$C$61,0))*$N82</x:f>
        <x:v>0</x:v>
      </x:c>
      <x:c r="H82" s="28" t="n">
        <x:f>INDEX('AD Fleet'!$D$6:$D$61,MATCH(1987,'AD Fleet'!$C$6:$C$61,0))*$N82</x:f>
        <x:v>0</x:v>
      </x:c>
      <x:c r="I82" s="28" t="n">
        <x:f>'Fee Calculation'!M48</x:f>
        <x:v>229.72444820414367</x:v>
      </x:c>
      <x:c r="J82" s="33" t="n">
        <x:f>INDEX('Loss Calibration'!$E$8:$H$13,M82,1)</x:f>
        <x:v>0.4946908337805008</x:v>
      </x:c>
      <x:c r="K82" s="3" t="str">
        <x:v>Car</x:v>
      </x:c>
      <x:c r="L82" s="48" t="n">
        <x:v>40</x:v>
      </x:c>
      <x:c r="M82" s="48" t="n">
        <x:v>6</x:v>
      </x:c>
      <x:c r="N82" s="33" t="n">
        <x:f>IF(($L82/'Volume Build'!$D$22)&gt;=31,0,INDEX('AD Fleet'!$H$6:$H$37,INT(($L82/'Volume Build'!$D$22))+1)+(($L82/'Volume Build'!$D$22)-INT(($L82/'Volume Build'!$D$22)))*(INDEX('AD Fleet'!$H$6:$H$37,MIN(INT(($L82/'Volume Build'!$D$22))+2,32))-INDEX('AD Fleet'!$H$6:$H$37,INT(($L82/'Volume Build'!$D$22))+1)))</x:f>
        <x:v>0</x:v>
      </x:c>
      <x:c r="O82" s="33" t="n">
        <x:f>IF(L82=0,'Volume Build'!$D$25,1)*EXP(-'Volume Build'!$D$24*MAX(L82-6,0))*'Vehicle Economics'!D$10</x:f>
        <x:v>0.04645923581547334</x:v>
      </x:c>
    </x:row>
    <x:row r="83" ht="18" customHeight="1">
      <x:c r="A83" s="2"/>
      <x:c r="B83" s="2"/>
      <x:c r="C83" s="2" t="str">
        <x:v>Car / 41</x:v>
      </x:c>
      <x:c r="D83" s="28" t="n">
        <x:f>INDEX('AD Fleet'!$D$6:$D$61,MATCH(1982,'AD Fleet'!$C$6:$C$61,0))*$N83</x:f>
        <x:v>0</x:v>
      </x:c>
      <x:c r="E83" s="28" t="n">
        <x:f>INDEX('AD Fleet'!$D$6:$D$61,MATCH(1983,'AD Fleet'!$C$6:$C$61,0))*$N83</x:f>
        <x:v>0</x:v>
      </x:c>
      <x:c r="F83" s="28" t="n">
        <x:f>INDEX('AD Fleet'!$D$6:$D$61,MATCH(1984,'AD Fleet'!$C$6:$C$61,0))*$N83</x:f>
        <x:v>0</x:v>
      </x:c>
      <x:c r="G83" s="28" t="n">
        <x:f>INDEX('AD Fleet'!$D$6:$D$61,MATCH(1985,'AD Fleet'!$C$6:$C$61,0))*$N83</x:f>
        <x:v>0</x:v>
      </x:c>
      <x:c r="H83" s="28" t="n">
        <x:f>INDEX('AD Fleet'!$D$6:$D$61,MATCH(1986,'AD Fleet'!$C$6:$C$61,0))*$N83</x:f>
        <x:v>0</x:v>
      </x:c>
      <x:c r="I83" s="28" t="n">
        <x:f>'Fee Calculation'!M49</x:f>
        <x:v>229.15590428722695</x:v>
      </x:c>
      <x:c r="J83" s="33" t="n">
        <x:f>INDEX('Loss Calibration'!$E$8:$H$13,M83,1)</x:f>
        <x:v>0.4946908337805008</x:v>
      </x:c>
      <x:c r="K83" s="3" t="str">
        <x:v>Car</x:v>
      </x:c>
      <x:c r="L83" s="48" t="n">
        <x:v>41</x:v>
      </x:c>
      <x:c r="M83" s="48" t="n">
        <x:v>6</x:v>
      </x:c>
      <x:c r="N83" s="33" t="n">
        <x:f>IF(($L83/'Volume Build'!$D$22)&gt;=31,0,INDEX('AD Fleet'!$H$6:$H$37,INT(($L83/'Volume Build'!$D$22))+1)+(($L83/'Volume Build'!$D$22)-INT(($L83/'Volume Build'!$D$22)))*(INDEX('AD Fleet'!$H$6:$H$37,MIN(INT(($L83/'Volume Build'!$D$22))+2,32))-INDEX('AD Fleet'!$H$6:$H$37,INT(($L83/'Volume Build'!$D$22))+1)))</x:f>
        <x:v>0</x:v>
      </x:c>
      <x:c r="O83" s="33" t="n">
        <x:f>IF(L83=0,'Volume Build'!$D$25,1)*EXP(-'Volume Build'!$D$24*MAX(L83-6,0))*'Vehicle Economics'!D$10</x:f>
        <x:v>0.0424490816561756</x:v>
      </x:c>
    </x:row>
    <x:row r="84" ht="18" customHeight="1">
      <x:c r="A84" s="2"/>
      <x:c r="B84" s="2"/>
      <x:c r="C84" s="2" t="str">
        <x:v>Car / 42</x:v>
      </x:c>
      <x:c r="D84" s="28" t="n">
        <x:f>INDEX('AD Fleet'!$D$6:$D$61,MATCH(1981,'AD Fleet'!$C$6:$C$61,0))*$N84</x:f>
        <x:v>0</x:v>
      </x:c>
      <x:c r="E84" s="28" t="n">
        <x:f>INDEX('AD Fleet'!$D$6:$D$61,MATCH(1982,'AD Fleet'!$C$6:$C$61,0))*$N84</x:f>
        <x:v>0</x:v>
      </x:c>
      <x:c r="F84" s="28" t="n">
        <x:f>INDEX('AD Fleet'!$D$6:$D$61,MATCH(1983,'AD Fleet'!$C$6:$C$61,0))*$N84</x:f>
        <x:v>0</x:v>
      </x:c>
      <x:c r="G84" s="28" t="n">
        <x:f>INDEX('AD Fleet'!$D$6:$D$61,MATCH(1984,'AD Fleet'!$C$6:$C$61,0))*$N84</x:f>
        <x:v>0</x:v>
      </x:c>
      <x:c r="H84" s="28" t="n">
        <x:f>INDEX('AD Fleet'!$D$6:$D$61,MATCH(1985,'AD Fleet'!$C$6:$C$61,0))*$N84</x:f>
        <x:v>0</x:v>
      </x:c>
      <x:c r="I84" s="28" t="n">
        <x:f>'Fee Calculation'!M50</x:f>
        <x:v>216.14146447740396</x:v>
      </x:c>
      <x:c r="J84" s="33" t="n">
        <x:f>INDEX('Loss Calibration'!$E$8:$H$13,M84,1)</x:f>
        <x:v>0.4946908337805008</x:v>
      </x:c>
      <x:c r="K84" s="3" t="str">
        <x:v>Car</x:v>
      </x:c>
      <x:c r="L84" s="48" t="n">
        <x:v>42</x:v>
      </x:c>
      <x:c r="M84" s="48" t="n">
        <x:v>6</x:v>
      </x:c>
      <x:c r="N84" s="33" t="n">
        <x:f>IF(($L84/'Volume Build'!$D$22)&gt;=31,0,INDEX('AD Fleet'!$H$6:$H$37,INT(($L84/'Volume Build'!$D$22))+1)+(($L84/'Volume Build'!$D$22)-INT(($L84/'Volume Build'!$D$22)))*(INDEX('AD Fleet'!$H$6:$H$37,MIN(INT(($L84/'Volume Build'!$D$22))+2,32))-INDEX('AD Fleet'!$H$6:$H$37,INT(($L84/'Volume Build'!$D$22))+1)))</x:f>
        <x:v>0</x:v>
      </x:c>
      <x:c r="O84" s="33" t="n">
        <x:f>IF(L84=0,'Volume Build'!$D$25,1)*EXP(-'Volume Build'!$D$24*MAX(L84-6,0))*'Vehicle Economics'!D$10</x:f>
        <x:v>0.038785066130005715</x:v>
      </x:c>
    </x:row>
    <x:row r="85" ht="18" customHeight="1">
      <x:c r="A85" s="2"/>
      <x:c r="B85" s="2"/>
      <x:c r="C85" s="2" t="str">
        <x:v>Car / 43</x:v>
      </x:c>
      <x:c r="D85" s="28" t="n">
        <x:f>INDEX('AD Fleet'!$D$6:$D$61,MATCH(1980,'AD Fleet'!$C$6:$C$61,0))*$N85</x:f>
        <x:v>0</x:v>
      </x:c>
      <x:c r="E85" s="28" t="n">
        <x:f>INDEX('AD Fleet'!$D$6:$D$61,MATCH(1981,'AD Fleet'!$C$6:$C$61,0))*$N85</x:f>
        <x:v>0</x:v>
      </x:c>
      <x:c r="F85" s="28" t="n">
        <x:f>INDEX('AD Fleet'!$D$6:$D$61,MATCH(1982,'AD Fleet'!$C$6:$C$61,0))*$N85</x:f>
        <x:v>0</x:v>
      </x:c>
      <x:c r="G85" s="28" t="n">
        <x:f>INDEX('AD Fleet'!$D$6:$D$61,MATCH(1983,'AD Fleet'!$C$6:$C$61,0))*$N85</x:f>
        <x:v>0</x:v>
      </x:c>
      <x:c r="H85" s="28" t="n">
        <x:f>INDEX('AD Fleet'!$D$6:$D$61,MATCH(1984,'AD Fleet'!$C$6:$C$61,0))*$N85</x:f>
        <x:v>0</x:v>
      </x:c>
      <x:c r="I85" s="28" t="n">
        <x:f>'Fee Calculation'!M51</x:f>
        <x:v>215.6759800881488</x:v>
      </x:c>
      <x:c r="J85" s="33" t="n">
        <x:f>INDEX('Loss Calibration'!$E$8:$H$13,M85,1)</x:f>
        <x:v>0.4946908337805008</x:v>
      </x:c>
      <x:c r="K85" s="3" t="str">
        <x:v>Car</x:v>
      </x:c>
      <x:c r="L85" s="48" t="n">
        <x:v>43</x:v>
      </x:c>
      <x:c r="M85" s="48" t="n">
        <x:v>6</x:v>
      </x:c>
      <x:c r="N85" s="33" t="n">
        <x:f>IF(($L85/'Volume Build'!$D$22)&gt;=31,0,INDEX('AD Fleet'!$H$6:$H$37,INT(($L85/'Volume Build'!$D$22))+1)+(($L85/'Volume Build'!$D$22)-INT(($L85/'Volume Build'!$D$22)))*(INDEX('AD Fleet'!$H$6:$H$37,MIN(INT(($L85/'Volume Build'!$D$22))+2,32))-INDEX('AD Fleet'!$H$6:$H$37,INT(($L85/'Volume Build'!$D$22))+1)))</x:f>
        <x:v>0</x:v>
      </x:c>
      <x:c r="O85" s="33" t="n">
        <x:f>IF(L85=0,'Volume Build'!$D$25,1)*EXP(-'Volume Build'!$D$24*MAX(L85-6,0))*'Vehicle Economics'!D$10</x:f>
        <x:v>0.0354373120929477</x:v>
      </x:c>
    </x:row>
    <x:row r="86" ht="18" customHeight="1">
      <x:c r="A86" s="2"/>
      <x:c r="B86" s="2"/>
      <x:c r="C86" s="2" t="str">
        <x:v>Car / 44</x:v>
      </x:c>
      <x:c r="D86" s="28" t="n">
        <x:f>INDEX('AD Fleet'!$D$6:$D$61,MATCH(1979,'AD Fleet'!$C$6:$C$61,0))*$N86</x:f>
        <x:v>0</x:v>
      </x:c>
      <x:c r="E86" s="28" t="n">
        <x:f>INDEX('AD Fleet'!$D$6:$D$61,MATCH(1980,'AD Fleet'!$C$6:$C$61,0))*$N86</x:f>
        <x:v>0</x:v>
      </x:c>
      <x:c r="F86" s="28" t="n">
        <x:f>INDEX('AD Fleet'!$D$6:$D$61,MATCH(1981,'AD Fleet'!$C$6:$C$61,0))*$N86</x:f>
        <x:v>0</x:v>
      </x:c>
      <x:c r="G86" s="28" t="n">
        <x:f>INDEX('AD Fleet'!$D$6:$D$61,MATCH(1982,'AD Fleet'!$C$6:$C$61,0))*$N86</x:f>
        <x:v>0</x:v>
      </x:c>
      <x:c r="H86" s="28" t="n">
        <x:f>INDEX('AD Fleet'!$D$6:$D$61,MATCH(1983,'AD Fleet'!$C$6:$C$61,0))*$N86</x:f>
        <x:v>0</x:v>
      </x:c>
      <x:c r="I86" s="28" t="n">
        <x:f>'Fee Calculation'!M52</x:f>
        <x:v>215.25479239523912</x:v>
      </x:c>
      <x:c r="J86" s="33" t="n">
        <x:f>INDEX('Loss Calibration'!$E$8:$H$13,M86,1)</x:f>
        <x:v>0.4946908337805008</x:v>
      </x:c>
      <x:c r="K86" s="3" t="str">
        <x:v>Car</x:v>
      </x:c>
      <x:c r="L86" s="48" t="n">
        <x:v>44</x:v>
      </x:c>
      <x:c r="M86" s="48" t="n">
        <x:v>6</x:v>
      </x:c>
      <x:c r="N86" s="33" t="n">
        <x:f>IF(($L86/'Volume Build'!$D$22)&gt;=31,0,INDEX('AD Fleet'!$H$6:$H$37,INT(($L86/'Volume Build'!$D$22))+1)+(($L86/'Volume Build'!$D$22)-INT(($L86/'Volume Build'!$D$22)))*(INDEX('AD Fleet'!$H$6:$H$37,MIN(INT(($L86/'Volume Build'!$D$22))+2,32))-INDEX('AD Fleet'!$H$6:$H$37,INT(($L86/'Volume Build'!$D$22))+1)))</x:f>
        <x:v>0</x:v>
      </x:c>
      <x:c r="O86" s="33" t="n">
        <x:f>IF(L86=0,'Volume Build'!$D$25,1)*EXP(-'Volume Build'!$D$24*MAX(L86-6,0))*'Vehicle Economics'!D$10</x:f>
        <x:v>0.032378521262889814</x:v>
      </x:c>
    </x:row>
    <x:row r="87" ht="18" customHeight="1">
      <x:c r="A87" s="2"/>
      <x:c r="B87" s="2"/>
      <x:c r="C87" s="2" t="str">
        <x:v>Car / 45</x:v>
      </x:c>
      <x:c r="D87" s="28" t="n">
        <x:f>INDEX('AD Fleet'!$D$6:$D$61,MATCH(1978,'AD Fleet'!$C$6:$C$61,0))*$N87</x:f>
        <x:v>0</x:v>
      </x:c>
      <x:c r="E87" s="28" t="n">
        <x:f>INDEX('AD Fleet'!$D$6:$D$61,MATCH(1979,'AD Fleet'!$C$6:$C$61,0))*$N87</x:f>
        <x:v>0</x:v>
      </x:c>
      <x:c r="F87" s="28" t="n">
        <x:f>INDEX('AD Fleet'!$D$6:$D$61,MATCH(1980,'AD Fleet'!$C$6:$C$61,0))*$N87</x:f>
        <x:v>0</x:v>
      </x:c>
      <x:c r="G87" s="28" t="n">
        <x:f>INDEX('AD Fleet'!$D$6:$D$61,MATCH(1981,'AD Fleet'!$C$6:$C$61,0))*$N87</x:f>
        <x:v>0</x:v>
      </x:c>
      <x:c r="H87" s="28" t="n">
        <x:f>INDEX('AD Fleet'!$D$6:$D$61,MATCH(1982,'AD Fleet'!$C$6:$C$61,0))*$N87</x:f>
        <x:v>0</x:v>
      </x:c>
      <x:c r="I87" s="28" t="n">
        <x:f>'Fee Calculation'!M53</x:f>
        <x:v>172.37368601067823</x:v>
      </x:c>
      <x:c r="J87" s="33" t="n">
        <x:f>INDEX('Loss Calibration'!$E$8:$H$13,M87,1)</x:f>
        <x:v>0.4946908337805008</x:v>
      </x:c>
      <x:c r="K87" s="3" t="str">
        <x:v>Car</x:v>
      </x:c>
      <x:c r="L87" s="48" t="n">
        <x:v>45</x:v>
      </x:c>
      <x:c r="M87" s="48" t="n">
        <x:v>6</x:v>
      </x:c>
      <x:c r="N87" s="33" t="n">
        <x:f>IF(($L87/'Volume Build'!$D$22)&gt;=31,0,INDEX('AD Fleet'!$H$6:$H$37,INT(($L87/'Volume Build'!$D$22))+1)+(($L87/'Volume Build'!$D$22)-INT(($L87/'Volume Build'!$D$22)))*(INDEX('AD Fleet'!$H$6:$H$37,MIN(INT(($L87/'Volume Build'!$D$22))+2,32))-INDEX('AD Fleet'!$H$6:$H$37,INT(($L87/'Volume Build'!$D$22))+1)))</x:f>
        <x:v>0</x:v>
      </x:c>
      <x:c r="O87" s="33" t="n">
        <x:f>IF(L87=0,'Volume Build'!$D$25,1)*EXP(-'Volume Build'!$D$24*MAX(L87-6,0))*'Vehicle Economics'!D$10</x:f>
        <x:v>0.02958375162375934</x:v>
      </x:c>
    </x:row>
    <x:row r="88" ht="18" customHeight="1">
      <x:c r="A88" s="2"/>
      <x:c r="B88" s="2"/>
      <x:c r="C88" s="2" t="str">
        <x:v>SUV / crossover / 0</x:v>
      </x:c>
      <x:c r="D88" s="28" t="n">
        <x:f>INDEX('AD Fleet'!$E$6:$E$61,MATCH(2023,'AD Fleet'!$C$6:$C$61,0))*'Repair Costs'!E$29*$N88</x:f>
        <x:v>8674.70902654867</x:v>
      </x:c>
      <x:c r="E88" s="28" t="n">
        <x:f>INDEX('AD Fleet'!$E$6:$E$61,MATCH(2024,'AD Fleet'!$C$6:$C$61,0))*'Repair Costs'!E$29*$N88</x:f>
        <x:v>9016.604070796458</x:v>
      </x:c>
      <x:c r="F88" s="28" t="n">
        <x:f>INDEX('AD Fleet'!$E$6:$E$61,MATCH(2025,'AD Fleet'!$C$6:$C$61,0))*'Repair Costs'!E$29*$N88</x:f>
        <x:v>9476.131858407078</x:v>
      </x:c>
      <x:c r="G88" s="28" t="n">
        <x:f>G$26*G$27*'Repair Costs'!E$29*$N88</x:f>
        <x:v>9476.131858407078</x:v>
      </x:c>
      <x:c r="H88" s="28" t="n">
        <x:f>H$26*H$27*'Repair Costs'!E$29*$N88</x:f>
        <x:v>9476.131858407078</x:v>
      </x:c>
      <x:c r="I88" s="28" t="n">
        <x:f>'Fee Calculation'!M54</x:f>
        <x:v>1785.823273036976</x:v>
      </x:c>
      <x:c r="J88" s="33" t="n">
        <x:f>INDEX('Loss Calibration'!$E$8:$H$13,M88,2)</x:f>
        <x:v>0.08352970958202721</x:v>
      </x:c>
      <x:c r="K88" s="3" t="str">
        <x:v>SUV / crossover</x:v>
      </x:c>
      <x:c r="L88" s="48" t="n">
        <x:v>0</x:v>
      </x:c>
      <x:c r="M88" s="48" t="n">
        <x:v>1</x:v>
      </x:c>
      <x:c r="N88" s="33" t="n">
        <x:f>IF(($L88/'Volume Build'!$D$23)&gt;=31,0,INDEX('AD Fleet'!$I$6:$I$37,INT(($L88/'Volume Build'!$D$23))+1)+(($L88/'Volume Build'!$D$23)-INT(($L88/'Volume Build'!$D$23)))*(INDEX('AD Fleet'!$I$6:$I$37,MIN(INT(($L88/'Volume Build'!$D$23))+2,32))-INDEX('AD Fleet'!$I$6:$I$37,INT(($L88/'Volume Build'!$D$23))+1)))</x:f>
        <x:v>1</x:v>
      </x:c>
      <x:c r="O88" s="33" t="n">
        <x:f>IF(L88=0,'Volume Build'!$D$25,1)*EXP(-'Volume Build'!$D$24*MAX(L88-6,0))*'Vehicle Economics'!E$10</x:f>
        <x:v>0.5</x:v>
      </x:c>
    </x:row>
    <x:row r="89" ht="18" customHeight="1">
      <x:c r="A89" s="2"/>
      <x:c r="B89" s="2"/>
      <x:c r="C89" s="2" t="str">
        <x:v>SUV / crossover / 1</x:v>
      </x:c>
      <x:c r="D89" s="28" t="n">
        <x:f>INDEX('AD Fleet'!$E$6:$E$61,MATCH(2022,'AD Fleet'!$C$6:$C$61,0))*'Repair Costs'!E$29*$N89</x:f>
        <x:v>7568.578477618428</x:v>
      </x:c>
      <x:c r="E89" s="28" t="n">
        <x:f>INDEX('AD Fleet'!$E$6:$E$61,MATCH(2023,'AD Fleet'!$C$6:$C$61,0))*'Repair Costs'!E$29*$N89</x:f>
        <x:v>8603.669553173839</x:v>
      </x:c>
      <x:c r="F89" s="28" t="n">
        <x:f>INDEX('AD Fleet'!$E$6:$E$61,MATCH(2024,'AD Fleet'!$C$6:$C$61,0))*'Repair Costs'!E$29*$N89</x:f>
        <x:v>8942.764728997397</x:v>
      </x:c>
      <x:c r="G89" s="28" t="n">
        <x:f>INDEX('AD Fleet'!$E$6:$E$61,MATCH(2025,'AD Fleet'!$C$6:$C$61,0))*'Repair Costs'!E$29*$N89</x:f>
        <x:v>9398.529322714936</x:v>
      </x:c>
      <x:c r="H89" s="28" t="n">
        <x:f>G$26*G$27*'Repair Costs'!E$29*$N89</x:f>
        <x:v>9398.529322714936</x:v>
      </x:c>
      <x:c r="I89" s="28" t="n">
        <x:f>'Fee Calculation'!M55</x:f>
        <x:v>1696.5220787640524</x:v>
      </x:c>
      <x:c r="J89" s="33" t="n">
        <x:f>INDEX('Loss Calibration'!$E$8:$H$13,M89,2)</x:f>
        <x:v>0.09214398041521638</x:v>
      </x:c>
      <x:c r="K89" s="3" t="str">
        <x:v>SUV / crossover</x:v>
      </x:c>
      <x:c r="L89" s="48" t="n">
        <x:v>1</x:v>
      </x:c>
      <x:c r="M89" s="48" t="n">
        <x:v>2</x:v>
      </x:c>
      <x:c r="N89" s="33" t="n">
        <x:f>IF(($L89/'Volume Build'!$D$23)&gt;=31,0,INDEX('AD Fleet'!$I$6:$I$37,INT(($L89/'Volume Build'!$D$23))+1)+(($L89/'Volume Build'!$D$23)-INT(($L89/'Volume Build'!$D$23)))*(INDEX('AD Fleet'!$I$6:$I$37,MIN(INT(($L89/'Volume Build'!$D$23))+2,32))-INDEX('AD Fleet'!$I$6:$I$37,INT(($L89/'Volume Build'!$D$23))+1)))</x:f>
        <x:v>0.991810737033667</x:v>
      </x:c>
      <x:c r="O89" s="33" t="n">
        <x:f>IF(L89=0,'Volume Build'!$D$25,1)*EXP(-'Volume Build'!$D$24*MAX(L89-6,0))*'Vehicle Economics'!E$10</x:f>
        <x:v>1</x:v>
      </x:c>
    </x:row>
    <x:row r="90" ht="18" customHeight="1">
      <x:c r="A90" s="2"/>
      <x:c r="B90" s="2"/>
      <x:c r="C90" s="2" t="str">
        <x:v>SUV / crossover / 2</x:v>
      </x:c>
      <x:c r="D90" s="28" t="n">
        <x:f>INDEX('AD Fleet'!$E$6:$E$61,MATCH(2021,'AD Fleet'!$C$6:$C$61,0))*'Repair Costs'!E$29*$N90</x:f>
        <x:v>7989.1318622722165</x:v>
      </x:c>
      <x:c r="E90" s="28" t="n">
        <x:f>INDEX('AD Fleet'!$E$6:$E$61,MATCH(2022,'AD Fleet'!$C$6:$C$61,0))*'Repair Costs'!E$29*$N90</x:f>
        <x:v>7506.085627803231</x:v>
      </x:c>
      <x:c r="F90" s="28" t="n">
        <x:f>INDEX('AD Fleet'!$E$6:$E$61,MATCH(2023,'AD Fleet'!$C$6:$C$61,0))*'Repair Costs'!E$29*$N90</x:f>
        <x:v>8532.63007979901</x:v>
      </x:c>
      <x:c r="G90" s="28" t="n">
        <x:f>INDEX('AD Fleet'!$E$6:$E$61,MATCH(2024,'AD Fleet'!$C$6:$C$61,0))*'Repair Costs'!E$29*$N90</x:f>
        <x:v>8868.925387198336</x:v>
      </x:c>
      <x:c r="H90" s="28" t="n">
        <x:f>INDEX('AD Fleet'!$E$6:$E$61,MATCH(2025,'AD Fleet'!$C$6:$C$61,0))*'Repair Costs'!E$29*$N90</x:f>
        <x:v>9320.926787022794</x:v>
      </x:c>
      <x:c r="I90" s="28" t="n">
        <x:f>'Fee Calculation'!M56</x:f>
        <x:v>1618.5173908909721</x:v>
      </x:c>
      <x:c r="J90" s="33" t="n">
        <x:f>INDEX('Loss Calibration'!$E$8:$H$13,M90,2)</x:f>
        <x:v>0.09214398041521638</x:v>
      </x:c>
      <x:c r="K90" s="3" t="str">
        <x:v>SUV / crossover</x:v>
      </x:c>
      <x:c r="L90" s="48" t="n">
        <x:v>2</x:v>
      </x:c>
      <x:c r="M90" s="48" t="n">
        <x:v>2</x:v>
      </x:c>
      <x:c r="N90" s="33" t="n">
        <x:f>IF(($L90/'Volume Build'!$D$23)&gt;=31,0,INDEX('AD Fleet'!$I$6:$I$37,INT(($L90/'Volume Build'!$D$23))+1)+(($L90/'Volume Build'!$D$23)-INT(($L90/'Volume Build'!$D$23)))*(INDEX('AD Fleet'!$I$6:$I$37,MIN(INT(($L90/'Volume Build'!$D$23))+2,32))-INDEX('AD Fleet'!$I$6:$I$37,INT(($L90/'Volume Build'!$D$23))+1)))</x:f>
        <x:v>0.9836214740673339</x:v>
      </x:c>
      <x:c r="O90" s="33" t="n">
        <x:f>IF(L90=0,'Volume Build'!$D$25,1)*EXP(-'Volume Build'!$D$24*MAX(L90-6,0))*'Vehicle Economics'!E$10</x:f>
        <x:v>1</x:v>
      </x:c>
    </x:row>
    <x:row r="91" ht="18" customHeight="1">
      <x:c r="A91" s="2"/>
      <x:c r="B91" s="2"/>
      <x:c r="C91" s="2" t="str">
        <x:v>SUV / crossover / 3</x:v>
      </x:c>
      <x:c r="D91" s="28" t="n">
        <x:f>INDEX('AD Fleet'!$E$6:$E$61,MATCH(2020,'AD Fleet'!$C$6:$C$61,0))*'Repair Costs'!E$29*$N91</x:f>
        <x:v>7570.339403641281</x:v>
      </x:c>
      <x:c r="E91" s="28" t="n">
        <x:f>INDEX('AD Fleet'!$E$6:$E$61,MATCH(2021,'AD Fleet'!$C$6:$C$61,0))*'Repair Costs'!E$29*$N91</x:f>
        <x:v>7922.61735093045</x:v>
      </x:c>
      <x:c r="F91" s="28" t="n">
        <x:f>INDEX('AD Fleet'!$E$6:$E$61,MATCH(2022,'AD Fleet'!$C$6:$C$61,0))*'Repair Costs'!E$29*$N91</x:f>
        <x:v>7443.592777988032</x:v>
      </x:c>
      <x:c r="G91" s="28" t="n">
        <x:f>INDEX('AD Fleet'!$E$6:$E$61,MATCH(2023,'AD Fleet'!$C$6:$C$61,0))*'Repair Costs'!E$29*$N91</x:f>
        <x:v>8461.590606424179</x:v>
      </x:c>
      <x:c r="H91" s="28" t="n">
        <x:f>INDEX('AD Fleet'!$E$6:$E$61,MATCH(2024,'AD Fleet'!$C$6:$C$61,0))*'Repair Costs'!E$29*$N91</x:f>
        <x:v>8795.086045399275</x:v>
      </x:c>
      <x:c r="I91" s="28" t="n">
        <x:f>'Fee Calculation'!M57</x:f>
        <x:v>1514.9754873446857</x:v>
      </x:c>
      <x:c r="J91" s="33" t="n">
        <x:f>INDEX('Loss Calibration'!$E$8:$H$13,M91,2)</x:f>
        <x:v>0.09214398041521638</x:v>
      </x:c>
      <x:c r="K91" s="3" t="str">
        <x:v>SUV / crossover</x:v>
      </x:c>
      <x:c r="L91" s="48" t="n">
        <x:v>3</x:v>
      </x:c>
      <x:c r="M91" s="48" t="n">
        <x:v>2</x:v>
      </x:c>
      <x:c r="N91" s="33" t="n">
        <x:f>IF(($L91/'Volume Build'!$D$23)&gt;=31,0,INDEX('AD Fleet'!$I$6:$I$37,INT(($L91/'Volume Build'!$D$23))+1)+(($L91/'Volume Build'!$D$23)-INT(($L91/'Volume Build'!$D$23)))*(INDEX('AD Fleet'!$I$6:$I$37,MIN(INT(($L91/'Volume Build'!$D$23))+2,32))-INDEX('AD Fleet'!$I$6:$I$37,INT(($L91/'Volume Build'!$D$23))+1)))</x:f>
        <x:v>0.9754322111010009</x:v>
      </x:c>
      <x:c r="O91" s="33" t="n">
        <x:f>IF(L91=0,'Volume Build'!$D$25,1)*EXP(-'Volume Build'!$D$24*MAX(L91-6,0))*'Vehicle Economics'!E$10</x:f>
        <x:v>1</x:v>
      </x:c>
    </x:row>
    <x:row r="92" ht="18" customHeight="1">
      <x:c r="A92" s="2"/>
      <x:c r="B92" s="2"/>
      <x:c r="C92" s="2" t="str">
        <x:v>SUV / crossover / 4</x:v>
      </x:c>
      <x:c r="D92" s="28" t="n">
        <x:f>INDEX('AD Fleet'!$E$6:$E$61,MATCH(2019,'AD Fleet'!$C$6:$C$61,0))*'Repair Costs'!E$29*$N92</x:f>
        <x:v>8317.447063164418</x:v>
      </x:c>
      <x:c r="E92" s="28" t="n">
        <x:f>INDEX('AD Fleet'!$E$6:$E$61,MATCH(2020,'AD Fleet'!$C$6:$C$61,0))*'Repair Costs'!E$29*$N92</x:f>
        <x:v>7486.924432525786</x:v>
      </x:c>
      <x:c r="F92" s="28" t="n">
        <x:f>INDEX('AD Fleet'!$E$6:$E$61,MATCH(2021,'AD Fleet'!$C$6:$C$61,0))*'Repair Costs'!E$29*$N92</x:f>
        <x:v>7835.320750045011</x:v>
      </x:c>
      <x:c r="G92" s="28" t="n">
        <x:f>INDEX('AD Fleet'!$E$6:$E$61,MATCH(2022,'AD Fleet'!$C$6:$C$61,0))*'Repair Costs'!E$29*$N92</x:f>
        <x:v>7361.574384430574</x:v>
      </x:c>
      <x:c r="H92" s="28" t="n">
        <x:f>INDEX('AD Fleet'!$E$6:$E$61,MATCH(2023,'AD Fleet'!$C$6:$C$61,0))*'Repair Costs'!E$29*$N92</x:f>
        <x:v>8368.355244257125</x:v>
      </x:c>
      <x:c r="I92" s="28" t="n">
        <x:f>'Fee Calculation'!M58</x:f>
        <x:v>1464.2313840702918</x:v>
      </x:c>
      <x:c r="J92" s="33" t="n">
        <x:f>INDEX('Loss Calibration'!$E$8:$H$13,M92,2)</x:f>
        <x:v>0.1351685029157914</x:v>
      </x:c>
      <x:c r="K92" s="3" t="str">
        <x:v>SUV / crossover</x:v>
      </x:c>
      <x:c r="L92" s="48" t="n">
        <x:v>4</x:v>
      </x:c>
      <x:c r="M92" s="48" t="n">
        <x:v>3</x:v>
      </x:c>
      <x:c r="N92" s="33" t="n">
        <x:f>IF(($L92/'Volume Build'!$D$23)&gt;=31,0,INDEX('AD Fleet'!$I$6:$I$37,INT(($L92/'Volume Build'!$D$23))+1)+(($L92/'Volume Build'!$D$23)-INT(($L92/'Volume Build'!$D$23)))*(INDEX('AD Fleet'!$I$6:$I$37,MIN(INT(($L92/'Volume Build'!$D$23))+2,32))-INDEX('AD Fleet'!$I$6:$I$37,INT(($L92/'Volume Build'!$D$23))+1)))</x:f>
        <x:v>0.9646842584167424</x:v>
      </x:c>
      <x:c r="O92" s="33" t="n">
        <x:f>IF(L92=0,'Volume Build'!$D$25,1)*EXP(-'Volume Build'!$D$24*MAX(L92-6,0))*'Vehicle Economics'!E$10</x:f>
        <x:v>1</x:v>
      </x:c>
    </x:row>
    <x:row r="93" ht="18" customHeight="1">
      <x:c r="A93" s="2"/>
      <x:c r="B93" s="2"/>
      <x:c r="C93" s="2" t="str">
        <x:v>SUV / crossover / 5</x:v>
      </x:c>
      <x:c r="D93" s="28" t="n">
        <x:f>INDEX('AD Fleet'!$E$6:$E$61,MATCH(2018,'AD Fleet'!$C$6:$C$61,0))*'Repair Costs'!E$29*$N93</x:f>
        <x:v>7979.920223886878</x:v>
      </x:c>
      <x:c r="E93" s="28" t="n">
        <x:f>INDEX('AD Fleet'!$E$6:$E$61,MATCH(2019,'AD Fleet'!$C$6:$C$61,0))*'Repair Costs'!E$29*$N93</x:f>
        <x:v>8187.0275149540585</x:v>
      </x:c>
      <x:c r="F93" s="28" t="n">
        <x:f>INDEX('AD Fleet'!$E$6:$E$61,MATCH(2020,'AD Fleet'!$C$6:$C$61,0))*'Repair Costs'!E$29*$N93</x:f>
        <x:v>7369.527676699169</x:v>
      </x:c>
      <x:c r="G93" s="28" t="n">
        <x:f>INDEX('AD Fleet'!$E$6:$E$61,MATCH(2021,'AD Fleet'!$C$6:$C$61,0))*'Repair Costs'!E$29*$N93</x:f>
        <x:v>7712.4610570955065</x:v>
      </x:c>
      <x:c r="H93" s="28" t="n">
        <x:f>INDEX('AD Fleet'!$E$6:$E$61,MATCH(2022,'AD Fleet'!$C$6:$C$61,0))*'Repair Costs'!E$29*$N93</x:f>
        <x:v>7246.143147171924</x:v>
      </x:c>
      <x:c r="I93" s="28" t="n">
        <x:f>'Fee Calculation'!M59</x:f>
        <x:v>1395.5198287260232</x:v>
      </x:c>
      <x:c r="J93" s="33" t="n">
        <x:f>INDEX('Loss Calibration'!$E$8:$H$13,M93,2)</x:f>
        <x:v>0.1351685029157914</x:v>
      </x:c>
      <x:c r="K93" s="3" t="str">
        <x:v>SUV / crossover</x:v>
      </x:c>
      <x:c r="L93" s="48" t="n">
        <x:v>5</x:v>
      </x:c>
      <x:c r="M93" s="48" t="n">
        <x:v>3</x:v>
      </x:c>
      <x:c r="N93" s="33" t="n">
        <x:f>IF(($L93/'Volume Build'!$D$23)&gt;=31,0,INDEX('AD Fleet'!$I$6:$I$37,INT(($L93/'Volume Build'!$D$23))+1)+(($L93/'Volume Build'!$D$23)-INT(($L93/'Volume Build'!$D$23)))*(INDEX('AD Fleet'!$I$6:$I$37,MIN(INT(($L93/'Volume Build'!$D$23))+2,32))-INDEX('AD Fleet'!$I$6:$I$37,INT(($L93/'Volume Build'!$D$23))+1)))</x:f>
        <x:v>0.9495577797998179</x:v>
      </x:c>
      <x:c r="O93" s="33" t="n">
        <x:f>IF(L93=0,'Volume Build'!$D$25,1)*EXP(-'Volume Build'!$D$24*MAX(L93-6,0))*'Vehicle Economics'!E$10</x:f>
        <x:v>1</x:v>
      </x:c>
    </x:row>
    <x:row r="94" ht="18" customHeight="1">
      <x:c r="A94" s="2"/>
      <x:c r="B94" s="2"/>
      <x:c r="C94" s="2" t="str">
        <x:v>SUV / crossover / 6</x:v>
      </x:c>
      <x:c r="D94" s="28" t="n">
        <x:f>INDEX('AD Fleet'!$E$6:$E$61,MATCH(2017,'AD Fleet'!$C$6:$C$61,0))*'Repair Costs'!E$29*$N94</x:f>
        <x:v>7235.974081438474</x:v>
      </x:c>
      <x:c r="E94" s="28" t="n">
        <x:f>INDEX('AD Fleet'!$E$6:$E$61,MATCH(2018,'AD Fleet'!$C$6:$C$61,0))*'Repair Costs'!E$29*$N94</x:f>
        <x:v>7823.0462196159015</x:v>
      </x:c>
      <x:c r="F94" s="28" t="n">
        <x:f>INDEX('AD Fleet'!$E$6:$E$61,MATCH(2019,'AD Fleet'!$C$6:$C$61,0))*'Repair Costs'!E$29*$N94</x:f>
        <x:v>8026.082072729833</x:v>
      </x:c>
      <x:c r="G94" s="28" t="n">
        <x:f>INDEX('AD Fleet'!$E$6:$E$61,MATCH(2020,'AD Fleet'!$C$6:$C$61,0))*'Repair Costs'!E$29*$N94</x:f>
        <x:v>7224.653131115494</x:v>
      </x:c>
      <x:c r="H94" s="28" t="n">
        <x:f>INDEX('AD Fleet'!$E$6:$E$61,MATCH(2021,'AD Fleet'!$C$6:$C$61,0))*'Repair Costs'!E$29*$N94</x:f>
        <x:v>7560.84492374258</x:v>
      </x:c>
      <x:c r="I94" s="28" t="n">
        <x:f>'Fee Calculation'!M60</x:f>
        <x:v>1337.2784455754286</x:v>
      </x:c>
      <x:c r="J94" s="33" t="n">
        <x:f>INDEX('Loss Calibration'!$E$8:$H$13,M94,2)</x:f>
        <x:v>0.1351685029157914</x:v>
      </x:c>
      <x:c r="K94" s="3" t="str">
        <x:v>SUV / crossover</x:v>
      </x:c>
      <x:c r="L94" s="48" t="n">
        <x:v>6</x:v>
      </x:c>
      <x:c r="M94" s="48" t="n">
        <x:v>3</x:v>
      </x:c>
      <x:c r="N94" s="33" t="n">
        <x:f>IF(($L94/'Volume Build'!$D$23)&gt;=31,0,INDEX('AD Fleet'!$I$6:$I$37,INT(($L94/'Volume Build'!$D$23))+1)+(($L94/'Volume Build'!$D$23)-INT(($L94/'Volume Build'!$D$23)))*(INDEX('AD Fleet'!$I$6:$I$37,MIN(INT(($L94/'Volume Build'!$D$23))+2,32))-INDEX('AD Fleet'!$I$6:$I$37,INT(($L94/'Volume Build'!$D$23))+1)))</x:f>
        <x:v>0.9308908098271156</x:v>
      </x:c>
      <x:c r="O94" s="33" t="n">
        <x:f>IF(L94=0,'Volume Build'!$D$25,1)*EXP(-'Volume Build'!$D$24*MAX(L94-6,0))*'Vehicle Economics'!E$10</x:f>
        <x:v>1</x:v>
      </x:c>
    </x:row>
    <x:row r="95" ht="18" customHeight="1">
      <x:c r="A95" s="2"/>
      <x:c r="B95" s="2"/>
      <x:c r="C95" s="2" t="str">
        <x:v>SUV / crossover / 7</x:v>
      </x:c>
      <x:c r="D95" s="28" t="n">
        <x:f>INDEX('AD Fleet'!$E$6:$E$61,MATCH(2016,'AD Fleet'!$C$6:$C$61,0))*'Repair Costs'!E$29*$N95</x:f>
        <x:v>6772.404928425679</x:v>
      </x:c>
      <x:c r="E95" s="28" t="n">
        <x:f>INDEX('AD Fleet'!$E$6:$E$61,MATCH(2017,'AD Fleet'!$C$6:$C$61,0))*'Repair Costs'!E$29*$N95</x:f>
        <x:v>7063.139483433852</x:v>
      </x:c>
      <x:c r="F95" s="28" t="n">
        <x:f>INDEX('AD Fleet'!$E$6:$E$61,MATCH(2018,'AD Fleet'!$C$6:$C$61,0))*'Repair Costs'!E$29*$N95</x:f>
        <x:v>7636.1891312237185</x:v>
      </x:c>
      <x:c r="G95" s="28" t="n">
        <x:f>INDEX('AD Fleet'!$E$6:$E$61,MATCH(2019,'AD Fleet'!$C$6:$C$61,0))*'Repair Costs'!E$29*$N95</x:f>
        <x:v>7834.375378789243</x:v>
      </x:c>
      <x:c r="H95" s="28" t="n">
        <x:f>INDEX('AD Fleet'!$E$6:$E$61,MATCH(2020,'AD Fleet'!$C$6:$C$61,0))*'Repair Costs'!E$29*$N95</x:f>
        <x:v>7052.088939261596</x:v>
      </x:c>
      <x:c r="I95" s="28" t="n">
        <x:f>'Fee Calculation'!M61</x:f>
        <x:v>1287.9745853636805</x:v>
      </x:c>
      <x:c r="J95" s="33" t="n">
        <x:f>INDEX('Loss Calibration'!$E$8:$H$13,M95,2)</x:f>
        <x:v>0.1989609747783242</x:v>
      </x:c>
      <x:c r="K95" s="3" t="str">
        <x:v>SUV / crossover</x:v>
      </x:c>
      <x:c r="L95" s="48" t="n">
        <x:v>7</x:v>
      </x:c>
      <x:c r="M95" s="48" t="n">
        <x:v>4</x:v>
      </x:c>
      <x:c r="N95" s="33" t="n">
        <x:f>IF(($L95/'Volume Build'!$D$23)&gt;=31,0,INDEX('AD Fleet'!$I$6:$I$37,INT(($L95/'Volume Build'!$D$23))+1)+(($L95/'Volume Build'!$D$23)-INT(($L95/'Volume Build'!$D$23)))*(INDEX('AD Fleet'!$I$6:$I$37,MIN(INT(($L95/'Volume Build'!$D$23))+2,32))-INDEX('AD Fleet'!$I$6:$I$37,INT(($L95/'Volume Build'!$D$23))+1)))</x:f>
        <x:v>0.908656050955414</x:v>
      </x:c>
      <x:c r="O95" s="33" t="n">
        <x:f>IF(L95=0,'Volume Build'!$D$25,1)*EXP(-'Volume Build'!$D$24*MAX(L95-6,0))*'Vehicle Economics'!E$10</x:f>
        <x:v>0.9136844571609987</x:v>
      </x:c>
    </x:row>
    <x:row r="96" ht="18" customHeight="1">
      <x:c r="A96" s="2"/>
      <x:c r="B96" s="2"/>
      <x:c r="C96" s="2" t="str">
        <x:v>SUV / crossover / 8</x:v>
      </x:c>
      <x:c r="D96" s="28" t="n">
        <x:f>INDEX('AD Fleet'!$E$6:$E$61,MATCH(2015,'AD Fleet'!$C$6:$C$61,0))*'Repair Costs'!E$29*$N96</x:f>
        <x:v>6115.985295008332</x:v>
      </x:c>
      <x:c r="E96" s="28" t="n">
        <x:f>INDEX('AD Fleet'!$E$6:$E$61,MATCH(2016,'AD Fleet'!$C$6:$C$61,0))*'Repair Costs'!E$29*$N96</x:f>
        <x:v>6574.186147728827</x:v>
      </x:c>
      <x:c r="F96" s="28" t="n">
        <x:f>INDEX('AD Fleet'!$E$6:$E$61,MATCH(2017,'AD Fleet'!$C$6:$C$61,0))*'Repair Costs'!E$29*$N96</x:f>
        <x:v>6856.4113106363775</x:v>
      </x:c>
      <x:c r="G96" s="28" t="n">
        <x:f>INDEX('AD Fleet'!$E$6:$E$61,MATCH(2018,'AD Fleet'!$C$6:$C$61,0))*'Repair Costs'!E$29*$N96</x:f>
        <x:v>7412.688600059587</x:v>
      </x:c>
      <x:c r="H96" s="28" t="n">
        <x:f>INDEX('AD Fleet'!$E$6:$E$61,MATCH(2019,'AD Fleet'!$C$6:$C$61,0))*'Repair Costs'!E$29*$N96</x:f>
        <x:v>7605.074214503126</x:v>
      </x:c>
      <x:c r="I96" s="28" t="n">
        <x:f>'Fee Calculation'!M62</x:f>
        <x:v>1216.1024964688306</x:v>
      </x:c>
      <x:c r="J96" s="33" t="n">
        <x:f>INDEX('Loss Calibration'!$E$8:$H$13,M96,2)</x:f>
        <x:v>0.1989609747783242</x:v>
      </x:c>
      <x:c r="K96" s="3" t="str">
        <x:v>SUV / crossover</x:v>
      </x:c>
      <x:c r="L96" s="48" t="n">
        <x:v>8</x:v>
      </x:c>
      <x:c r="M96" s="48" t="n">
        <x:v>4</x:v>
      </x:c>
      <x:c r="N96" s="33" t="n">
        <x:f>IF(($L96/'Volume Build'!$D$23)&gt;=31,0,INDEX('AD Fleet'!$I$6:$I$37,INT(($L96/'Volume Build'!$D$23))+1)+(($L96/'Volume Build'!$D$23)-INT(($L96/'Volume Build'!$D$23)))*(INDEX('AD Fleet'!$I$6:$I$37,MIN(INT(($L96/'Volume Build'!$D$23))+2,32))-INDEX('AD Fleet'!$I$6:$I$37,INT(($L96/'Volume Build'!$D$23))+1)))</x:f>
        <x:v>0.8820609645131938</x:v>
      </x:c>
      <x:c r="O96" s="33" t="n">
        <x:f>IF(L96=0,'Volume Build'!$D$25,1)*EXP(-'Volume Build'!$D$24*MAX(L96-6,0))*'Vehicle Economics'!E$10</x:f>
        <x:v>0.8348192872575889</x:v>
      </x:c>
    </x:row>
    <x:row r="97" ht="18" customHeight="1">
      <x:c r="A97" s="2"/>
      <x:c r="B97" s="2"/>
      <x:c r="C97" s="2" t="str">
        <x:v>SUV / crossover / 9</x:v>
      </x:c>
      <x:c r="D97" s="28" t="n">
        <x:f>INDEX('AD Fleet'!$E$6:$E$61,MATCH(2014,'AD Fleet'!$C$6:$C$61,0))*'Repair Costs'!E$29*$N97</x:f>
        <x:v>5233.593035716458</x:v>
      </x:c>
      <x:c r="E97" s="28" t="n">
        <x:f>INDEX('AD Fleet'!$E$6:$E$61,MATCH(2015,'AD Fleet'!$C$6:$C$61,0))*'Repair Costs'!E$29*$N97</x:f>
        <x:v>5908.843623530319</x:v>
      </x:c>
      <x:c r="F97" s="28" t="n">
        <x:f>INDEX('AD Fleet'!$E$6:$E$61,MATCH(2016,'AD Fleet'!$C$6:$C$61,0))*'Repair Costs'!E$29*$N97</x:f>
        <x:v>6351.525719104253</x:v>
      </x:c>
      <x:c r="G97" s="28" t="n">
        <x:f>INDEX('AD Fleet'!$E$6:$E$61,MATCH(2017,'AD Fleet'!$C$6:$C$61,0))*'Repair Costs'!E$29*$N97</x:f>
        <x:v>6624.192227247617</x:v>
      </x:c>
      <x:c r="H97" s="28" t="n">
        <x:f>INDEX('AD Fleet'!$E$6:$E$61,MATCH(2018,'AD Fleet'!$C$6:$C$61,0))*'Repair Costs'!E$29*$N97</x:f>
        <x:v>7161.6290188641315</x:v>
      </x:c>
      <x:c r="I97" s="28" t="n">
        <x:f>'Fee Calculation'!M63</x:f>
        <x:v>1157.6807652536165</x:v>
      </x:c>
      <x:c r="J97" s="33" t="n">
        <x:f>INDEX('Loss Calibration'!$E$8:$H$13,M97,2)</x:f>
        <x:v>0.1989609747783242</x:v>
      </x:c>
      <x:c r="K97" s="3" t="str">
        <x:v>SUV / crossover</x:v>
      </x:c>
      <x:c r="L97" s="48" t="n">
        <x:v>9</x:v>
      </x:c>
      <x:c r="M97" s="48" t="n">
        <x:v>4</x:v>
      </x:c>
      <x:c r="N97" s="33" t="n">
        <x:f>IF(($L97/'Volume Build'!$D$23)&gt;=31,0,INDEX('AD Fleet'!$I$6:$I$37,INT(($L97/'Volume Build'!$D$23))+1)+(($L97/'Volume Build'!$D$23)-INT(($L97/'Volume Build'!$D$23)))*(INDEX('AD Fleet'!$I$6:$I$37,MIN(INT(($L97/'Volume Build'!$D$23))+2,32))-INDEX('AD Fleet'!$I$6:$I$37,INT(($L97/'Volume Build'!$D$23))+1)))</x:f>
        <x:v>0.8521865332120109</x:v>
      </x:c>
      <x:c r="O97" s="33" t="n">
        <x:f>IF(L97=0,'Volume Build'!$D$25,1)*EXP(-'Volume Build'!$D$24*MAX(L97-6,0))*'Vehicle Economics'!E$10</x:f>
        <x:v>0.7627614073054819</x:v>
      </x:c>
    </x:row>
    <x:row r="98" ht="18" customHeight="1">
      <x:c r="A98" s="2"/>
      <x:c r="B98" s="2"/>
      <x:c r="C98" s="2" t="str">
        <x:v>SUV / crossover / 10</x:v>
      </x:c>
      <x:c r="D98" s="28" t="n">
        <x:f>INDEX('AD Fleet'!$E$6:$E$61,MATCH(2013,'AD Fleet'!$C$6:$C$61,0))*'Repair Costs'!E$29*$N98</x:f>
        <x:v>4561.438987637031</x:v>
      </x:c>
      <x:c r="E98" s="28" t="n">
        <x:f>INDEX('AD Fleet'!$E$6:$E$61,MATCH(2014,'AD Fleet'!$C$6:$C$61,0))*'Repair Costs'!E$29*$N98</x:f>
        <x:v>5030.592528314878</x:v>
      </x:c>
      <x:c r="F98" s="28" t="n">
        <x:f>INDEX('AD Fleet'!$E$6:$E$61,MATCH(2015,'AD Fleet'!$C$6:$C$61,0))*'Repair Costs'!E$29*$N98</x:f>
        <x:v>5679.651509136381</x:v>
      </x:c>
      <x:c r="G98" s="28" t="n">
        <x:f>INDEX('AD Fleet'!$E$6:$E$61,MATCH(2016,'AD Fleet'!$C$6:$C$61,0))*'Repair Costs'!E$29*$N98</x:f>
        <x:v>6105.162859983732</x:v>
      </x:c>
      <x:c r="H98" s="28" t="n">
        <x:f>INDEX('AD Fleet'!$E$6:$E$61,MATCH(2017,'AD Fleet'!$C$6:$C$61,0))*'Repair Costs'!E$29*$N98</x:f>
        <x:v>6367.253184781013</x:v>
      </x:c>
      <x:c r="I98" s="28" t="n">
        <x:f>'Fee Calculation'!M64</x:f>
        <x:v>1121.25</x:v>
      </x:c>
      <x:c r="J98" s="33" t="n">
        <x:f>INDEX('Loss Calibration'!$E$8:$H$13,M98,2)</x:f>
        <x:v>0.2723539904357708</x:v>
      </x:c>
      <x:c r="K98" s="3" t="str">
        <x:v>SUV / crossover</x:v>
      </x:c>
      <x:c r="L98" s="48" t="n">
        <x:v>10</x:v>
      </x:c>
      <x:c r="M98" s="48" t="n">
        <x:v>5</x:v>
      </x:c>
      <x:c r="N98" s="33" t="n">
        <x:f>IF(($L98/'Volume Build'!$D$23)&gt;=31,0,INDEX('AD Fleet'!$I$6:$I$37,INT(($L98/'Volume Build'!$D$23))+1)+(($L98/'Volume Build'!$D$23)-INT(($L98/'Volume Build'!$D$23)))*(INDEX('AD Fleet'!$I$6:$I$37,MIN(INT(($L98/'Volume Build'!$D$23))+2,32))-INDEX('AD Fleet'!$I$6:$I$37,INT(($L98/'Volume Build'!$D$23))+1)))</x:f>
        <x:v>0.8191319381255686</x:v>
      </x:c>
      <x:c r="O98" s="33" t="n">
        <x:f>IF(L98=0,'Volume Build'!$D$25,1)*EXP(-'Volume Build'!$D$24*MAX(L98-6,0))*'Vehicle Economics'!E$10</x:f>
        <x:v>0.6969232423772687</x:v>
      </x:c>
    </x:row>
    <x:row r="99" ht="18" customHeight="1">
      <x:c r="A99" s="2"/>
      <x:c r="B99" s="2"/>
      <x:c r="C99" s="2" t="str">
        <x:v>SUV / crossover / 11</x:v>
      </x:c>
      <x:c r="D99" s="28" t="n">
        <x:f>INDEX('AD Fleet'!$E$6:$E$61,MATCH(2012,'AD Fleet'!$C$6:$C$61,0))*'Repair Costs'!E$29*$N99</x:f>
        <x:v>3956.4518768231774</x:v>
      </x:c>
      <x:c r="E99" s="28" t="n">
        <x:f>INDEX('AD Fleet'!$E$6:$E$61,MATCH(2013,'AD Fleet'!$C$6:$C$61,0))*'Repair Costs'!E$29*$N99</x:f>
        <x:v>4363.623574532599</x:v>
      </x:c>
      <x:c r="F99" s="28" t="n">
        <x:f>INDEX('AD Fleet'!$E$6:$E$61,MATCH(2014,'AD Fleet'!$C$6:$C$61,0))*'Repair Costs'!E$29*$N99</x:f>
        <x:v>4812.43138621788</x:v>
      </x:c>
      <x:c r="G99" s="28" t="n">
        <x:f>INDEX('AD Fleet'!$E$6:$E$61,MATCH(2015,'AD Fleet'!$C$6:$C$61,0))*'Repair Costs'!E$29*$N99</x:f>
        <x:v>5433.342698996834</x:v>
      </x:c>
      <x:c r="H99" s="28" t="n">
        <x:f>INDEX('AD Fleet'!$E$6:$E$61,MATCH(2016,'AD Fleet'!$C$6:$C$61,0))*'Repair Costs'!E$29*$N99</x:f>
        <x:v>5840.400946804415</x:v>
      </x:c>
      <x:c r="I99" s="28" t="n">
        <x:f>'Fee Calculation'!M65</x:f>
        <x:v>1086.6207352464728</x:v>
      </x:c>
      <x:c r="J99" s="33" t="n">
        <x:f>INDEX('Loss Calibration'!$E$8:$H$13,M99,2)</x:f>
        <x:v>0.2723539904357708</x:v>
      </x:c>
      <x:c r="K99" s="3" t="str">
        <x:v>SUV / crossover</x:v>
      </x:c>
      <x:c r="L99" s="48" t="n">
        <x:v>11</x:v>
      </x:c>
      <x:c r="M99" s="48" t="n">
        <x:v>5</x:v>
      </x:c>
      <x:c r="N99" s="33" t="n">
        <x:f>IF(($L99/'Volume Build'!$D$23)&gt;=31,0,INDEX('AD Fleet'!$I$6:$I$37,INT(($L99/'Volume Build'!$D$23))+1)+(($L99/'Volume Build'!$D$23)-INT(($L99/'Volume Build'!$D$23)))*(INDEX('AD Fleet'!$I$6:$I$37,MIN(INT(($L99/'Volume Build'!$D$23))+2,32))-INDEX('AD Fleet'!$I$6:$I$37,INT(($L99/'Volume Build'!$D$23))+1)))</x:f>
        <x:v>0.7836087352138308</x:v>
      </x:c>
      <x:c r="O99" s="33" t="n">
        <x:f>IF(L99=0,'Volume Build'!$D$25,1)*EXP(-'Volume Build'!$D$24*MAX(L99-6,0))*'Vehicle Economics'!E$10</x:f>
        <x:v>0.6367679343943579</x:v>
      </x:c>
    </x:row>
    <x:row r="100" ht="18" customHeight="1">
      <x:c r="A100" s="2"/>
      <x:c r="B100" s="2"/>
      <x:c r="C100" s="2" t="str">
        <x:v>SUV / crossover / 12</x:v>
      </x:c>
      <x:c r="D100" s="28" t="n">
        <x:f>INDEX('AD Fleet'!$E$6:$E$61,MATCH(2011,'AD Fleet'!$C$6:$C$61,0))*'Repair Costs'!E$29*$N100</x:f>
        <x:v>3475.5343783584426</x:v>
      </x:c>
      <x:c r="E100" s="28" t="n">
        <x:f>INDEX('AD Fleet'!$E$6:$E$61,MATCH(2012,'AD Fleet'!$C$6:$C$61,0))*'Repair Costs'!E$29*$N100</x:f>
        <x:v>3758.9017184330078</x:v>
      </x:c>
      <x:c r="F100" s="28" t="n">
        <x:f>INDEX('AD Fleet'!$E$6:$E$61,MATCH(2013,'AD Fleet'!$C$6:$C$61,0))*'Repair Costs'!E$29*$N100</x:f>
        <x:v>4145.742868500567</x:v>
      </x:c>
      <x:c r="G100" s="28" t="n">
        <x:f>INDEX('AD Fleet'!$E$6:$E$61,MATCH(2014,'AD Fleet'!$C$6:$C$61,0))*'Repair Costs'!E$29*$N100</x:f>
        <x:v>4572.141193846697</x:v>
      </x:c>
      <x:c r="H100" s="28" t="n">
        <x:f>INDEX('AD Fleet'!$E$6:$E$61,MATCH(2015,'AD Fleet'!$C$6:$C$61,0))*'Repair Costs'!E$29*$N100</x:f>
        <x:v>5162.049696025508</x:v>
      </x:c>
      <x:c r="I100" s="28" t="n">
        <x:f>'Fee Calculation'!M66</x:f>
        <x:v>1036.1215355540367</x:v>
      </x:c>
      <x:c r="J100" s="33" t="n">
        <x:f>INDEX('Loss Calibration'!$E$8:$H$13,M100,2)</x:f>
        <x:v>0.2723539904357708</x:v>
      </x:c>
      <x:c r="K100" s="3" t="str">
        <x:v>SUV / crossover</x:v>
      </x:c>
      <x:c r="L100" s="48" t="n">
        <x:v>12</x:v>
      </x:c>
      <x:c r="M100" s="48" t="n">
        <x:v>5</x:v>
      </x:c>
      <x:c r="N100" s="33" t="n">
        <x:f>IF(($L100/'Volume Build'!$D$23)&gt;=31,0,INDEX('AD Fleet'!$I$6:$I$37,INT(($L100/'Volume Build'!$D$23))+1)+(($L100/'Volume Build'!$D$23)-INT(($L100/'Volume Build'!$D$23)))*(INDEX('AD Fleet'!$I$6:$I$37,MIN(INT(($L100/'Volume Build'!$D$23))+2,32))-INDEX('AD Fleet'!$I$6:$I$37,INT(($L100/'Volume Build'!$D$23))+1)))</x:f>
        <x:v>0.7444822565969063</x:v>
      </x:c>
      <x:c r="O100" s="33" t="n">
        <x:f>IF(L100=0,'Volume Build'!$D$25,1)*EXP(-'Volume Build'!$D$24*MAX(L100-6,0))*'Vehicle Economics'!E$10</x:f>
        <x:v>0.5818049644746394</x:v>
      </x:c>
    </x:row>
    <x:row r="101" ht="18" customHeight="1">
      <x:c r="A101" s="2"/>
      <x:c r="B101" s="2"/>
      <x:c r="C101" s="2" t="str">
        <x:v>SUV / crossover / 13</x:v>
      </x:c>
      <x:c r="D101" s="28" t="n">
        <x:f>INDEX('AD Fleet'!$E$6:$E$61,MATCH(2010,'AD Fleet'!$C$6:$C$61,0))*'Repair Costs'!E$29*$N101</x:f>
        <x:v>2936.595068807523</x:v>
      </x:c>
      <x:c r="E101" s="28" t="n">
        <x:f>INDEX('AD Fleet'!$E$6:$E$61,MATCH(2011,'AD Fleet'!$C$6:$C$61,0))*'Repair Costs'!E$29*$N101</x:f>
        <x:v>3289.006877169107</x:v>
      </x:c>
      <x:c r="F101" s="28" t="n">
        <x:f>INDEX('AD Fleet'!$E$6:$E$61,MATCH(2012,'AD Fleet'!$C$6:$C$61,0))*'Repair Costs'!E$29*$N101</x:f>
        <x:v>3557.1662531988045</x:v>
      </x:c>
      <x:c r="G101" s="28" t="n">
        <x:f>INDEX('AD Fleet'!$E$6:$E$61,MATCH(2013,'AD Fleet'!$C$6:$C$61,0))*'Repair Costs'!E$29*$N101</x:f>
        <x:v>3923.2461316965537</x:v>
      </x:c>
      <x:c r="H101" s="28" t="n">
        <x:f>INDEX('AD Fleet'!$E$6:$E$61,MATCH(2014,'AD Fleet'!$C$6:$C$61,0))*'Repair Costs'!E$29*$N101</x:f>
        <x:v>4326.760202283652</x:v>
      </x:c>
      <x:c r="I101" s="28" t="n">
        <x:f>'Fee Calculation'!M67</x:f>
        <x:v>979.5972797227092</x:v>
      </x:c>
      <x:c r="J101" s="33" t="n">
        <x:f>INDEX('Loss Calibration'!$E$8:$H$13,M101,2)</x:f>
        <x:v>0.3946472110324642</x:v>
      </x:c>
      <x:c r="K101" s="3" t="str">
        <x:v>SUV / crossover</x:v>
      </x:c>
      <x:c r="L101" s="48" t="n">
        <x:v>13</x:v>
      </x:c>
      <x:c r="M101" s="48" t="n">
        <x:v>6</x:v>
      </x:c>
      <x:c r="N101" s="33" t="n">
        <x:f>IF(($L101/'Volume Build'!$D$23)&gt;=31,0,INDEX('AD Fleet'!$I$6:$I$37,INT(($L101/'Volume Build'!$D$23))+1)+(($L101/'Volume Build'!$D$23)-INT(($L101/'Volume Build'!$D$23)))*(INDEX('AD Fleet'!$I$6:$I$37,MIN(INT(($L101/'Volume Build'!$D$23))+2,32))-INDEX('AD Fleet'!$I$6:$I$37,INT(($L101/'Volume Build'!$D$23))+1)))</x:f>
        <x:v>0.7045268425841674</x:v>
      </x:c>
      <x:c r="O101" s="33" t="n">
        <x:f>IF(L101=0,'Volume Build'!$D$25,1)*EXP(-'Volume Build'!$D$24*MAX(L101-6,0))*'Vehicle Economics'!E$10</x:f>
        <x:v>0.5315861531395849</x:v>
      </x:c>
    </x:row>
    <x:row r="102" ht="18" customHeight="1">
      <x:c r="A102" s="2"/>
      <x:c r="B102" s="2"/>
      <x:c r="C102" s="2" t="str">
        <x:v>SUV / crossover / 14</x:v>
      </x:c>
      <x:c r="D102" s="28" t="n">
        <x:f>INDEX('AD Fleet'!$E$6:$E$61,MATCH(2009,'AD Fleet'!$C$6:$C$61,0))*'Repair Costs'!E$29*$N102</x:f>
        <x:v>2320.0822372808743</x:v>
      </x:c>
      <x:c r="E102" s="28" t="n">
        <x:f>INDEX('AD Fleet'!$E$6:$E$61,MATCH(2010,'AD Fleet'!$C$6:$C$61,0))*'Repair Costs'!E$29*$N102</x:f>
        <x:v>2763.556789876556</x:v>
      </x:c>
      <x:c r="F102" s="28" t="n">
        <x:f>INDEX('AD Fleet'!$E$6:$E$61,MATCH(2011,'AD Fleet'!$C$6:$C$61,0))*'Repair Costs'!E$29*$N102</x:f>
        <x:v>3095.202802694323</x:v>
      </x:c>
      <x:c r="G102" s="28" t="n">
        <x:f>INDEX('AD Fleet'!$E$6:$E$61,MATCH(2012,'AD Fleet'!$C$6:$C$61,0))*'Repair Costs'!E$29*$N102</x:f>
        <x:v>3347.560940957105</x:v>
      </x:c>
      <x:c r="H102" s="28" t="n">
        <x:f>INDEX('AD Fleet'!$E$6:$E$61,MATCH(2013,'AD Fleet'!$C$6:$C$61,0))*'Repair Costs'!E$29*$N102</x:f>
        <x:v>3692.069635603404</x:v>
      </x:c>
      <x:c r="I102" s="28" t="n">
        <x:f>'Fee Calculation'!M68</x:f>
        <x:v>955.6576082864151</x:v>
      </x:c>
      <x:c r="J102" s="33" t="n">
        <x:f>INDEX('Loss Calibration'!$E$8:$H$13,M102,2)</x:f>
        <x:v>0.3946472110324642</x:v>
      </x:c>
      <x:c r="K102" s="3" t="str">
        <x:v>SUV / crossover</x:v>
      </x:c>
      <x:c r="L102" s="48" t="n">
        <x:v>14</x:v>
      </x:c>
      <x:c r="M102" s="48" t="n">
        <x:v>6</x:v>
      </x:c>
      <x:c r="N102" s="33" t="n">
        <x:f>IF(($L102/'Volume Build'!$D$23)&gt;=31,0,INDEX('AD Fleet'!$I$6:$I$37,INT(($L102/'Volume Build'!$D$23))+1)+(($L102/'Volume Build'!$D$23)-INT(($L102/'Volume Build'!$D$23)))*(INDEX('AD Fleet'!$I$6:$I$37,MIN(INT(($L102/'Volume Build'!$D$23))+2,32))-INDEX('AD Fleet'!$I$6:$I$37,INT(($L102/'Volume Build'!$D$23))+1)))</x:f>
        <x:v>0.6630127388535032</x:v>
      </x:c>
      <x:c r="O102" s="33" t="n">
        <x:f>IF(L102=0,'Volume Build'!$D$25,1)*EXP(-'Volume Build'!$D$24*MAX(L102-6,0))*'Vehicle Economics'!E$10</x:f>
        <x:v>0.4857020057656452</x:v>
      </x:c>
    </x:row>
    <x:row r="103" ht="18" customHeight="1">
      <x:c r="A103" s="2"/>
      <x:c r="B103" s="2"/>
      <x:c r="C103" s="2" t="str">
        <x:v>SUV / crossover / 15</x:v>
      </x:c>
      <x:c r="D103" s="28" t="n">
        <x:f>INDEX('AD Fleet'!$E$6:$E$61,MATCH(2008,'AD Fleet'!$C$6:$C$61,0))*'Repair Costs'!E$29*$N103</x:f>
        <x:v>2808.5223118587287</x:v>
      </x:c>
      <x:c r="E103" s="28" t="n">
        <x:f>INDEX('AD Fleet'!$E$6:$E$61,MATCH(2009,'AD Fleet'!$C$6:$C$61,0))*'Repair Costs'!E$29*$N103</x:f>
        <x:v>2173.614610234565</x:v>
      </x:c>
      <x:c r="F103" s="28" t="n">
        <x:f>INDEX('AD Fleet'!$E$6:$E$61,MATCH(2010,'AD Fleet'!$C$6:$C$61,0))*'Repair Costs'!E$29*$N103</x:f>
        <x:v>2589.092454640179</x:v>
      </x:c>
      <x:c r="G103" s="28" t="n">
        <x:f>INDEX('AD Fleet'!$E$6:$E$61,MATCH(2011,'AD Fleet'!$C$6:$C$61,0))*'Repair Costs'!E$29*$N103</x:f>
        <x:v>2899.801535250871</x:v>
      </x:c>
      <x:c r="H103" s="28" t="n">
        <x:f>INDEX('AD Fleet'!$E$6:$E$61,MATCH(2012,'AD Fleet'!$C$6:$C$61,0))*'Repair Costs'!E$29*$N103</x:f>
        <x:v>3136.228213376923</x:v>
      </x:c>
      <x:c r="I103" s="28" t="n">
        <x:f>'Fee Calculation'!M69</x:f>
        <x:v>904.175518748274</x:v>
      </x:c>
      <x:c r="J103" s="33" t="n">
        <x:f>INDEX('Loss Calibration'!$E$8:$H$13,M103,2)</x:f>
        <x:v>0.3946472110324642</x:v>
      </x:c>
      <x:c r="K103" s="3" t="str">
        <x:v>SUV / crossover</x:v>
      </x:c>
      <x:c r="L103" s="48" t="n">
        <x:v>15</x:v>
      </x:c>
      <x:c r="M103" s="48" t="n">
        <x:v>6</x:v>
      </x:c>
      <x:c r="N103" s="33" t="n">
        <x:f>IF(($L103/'Volume Build'!$D$23)&gt;=31,0,INDEX('AD Fleet'!$I$6:$I$37,INT(($L103/'Volume Build'!$D$23))+1)+(($L103/'Volume Build'!$D$23)-INT(($L103/'Volume Build'!$D$23)))*(INDEX('AD Fleet'!$I$6:$I$37,MIN(INT(($L103/'Volume Build'!$D$23))+2,32))-INDEX('AD Fleet'!$I$6:$I$37,INT(($L103/'Volume Build'!$D$23))+1)))</x:f>
        <x:v>0.6211565059144677</x:v>
      </x:c>
      <x:c r="O103" s="33" t="n">
        <x:f>IF(L103=0,'Volume Build'!$D$25,1)*EXP(-'Volume Build'!$D$24*MAX(L103-6,0))*'Vehicle Economics'!E$10</x:f>
        <x:v>0.44377837347999183</x:v>
      </x:c>
    </x:row>
    <x:row r="104" ht="18" customHeight="1">
      <x:c r="A104" s="2"/>
      <x:c r="B104" s="2"/>
      <x:c r="C104" s="2" t="str">
        <x:v>SUV / crossover / 16</x:v>
      </x:c>
      <x:c r="D104" s="28" t="n">
        <x:f>INDEX('AD Fleet'!$E$6:$E$61,MATCH(2007,'AD Fleet'!$C$6:$C$61,0))*'Repair Costs'!E$29*$N104</x:f>
        <x:v>3462.5645074202607</x:v>
      </x:c>
      <x:c r="E104" s="28" t="n">
        <x:f>INDEX('AD Fleet'!$E$6:$E$61,MATCH(2008,'AD Fleet'!$C$6:$C$61,0))*'Repair Costs'!E$29*$N104</x:f>
        <x:v>2604.11534176363</x:v>
      </x:c>
      <x:c r="F104" s="28" t="n">
        <x:f>INDEX('AD Fleet'!$E$6:$E$61,MATCH(2009,'AD Fleet'!$C$6:$C$61,0))*'Repair Costs'!E$29*$N104</x:f>
        <x:v>2015.4168367091559</x:v>
      </x:c>
      <x:c r="G104" s="28" t="n">
        <x:f>INDEX('AD Fleet'!$E$6:$E$61,MATCH(2010,'AD Fleet'!$C$6:$C$61,0))*'Repair Costs'!E$29*$N104</x:f>
        <x:v>2400.6558017731318</x:v>
      </x:c>
      <x:c r="H104" s="28" t="n">
        <x:f>INDEX('AD Fleet'!$E$6:$E$61,MATCH(2011,'AD Fleet'!$C$6:$C$61,0))*'Repair Costs'!E$29*$N104</x:f>
        <x:v>2688.7511749973823</x:v>
      </x:c>
      <x:c r="I104" s="28" t="n">
        <x:f>'Fee Calculation'!M70</x:f>
        <x:v>862.5360944969248</x:v>
      </x:c>
      <x:c r="J104" s="33" t="n">
        <x:f>INDEX('Loss Calibration'!$E$8:$H$13,M104,2)</x:f>
        <x:v>0.3946472110324642</x:v>
      </x:c>
      <x:c r="K104" s="3" t="str">
        <x:v>SUV / crossover</x:v>
      </x:c>
      <x:c r="L104" s="48" t="n">
        <x:v>16</x:v>
      </x:c>
      <x:c r="M104" s="48" t="n">
        <x:v>6</x:v>
      </x:c>
      <x:c r="N104" s="33" t="n">
        <x:f>IF(($L104/'Volume Build'!$D$23)&gt;=31,0,INDEX('AD Fleet'!$I$6:$I$37,INT(($L104/'Volume Build'!$D$23))+1)+(($L104/'Volume Build'!$D$23)-INT(($L104/'Volume Build'!$D$23)))*(INDEX('AD Fleet'!$I$6:$I$37,MIN(INT(($L104/'Volume Build'!$D$23))+2,32))-INDEX('AD Fleet'!$I$6:$I$37,INT(($L104/'Volume Build'!$D$23))+1)))</x:f>
        <x:v>0.5759481346678799</x:v>
      </x:c>
      <x:c r="O104" s="33" t="n">
        <x:f>IF(L104=0,'Volume Build'!$D$25,1)*EXP(-'Volume Build'!$D$24*MAX(L104-6,0))*'Vehicle Economics'!E$10</x:f>
        <x:v>0.4054734022728572</x:v>
      </x:c>
    </x:row>
    <x:row r="105" ht="18" customHeight="1">
      <x:c r="A105" s="2"/>
      <x:c r="B105" s="2"/>
      <x:c r="C105" s="2" t="str">
        <x:v>SUV / crossover / 17</x:v>
      </x:c>
      <x:c r="D105" s="28" t="n">
        <x:f>INDEX('AD Fleet'!$E$6:$E$61,MATCH(2006,'AD Fleet'!$C$6:$C$61,0))*'Repair Costs'!E$29*$N105</x:f>
        <x:v>3283.9529213395917</x:v>
      </x:c>
      <x:c r="E105" s="28" t="n">
        <x:f>INDEX('AD Fleet'!$E$6:$E$61,MATCH(2007,'AD Fleet'!$C$6:$C$61,0))*'Repair Costs'!E$29*$N105</x:f>
        <x:v>3180.922441302229</x:v>
      </x:c>
      <x:c r="F105" s="28" t="n">
        <x:f>INDEX('AD Fleet'!$E$6:$E$61,MATCH(2008,'AD Fleet'!$C$6:$C$61,0))*'Repair Costs'!E$29*$N105</x:f>
        <x:v>2392.298804138919</x:v>
      </x:c>
      <x:c r="G105" s="28" t="n">
        <x:f>INDEX('AD Fleet'!$E$6:$E$61,MATCH(2009,'AD Fleet'!$C$6:$C$61,0))*'Repair Costs'!E$29*$N105</x:f>
        <x:v>1851.4845371769989</x:v>
      </x:c>
      <x:c r="H105" s="28" t="n">
        <x:f>INDEX('AD Fleet'!$E$6:$E$61,MATCH(2010,'AD Fleet'!$C$6:$C$61,0))*'Repair Costs'!E$29*$N105</x:f>
        <x:v>2205.388490911286</x:v>
      </x:c>
      <x:c r="I105" s="28" t="n">
        <x:f>'Fee Calculation'!M71</x:f>
        <x:v>818.1353546824537</x:v>
      </x:c>
      <x:c r="J105" s="33" t="n">
        <x:f>INDEX('Loss Calibration'!$E$8:$H$13,M105,2)</x:f>
        <x:v>0.3946472110324642</x:v>
      </x:c>
      <x:c r="K105" s="3" t="str">
        <x:v>SUV / crossover</x:v>
      </x:c>
      <x:c r="L105" s="48" t="n">
        <x:v>17</x:v>
      </x:c>
      <x:c r="M105" s="48" t="n">
        <x:v>6</x:v>
      </x:c>
      <x:c r="N105" s="33" t="n">
        <x:f>IF(($L105/'Volume Build'!$D$23)&gt;=31,0,INDEX('AD Fleet'!$I$6:$I$37,INT(($L105/'Volume Build'!$D$23))+1)+(($L105/'Volume Build'!$D$23)-INT(($L105/'Volume Build'!$D$23)))*(INDEX('AD Fleet'!$I$6:$I$37,MIN(INT(($L105/'Volume Build'!$D$23))+2,32))-INDEX('AD Fleet'!$I$6:$I$37,INT(($L105/'Volume Build'!$D$23))+1)))</x:f>
        <x:v>0.5291010009099181</x:v>
      </x:c>
      <x:c r="O105" s="33" t="n">
        <x:f>IF(L105=0,'Volume Build'!$D$25,1)*EXP(-'Volume Build'!$D$24*MAX(L105-6,0))*'Vehicle Economics'!E$10</x:f>
        <x:v>0.37047474544889886</x:v>
      </x:c>
    </x:row>
    <x:row r="106" ht="18" customHeight="1">
      <x:c r="A106" s="2"/>
      <x:c r="B106" s="2"/>
      <x:c r="C106" s="2" t="str">
        <x:v>SUV / crossover / 18</x:v>
      </x:c>
      <x:c r="D106" s="28" t="n">
        <x:f>INDEX('AD Fleet'!$E$6:$E$61,MATCH(2005,'AD Fleet'!$C$6:$C$61,0))*'Repair Costs'!E$29*$N106</x:f>
        <x:v>3189.6090260075516</x:v>
      </x:c>
      <x:c r="E106" s="28" t="n">
        <x:f>INDEX('AD Fleet'!$E$6:$E$61,MATCH(2006,'AD Fleet'!$C$6:$C$61,0))*'Repair Costs'!E$29*$N106</x:f>
        <x:v>3000.626266072937</x:v>
      </x:c>
      <x:c r="F106" s="28" t="n">
        <x:f>INDEX('AD Fleet'!$E$6:$E$61,MATCH(2007,'AD Fleet'!$C$6:$C$61,0))*'Repair Costs'!E$29*$N106</x:f>
        <x:v>2906.484854179583</x:v>
      </x:c>
      <x:c r="G106" s="28" t="n">
        <x:f>INDEX('AD Fleet'!$E$6:$E$61,MATCH(2008,'AD Fleet'!$C$6:$C$61,0))*'Repair Costs'!E$29*$N106</x:f>
        <x:v>2185.9005899103763</x:v>
      </x:c>
      <x:c r="H106" s="28" t="n">
        <x:f>INDEX('AD Fleet'!$E$6:$E$61,MATCH(2009,'AD Fleet'!$C$6:$C$61,0))*'Repair Costs'!E$29*$N106</x:f>
        <x:v>1691.7456694887544</x:v>
      </x:c>
      <x:c r="I106" s="28" t="n">
        <x:f>'Fee Calculation'!M72</x:f>
        <x:v>809.6292135411</x:v>
      </x:c>
      <x:c r="J106" s="33" t="n">
        <x:f>INDEX('Loss Calibration'!$E$8:$H$13,M106,2)</x:f>
        <x:v>0.3946472110324642</x:v>
      </x:c>
      <x:c r="K106" s="3" t="str">
        <x:v>SUV / crossover</x:v>
      </x:c>
      <x:c r="L106" s="48" t="n">
        <x:v>18</x:v>
      </x:c>
      <x:c r="M106" s="48" t="n">
        <x:v>6</x:v>
      </x:c>
      <x:c r="N106" s="33" t="n">
        <x:f>IF(($L106/'Volume Build'!$D$23)&gt;=31,0,INDEX('AD Fleet'!$I$6:$I$37,INT(($L106/'Volume Build'!$D$23))+1)+(($L106/'Volume Build'!$D$23)-INT(($L106/'Volume Build'!$D$23)))*(INDEX('AD Fleet'!$I$6:$I$37,MIN(INT(($L106/'Volume Build'!$D$23))+2,32))-INDEX('AD Fleet'!$I$6:$I$37,INT(($L106/'Volume Build'!$D$23))+1)))</x:f>
        <x:v>0.483452229299363</x:v>
      </x:c>
      <x:c r="O106" s="33" t="n">
        <x:f>IF(L106=0,'Volume Build'!$D$25,1)*EXP(-'Volume Build'!$D$24*MAX(L106-6,0))*'Vehicle Economics'!E$10</x:f>
        <x:v>0.33849701668733634</x:v>
      </x:c>
    </x:row>
    <x:row r="107" ht="18" customHeight="1">
      <x:c r="A107" s="2"/>
      <x:c r="B107" s="2"/>
      <x:c r="C107" s="2" t="str">
        <x:v>SUV / crossover / 19</x:v>
      </x:c>
      <x:c r="D107" s="28" t="n">
        <x:f>INDEX('AD Fleet'!$E$6:$E$61,MATCH(2004,'AD Fleet'!$C$6:$C$61,0))*'Repair Costs'!E$29*$N107</x:f>
        <x:v>2945.7236792739977</x:v>
      </x:c>
      <x:c r="E107" s="28" t="n">
        <x:f>INDEX('AD Fleet'!$E$6:$E$61,MATCH(2005,'AD Fleet'!$C$6:$C$61,0))*'Repair Costs'!E$29*$N107</x:f>
        <x:v>2901.1590245194743</x:v>
      </x:c>
      <x:c r="F107" s="28" t="n">
        <x:f>INDEX('AD Fleet'!$E$6:$E$61,MATCH(2006,'AD Fleet'!$C$6:$C$61,0))*'Repair Costs'!E$29*$N107</x:f>
        <x:v>2729.266784752027</x:v>
      </x:c>
      <x:c r="G107" s="28" t="n">
        <x:f>INDEX('AD Fleet'!$E$6:$E$61,MATCH(2007,'AD Fleet'!$C$6:$C$61,0))*'Repair Costs'!E$29*$N107</x:f>
        <x:v>2643.6389838308355</x:v>
      </x:c>
      <x:c r="H107" s="28" t="n">
        <x:f>INDEX('AD Fleet'!$E$6:$E$61,MATCH(2008,'AD Fleet'!$C$6:$C$61,0))*'Repair Costs'!E$29*$N107</x:f>
        <x:v>1988.220239976809</x:v>
      </x:c>
      <x:c r="I107" s="28" t="n">
        <x:f>'Fee Calculation'!M73</x:f>
        <x:v>751.9325387533079</x:v>
      </x:c>
      <x:c r="J107" s="33" t="n">
        <x:f>INDEX('Loss Calibration'!$E$8:$H$13,M107,2)</x:f>
        <x:v>0.3946472110324642</x:v>
      </x:c>
      <x:c r="K107" s="3" t="str">
        <x:v>SUV / crossover</x:v>
      </x:c>
      <x:c r="L107" s="48" t="n">
        <x:v>19</x:v>
      </x:c>
      <x:c r="M107" s="48" t="n">
        <x:v>6</x:v>
      </x:c>
      <x:c r="N107" s="33" t="n">
        <x:f>IF(($L107/'Volume Build'!$D$23)&gt;=31,0,INDEX('AD Fleet'!$I$6:$I$37,INT(($L107/'Volume Build'!$D$23))+1)+(($L107/'Volume Build'!$D$23)-INT(($L107/'Volume Build'!$D$23)))*(INDEX('AD Fleet'!$I$6:$I$37,MIN(INT(($L107/'Volume Build'!$D$23))+2,32))-INDEX('AD Fleet'!$I$6:$I$37,INT(($L107/'Volume Build'!$D$23))+1)))</x:f>
        <x:v>0.4397315741583258</x:v>
      </x:c>
      <x:c r="O107" s="33" t="n">
        <x:f>IF(L107=0,'Volume Build'!$D$25,1)*EXP(-'Volume Build'!$D$24*MAX(L107-6,0))*'Vehicle Economics'!E$10</x:f>
        <x:v>0.3092794629425864</x:v>
      </x:c>
    </x:row>
    <x:row r="108" ht="18" customHeight="1">
      <x:c r="A108" s="2"/>
      <x:c r="B108" s="2"/>
      <x:c r="C108" s="2" t="str">
        <x:v>SUV / crossover / 20</x:v>
      </x:c>
      <x:c r="D108" s="28" t="n">
        <x:f>INDEX('AD Fleet'!$E$6:$E$61,MATCH(2003,'AD Fleet'!$C$6:$C$61,0))*'Repair Costs'!E$29*$N108</x:f>
        <x:v>2578.168550650228</x:v>
      </x:c>
      <x:c r="E108" s="28" t="n">
        <x:f>INDEX('AD Fleet'!$E$6:$E$61,MATCH(2004,'AD Fleet'!$C$6:$C$61,0))*'Repair Costs'!E$29*$N108</x:f>
        <x:v>2669.3188372921472</x:v>
      </x:c>
      <x:c r="F108" s="28" t="n">
        <x:f>INDEX('AD Fleet'!$E$6:$E$61,MATCH(2005,'AD Fleet'!$C$6:$C$61,0))*'Repair Costs'!E$29*$N108</x:f>
        <x:v>2628.9357989064865</x:v>
      </x:c>
      <x:c r="G108" s="28" t="n">
        <x:f>INDEX('AD Fleet'!$E$6:$E$61,MATCH(2006,'AD Fleet'!$C$6:$C$61,0))*'Repair Costs'!E$29*$N108</x:f>
        <x:v>2473.1726508475112</x:v>
      </x:c>
      <x:c r="H108" s="28" t="n">
        <x:f>INDEX('AD Fleet'!$E$6:$E$61,MATCH(2007,'AD Fleet'!$C$6:$C$61,0))*'Repair Costs'!E$29*$N108</x:f>
        <x:v>2395.579527092207</x:v>
      </x:c>
      <x:c r="I108" s="28" t="n">
        <x:f>'Fee Calculation'!M74</x:f>
        <x:v>706.2182994108596</x:v>
      </x:c>
      <x:c r="J108" s="33" t="n">
        <x:f>INDEX('Loss Calibration'!$E$8:$H$13,M108,2)</x:f>
        <x:v>0.3946472110324642</x:v>
      </x:c>
      <x:c r="K108" s="3" t="str">
        <x:v>SUV / crossover</x:v>
      </x:c>
      <x:c r="L108" s="48" t="n">
        <x:v>20</x:v>
      </x:c>
      <x:c r="M108" s="48" t="n">
        <x:v>6</x:v>
      </x:c>
      <x:c r="N108" s="33" t="n">
        <x:f>IF(($L108/'Volume Build'!$D$23)&gt;=31,0,INDEX('AD Fleet'!$I$6:$I$37,INT(($L108/'Volume Build'!$D$23))+1)+(($L108/'Volume Build'!$D$23)-INT(($L108/'Volume Build'!$D$23)))*(INDEX('AD Fleet'!$I$6:$I$37,MIN(INT(($L108/'Volume Build'!$D$23))+2,32))-INDEX('AD Fleet'!$I$6:$I$37,INT(($L108/'Volume Build'!$D$23))+1)))</x:f>
        <x:v>0.3984704276615104</x:v>
      </x:c>
      <x:c r="O108" s="33" t="n">
        <x:f>IF(L108=0,'Volume Build'!$D$25,1)*EXP(-'Volume Build'!$D$24*MAX(L108-6,0))*'Vehicle Economics'!E$10</x:f>
        <x:v>0.28258383820974226</x:v>
      </x:c>
    </x:row>
    <x:row r="109" ht="18" customHeight="1">
      <x:c r="A109" s="2"/>
      <x:c r="B109" s="2"/>
      <x:c r="C109" s="2" t="str">
        <x:v>SUV / crossover / 21</x:v>
      </x:c>
      <x:c r="D109" s="28" t="n">
        <x:f>INDEX('AD Fleet'!$E$6:$E$61,MATCH(2002,'AD Fleet'!$C$6:$C$61,0))*'Repair Costs'!E$29*$N109</x:f>
        <x:v>2247.705222884842</x:v>
      </x:c>
      <x:c r="E109" s="28" t="n">
        <x:f>INDEX('AD Fleet'!$E$6:$E$61,MATCH(2003,'AD Fleet'!$C$6:$C$61,0))*'Repair Costs'!E$29*$N109</x:f>
        <x:v>2327.115635601149</x:v>
      </x:c>
      <x:c r="F109" s="28" t="n">
        <x:f>INDEX('AD Fleet'!$E$6:$E$61,MATCH(2004,'AD Fleet'!$C$6:$C$61,0))*'Repair Costs'!E$29*$N109</x:f>
        <x:v>2409.390030415421</x:v>
      </x:c>
      <x:c r="G109" s="28" t="n">
        <x:f>INDEX('AD Fleet'!$E$6:$E$61,MATCH(2005,'AD Fleet'!$C$6:$C$61,0))*'Repair Costs'!E$29*$N109</x:f>
        <x:v>2372.9393491685914</x:v>
      </x:c>
      <x:c r="H109" s="28" t="n">
        <x:f>INDEX('AD Fleet'!$E$6:$E$61,MATCH(2006,'AD Fleet'!$C$6:$C$61,0))*'Repair Costs'!E$29*$N109</x:f>
        <x:v>2232.3438643593927</x:v>
      </x:c>
      <x:c r="I109" s="28" t="n">
        <x:f>'Fee Calculation'!M75</x:f>
        <x:v>662.4167950656544</x:v>
      </x:c>
      <x:c r="J109" s="33" t="n">
        <x:f>INDEX('Loss Calibration'!$E$8:$H$13,M109,2)</x:f>
        <x:v>0.3946472110324642</x:v>
      </x:c>
      <x:c r="K109" s="3" t="str">
        <x:v>SUV / crossover</x:v>
      </x:c>
      <x:c r="L109" s="48" t="n">
        <x:v>21</x:v>
      </x:c>
      <x:c r="M109" s="48" t="n">
        <x:v>6</x:v>
      </x:c>
      <x:c r="N109" s="33" t="n">
        <x:f>IF(($L109/'Volume Build'!$D$23)&gt;=31,0,INDEX('AD Fleet'!$I$6:$I$37,INT(($L109/'Volume Build'!$D$23))+1)+(($L109/'Volume Build'!$D$23)-INT(($L109/'Volume Build'!$D$23)))*(INDEX('AD Fleet'!$I$6:$I$37,MIN(INT(($L109/'Volume Build'!$D$23))+2,32))-INDEX('AD Fleet'!$I$6:$I$37,INT(($L109/'Volume Build'!$D$23))+1)))</x:f>
        <x:v>0.35966878980891714</x:v>
      </x:c>
      <x:c r="O109" s="33" t="n">
        <x:f>IF(L109=0,'Volume Build'!$D$25,1)*EXP(-'Volume Build'!$D$24*MAX(L109-6,0))*'Vehicle Economics'!E$10</x:f>
        <x:v>0.25819246081713987</x:v>
      </x:c>
    </x:row>
    <x:row r="110" ht="18" customHeight="1">
      <x:c r="A110" s="2"/>
      <x:c r="B110" s="2"/>
      <x:c r="C110" s="2" t="str">
        <x:v>SUV / crossover / 22</x:v>
      </x:c>
      <x:c r="D110" s="28" t="n">
        <x:f>INDEX('AD Fleet'!$E$6:$E$61,MATCH(2001,'AD Fleet'!$C$6:$C$61,0))*'Repair Costs'!E$29*$N110</x:f>
        <x:v>2012.5109926030896</x:v>
      </x:c>
      <x:c r="E110" s="28" t="n">
        <x:f>INDEX('AD Fleet'!$E$6:$E$61,MATCH(2002,'AD Fleet'!$C$6:$C$61,0))*'Repair Costs'!E$29*$N110</x:f>
        <x:v>2020.703349516454</x:v>
      </x:c>
      <x:c r="F110" s="28" t="n">
        <x:f>INDEX('AD Fleet'!$E$6:$E$61,MATCH(2003,'AD Fleet'!$C$6:$C$61,0))*'Repair Costs'!E$29*$N110</x:f>
        <x:v>2092.0938883329163</x:v>
      </x:c>
      <x:c r="G110" s="28" t="n">
        <x:f>INDEX('AD Fleet'!$E$6:$E$61,MATCH(2004,'AD Fleet'!$C$6:$C$61,0))*'Repair Costs'!E$29*$N110</x:f>
        <x:v>2166.059167893579</x:v>
      </x:c>
      <x:c r="H110" s="28" t="n">
        <x:f>INDEX('AD Fleet'!$E$6:$E$61,MATCH(2005,'AD Fleet'!$C$6:$C$61,0))*'Repair Costs'!E$29*$N110</x:f>
        <x:v>2133.2897402401204</x:v>
      </x:c>
      <x:c r="I110" s="28" t="n">
        <x:f>'Fee Calculation'!M76</x:f>
        <x:v>639.2149581441963</x:v>
      </x:c>
      <x:c r="J110" s="33" t="n">
        <x:f>INDEX('Loss Calibration'!$E$8:$H$13,M110,2)</x:f>
        <x:v>0.3946472110324642</x:v>
      </x:c>
      <x:c r="K110" s="3" t="str">
        <x:v>SUV / crossover</x:v>
      </x:c>
      <x:c r="L110" s="48" t="n">
        <x:v>22</x:v>
      </x:c>
      <x:c r="M110" s="48" t="n">
        <x:v>6</x:v>
      </x:c>
      <x:c r="N110" s="33" t="n">
        <x:f>IF(($L110/'Volume Build'!$D$23)&gt;=31,0,INDEX('AD Fleet'!$I$6:$I$37,INT(($L110/'Volume Build'!$D$23))+1)+(($L110/'Volume Build'!$D$23)-INT(($L110/'Volume Build'!$D$23)))*(INDEX('AD Fleet'!$I$6:$I$37,MIN(INT(($L110/'Volume Build'!$D$23))+2,32))-INDEX('AD Fleet'!$I$6:$I$37,INT(($L110/'Volume Build'!$D$23))+1)))</x:f>
        <x:v>0.32334485896269327</x:v>
      </x:c>
      <x:c r="O110" s="33" t="n">
        <x:f>IF(L110=0,'Volume Build'!$D$25,1)*EXP(-'Volume Build'!$D$24*MAX(L110-6,0))*'Vehicle Economics'!E$10</x:f>
        <x:v>0.23590643840477085</x:v>
      </x:c>
    </x:row>
    <x:row r="111" ht="18" customHeight="1">
      <x:c r="A111" s="2"/>
      <x:c r="B111" s="2"/>
      <x:c r="C111" s="2" t="str">
        <x:v>SUV / crossover / 23</x:v>
      </x:c>
      <x:c r="D111" s="28" t="n">
        <x:f>INDEX('AD Fleet'!$E$6:$E$61,MATCH(2000,'AD Fleet'!$C$6:$C$61,0))*'Repair Costs'!E$29*$N111</x:f>
        <x:v>1764.034627044698</x:v>
      </x:c>
      <x:c r="E111" s="28" t="n">
        <x:f>INDEX('AD Fleet'!$E$6:$E$61,MATCH(2001,'AD Fleet'!$C$6:$C$61,0))*'Repair Costs'!E$29*$N111</x:f>
        <x:v>1808.629826297438</x:v>
      </x:c>
      <x:c r="F111" s="28" t="n">
        <x:f>INDEX('AD Fleet'!$E$6:$E$61,MATCH(2002,'AD Fleet'!$C$6:$C$61,0))*'Repair Costs'!E$29*$N111</x:f>
        <x:v>1815.992241268409</x:v>
      </x:c>
      <x:c r="G111" s="28" t="n">
        <x:f>INDEX('AD Fleet'!$E$6:$E$61,MATCH(2003,'AD Fleet'!$C$6:$C$61,0))*'Repair Costs'!E$29*$N111</x:f>
        <x:v>1880.1504288725866</x:v>
      </x:c>
      <x:c r="H111" s="28" t="n">
        <x:f>INDEX('AD Fleet'!$E$6:$E$61,MATCH(2004,'AD Fleet'!$C$6:$C$61,0))*'Repair Costs'!E$29*$N111</x:f>
        <x:v>1946.6225183247836</x:v>
      </x:c>
      <x:c r="I111" s="28" t="n">
        <x:f>'Fee Calculation'!M77</x:f>
        <x:v>616.5557227461222</x:v>
      </x:c>
      <x:c r="J111" s="33" t="n">
        <x:f>INDEX('Loss Calibration'!$E$8:$H$13,M111,2)</x:f>
        <x:v>0.3946472110324642</x:v>
      </x:c>
      <x:c r="K111" s="3" t="str">
        <x:v>SUV / crossover</x:v>
      </x:c>
      <x:c r="L111" s="48" t="n">
        <x:v>23</x:v>
      </x:c>
      <x:c r="M111" s="48" t="n">
        <x:v>6</x:v>
      </x:c>
      <x:c r="N111" s="33" t="n">
        <x:f>IF(($L111/'Volume Build'!$D$23)&gt;=31,0,INDEX('AD Fleet'!$I$6:$I$37,INT(($L111/'Volume Build'!$D$23))+1)+(($L111/'Volume Build'!$D$23)-INT(($L111/'Volume Build'!$D$23)))*(INDEX('AD Fleet'!$I$6:$I$37,MIN(INT(($L111/'Volume Build'!$D$23))+2,32))-INDEX('AD Fleet'!$I$6:$I$37,INT(($L111/'Volume Build'!$D$23))+1)))</x:f>
        <x:v>0.2905878070973612</x:v>
      </x:c>
      <x:c r="O111" s="33" t="n">
        <x:f>IF(L111=0,'Volume Build'!$D$25,1)*EXP(-'Volume Build'!$D$24*MAX(L111-6,0))*'Vehicle Economics'!E$10</x:f>
        <x:v>0.2155440461146476</x:v>
      </x:c>
    </x:row>
    <x:row r="112" ht="18" customHeight="1">
      <x:c r="A112" s="2"/>
      <x:c r="B112" s="2"/>
      <x:c r="C112" s="2" t="str">
        <x:v>SUV / crossover / 24</x:v>
      </x:c>
      <x:c r="D112" s="28" t="n">
        <x:f>INDEX('AD Fleet'!$E$6:$E$61,MATCH(1999,'AD Fleet'!$C$6:$C$61,0))*'Repair Costs'!E$29*$N112</x:f>
        <x:v>1521.4539734158966</x:v>
      </x:c>
      <x:c r="E112" s="28" t="n">
        <x:f>INDEX('AD Fleet'!$E$6:$E$61,MATCH(2000,'AD Fleet'!$C$6:$C$61,0))*'Repair Costs'!E$29*$N112</x:f>
        <x:v>1580.4425890085108</x:v>
      </x:c>
      <x:c r="F112" s="28" t="n">
        <x:f>INDEX('AD Fleet'!$E$6:$E$61,MATCH(2001,'AD Fleet'!$C$6:$C$61,0))*'Repair Costs'!E$29*$N112</x:f>
        <x:v>1620.3965395057448</x:v>
      </x:c>
      <x:c r="G112" s="28" t="n">
        <x:f>INDEX('AD Fleet'!$E$6:$E$61,MATCH(2002,'AD Fleet'!$C$6:$C$61,0))*'Repair Costs'!E$29*$N112</x:f>
        <x:v>1626.9927105784013</x:v>
      </x:c>
      <x:c r="H112" s="28" t="n">
        <x:f>INDEX('AD Fleet'!$E$6:$E$61,MATCH(2003,'AD Fleet'!$C$6:$C$61,0))*'Repair Costs'!E$29*$N112</x:f>
        <x:v>1684.473629925837</x:v>
      </x:c>
      <x:c r="I112" s="28" t="n">
        <x:f>'Fee Calculation'!M78</x:f>
        <x:v>583.1374535094892</x:v>
      </x:c>
      <x:c r="J112" s="33" t="n">
        <x:f>INDEX('Loss Calibration'!$E$8:$H$13,M112,2)</x:f>
        <x:v>0.3946472110324642</x:v>
      </x:c>
      <x:c r="K112" s="3" t="str">
        <x:v>SUV / crossover</x:v>
      </x:c>
      <x:c r="L112" s="48" t="n">
        <x:v>24</x:v>
      </x:c>
      <x:c r="M112" s="48" t="n">
        <x:v>6</x:v>
      </x:c>
      <x:c r="N112" s="33" t="n">
        <x:f>IF(($L112/'Volume Build'!$D$23)&gt;=31,0,INDEX('AD Fleet'!$I$6:$I$37,INT(($L112/'Volume Build'!$D$23))+1)+(($L112/'Volume Build'!$D$23)-INT(($L112/'Volume Build'!$D$23)))*(INDEX('AD Fleet'!$I$6:$I$37,MIN(INT(($L112/'Volume Build'!$D$23))+2,32))-INDEX('AD Fleet'!$I$6:$I$37,INT(($L112/'Volume Build'!$D$23))+1)))</x:f>
        <x:v>0.2603448589626933</x:v>
      </x:c>
      <x:c r="O112" s="33" t="n">
        <x:f>IF(L112=0,'Volume Build'!$D$25,1)*EXP(-'Volume Build'!$D$24*MAX(L112-6,0))*'Vehicle Economics'!E$10</x:f>
        <x:v>0.19693924476854713</x:v>
      </x:c>
    </x:row>
    <x:row r="113" ht="18" customHeight="1">
      <x:c r="A113" s="2"/>
      <x:c r="B113" s="2"/>
      <x:c r="C113" s="2" t="str">
        <x:v>SUV / crossover / 25</x:v>
      </x:c>
      <x:c r="D113" s="28" t="n">
        <x:f>INDEX('AD Fleet'!$E$6:$E$61,MATCH(1998,'AD Fleet'!$C$6:$C$61,0))*'Repair Costs'!E$29*$N113</x:f>
        <x:v>1228.7849778720797</x:v>
      </x:c>
      <x:c r="E113" s="28" t="n">
        <x:f>INDEX('AD Fleet'!$E$6:$E$61,MATCH(1999,'AD Fleet'!$C$6:$C$61,0))*'Repair Costs'!E$29*$N113</x:f>
        <x:v>1359.0877005564184</x:v>
      </x:c>
      <x:c r="F113" s="28" t="n">
        <x:f>INDEX('AD Fleet'!$E$6:$E$61,MATCH(2000,'AD Fleet'!$C$6:$C$61,0))*'Repair Costs'!E$29*$N113</x:f>
        <x:v>1411.781178851248</x:v>
      </x:c>
      <x:c r="G113" s="28" t="n">
        <x:f>INDEX('AD Fleet'!$E$6:$E$61,MATCH(2001,'AD Fleet'!$C$6:$C$61,0))*'Repair Costs'!E$29*$N113</x:f>
        <x:v>1447.4713302841676</x:v>
      </x:c>
      <x:c r="H113" s="28" t="n">
        <x:f>INDEX('AD Fleet'!$E$6:$E$61,MATCH(2002,'AD Fleet'!$C$6:$C$61,0))*'Repair Costs'!E$29*$N113</x:f>
        <x:v>1453.3635722660174</x:v>
      </x:c>
      <x:c r="I113" s="28" t="n">
        <x:f>'Fee Calculation'!M79</x:f>
        <x:v>572.6634288267173</x:v>
      </x:c>
      <x:c r="J113" s="33" t="n">
        <x:f>INDEX('Loss Calibration'!$E$8:$H$13,M113,2)</x:f>
        <x:v>0.3946472110324642</x:v>
      </x:c>
      <x:c r="K113" s="3" t="str">
        <x:v>SUV / crossover</x:v>
      </x:c>
      <x:c r="L113" s="48" t="n">
        <x:v>25</x:v>
      </x:c>
      <x:c r="M113" s="48" t="n">
        <x:v>6</x:v>
      </x:c>
      <x:c r="N113" s="33" t="n">
        <x:f>IF(($L113/'Volume Build'!$D$23)&gt;=31,0,INDEX('AD Fleet'!$I$6:$I$37,INT(($L113/'Volume Build'!$D$23))+1)+(($L113/'Volume Build'!$D$23)-INT(($L113/'Volume Build'!$D$23)))*(INDEX('AD Fleet'!$I$6:$I$37,MIN(INT(($L113/'Volume Build'!$D$23))+2,32))-INDEX('AD Fleet'!$I$6:$I$37,INT(($L113/'Volume Build'!$D$23))+1)))</x:f>
        <x:v>0.23256141947224745</x:v>
      </x:c>
      <x:c r="O113" s="33" t="n">
        <x:f>IF(L113=0,'Volume Build'!$D$25,1)*EXP(-'Volume Build'!$D$24*MAX(L113-6,0))*'Vehicle Economics'!E$10</x:f>
        <x:v>0.17994032695004702</x:v>
      </x:c>
    </x:row>
    <x:row r="114" ht="18" customHeight="1">
      <x:c r="A114" s="2"/>
      <x:c r="B114" s="2"/>
      <x:c r="C114" s="2" t="str">
        <x:v>SUV / crossover / 26</x:v>
      </x:c>
      <x:c r="D114" s="28" t="n">
        <x:f>INDEX('AD Fleet'!$E$6:$E$61,MATCH(1997,'AD Fleet'!$C$6:$C$61,0))*'Repair Costs'!E$29*$N114</x:f>
        <x:v>1019.6718990586775</x:v>
      </x:c>
      <x:c r="E114" s="28" t="n">
        <x:f>INDEX('AD Fleet'!$E$6:$E$61,MATCH(1998,'AD Fleet'!$C$6:$C$61,0))*'Repair Costs'!E$29*$N114</x:f>
        <x:v>1094.9809020493287</x:v>
      </x:c>
      <x:c r="F114" s="28" t="n">
        <x:f>INDEX('AD Fleet'!$E$6:$E$61,MATCH(1999,'AD Fleet'!$C$6:$C$61,0))*'Repair Costs'!E$29*$N114</x:f>
        <x:v>1211.0947831544363</x:v>
      </x:c>
      <x:c r="G114" s="28" t="n">
        <x:f>INDEX('AD Fleet'!$E$6:$E$61,MATCH(2000,'AD Fleet'!$C$6:$C$61,0))*'Repair Costs'!E$29*$N114</x:f>
        <x:v>1258.05039657291</x:v>
      </x:c>
      <x:c r="H114" s="28" t="n">
        <x:f>INDEX('AD Fleet'!$E$6:$E$61,MATCH(2001,'AD Fleet'!$C$6:$C$61,0))*'Repair Costs'!E$29*$N114</x:f>
        <x:v>1289.854198632707</x:v>
      </x:c>
      <x:c r="I114" s="28" t="n">
        <x:f>'Fee Calculation'!M80</x:f>
        <x:v>511.341373239038</x:v>
      </x:c>
      <x:c r="J114" s="33" t="n">
        <x:f>INDEX('Loss Calibration'!$E$8:$H$13,M114,2)</x:f>
        <x:v>0.3946472110324642</x:v>
      </x:c>
      <x:c r="K114" s="3" t="str">
        <x:v>SUV / crossover</x:v>
      </x:c>
      <x:c r="L114" s="48" t="n">
        <x:v>26</x:v>
      </x:c>
      <x:c r="M114" s="48" t="n">
        <x:v>6</x:v>
      </x:c>
      <x:c r="N114" s="33" t="n">
        <x:f>IF(($L114/'Volume Build'!$D$23)&gt;=31,0,INDEX('AD Fleet'!$I$6:$I$37,INT(($L114/'Volume Build'!$D$23))+1)+(($L114/'Volume Build'!$D$23)-INT(($L114/'Volume Build'!$D$23)))*(INDEX('AD Fleet'!$I$6:$I$37,MIN(INT(($L114/'Volume Build'!$D$23))+2,32))-INDEX('AD Fleet'!$I$6:$I$37,INT(($L114/'Volume Build'!$D$23))+1)))</x:f>
        <x:v>0.20723748862602367</x:v>
      </x:c>
      <x:c r="O114" s="33" t="n">
        <x:f>IF(L114=0,'Volume Build'!$D$25,1)*EXP(-'Volume Build'!$D$24*MAX(L114-6,0))*'Vehicle Economics'!E$10</x:f>
        <x:v>0.16440867995072633</x:v>
      </x:c>
    </x:row>
    <x:row r="115" ht="18" customHeight="1">
      <x:c r="A115" s="2"/>
      <x:c r="B115" s="2"/>
      <x:c r="C115" s="2" t="str">
        <x:v>SUV / crossover / 27</x:v>
      </x:c>
      <x:c r="D115" s="28" t="n">
        <x:f>INDEX('AD Fleet'!$E$6:$E$61,MATCH(1996,'AD Fleet'!$C$6:$C$61,0))*'Repair Costs'!E$29*$N115</x:f>
        <x:v>870.0682481193681</x:v>
      </x:c>
      <x:c r="E115" s="28" t="n">
        <x:f>INDEX('AD Fleet'!$E$6:$E$61,MATCH(1997,'AD Fleet'!$C$6:$C$61,0))*'Repair Costs'!E$29*$N115</x:f>
        <x:v>907.1719408601541</x:v>
      </x:c>
      <x:c r="F115" s="28" t="n">
        <x:f>INDEX('AD Fleet'!$E$6:$E$61,MATCH(1998,'AD Fleet'!$C$6:$C$61,0))*'Repair Costs'!E$29*$N115</x:f>
        <x:v>974.1721342266096</x:v>
      </x:c>
      <x:c r="G115" s="28" t="n">
        <x:f>INDEX('AD Fleet'!$E$6:$E$61,MATCH(1999,'AD Fleet'!$C$6:$C$61,0))*'Repair Costs'!E$29*$N115</x:f>
        <x:v>1077.4752212099493</x:v>
      </x:c>
      <x:c r="H115" s="28" t="n">
        <x:f>INDEX('AD Fleet'!$E$6:$E$61,MATCH(2000,'AD Fleet'!$C$6:$C$61,0))*'Repair Costs'!E$29*$N115</x:f>
        <x:v>1119.250242173496</x:v>
      </x:c>
      <x:c r="I115" s="28" t="n">
        <x:f>'Fee Calculation'!M81</x:f>
        <x:v>489.13303432949226</x:v>
      </x:c>
      <x:c r="J115" s="33" t="n">
        <x:f>INDEX('Loss Calibration'!$E$8:$H$13,M115,2)</x:f>
        <x:v>0.3946472110324642</x:v>
      </x:c>
      <x:c r="K115" s="3" t="str">
        <x:v>SUV / crossover</x:v>
      </x:c>
      <x:c r="L115" s="48" t="n">
        <x:v>27</x:v>
      </x:c>
      <x:c r="M115" s="48" t="n">
        <x:v>6</x:v>
      </x:c>
      <x:c r="N115" s="33" t="n">
        <x:f>IF(($L115/'Volume Build'!$D$23)&gt;=31,0,INDEX('AD Fleet'!$I$6:$I$37,INT(($L115/'Volume Build'!$D$23))+1)+(($L115/'Volume Build'!$D$23)-INT(($L115/'Volume Build'!$D$23)))*(INDEX('AD Fleet'!$I$6:$I$37,MIN(INT(($L115/'Volume Build'!$D$23))+2,32))-INDEX('AD Fleet'!$I$6:$I$37,INT(($L115/'Volume Build'!$D$23))+1)))</x:f>
        <x:v>0.18437306642402182</x:v>
      </x:c>
      <x:c r="O115" s="33" t="n">
        <x:f>IF(L115=0,'Volume Build'!$D$25,1)*EXP(-'Volume Build'!$D$24*MAX(L115-6,0))*'Vehicle Economics'!E$10</x:f>
        <x:v>0.15021765549333577</x:v>
      </x:c>
    </x:row>
    <x:row r="116" ht="18" customHeight="1">
      <x:c r="A116" s="2"/>
      <x:c r="B116" s="2"/>
      <x:c r="C116" s="2" t="str">
        <x:v>SUV / crossover / 28</x:v>
      </x:c>
      <x:c r="D116" s="28" t="n">
        <x:f>INDEX('AD Fleet'!$E$6:$E$61,MATCH(1995,'AD Fleet'!$C$6:$C$61,0))*'Repair Costs'!E$29*$N116</x:f>
        <x:v>718.4640438644944</x:v>
      </x:c>
      <x:c r="E116" s="28" t="n">
        <x:f>INDEX('AD Fleet'!$E$6:$E$61,MATCH(1996,'AD Fleet'!$C$6:$C$61,0))*'Repair Costs'!E$29*$N116</x:f>
        <x:v>773.77616090412</x:v>
      </x:c>
      <x:c r="F116" s="28" t="n">
        <x:f>INDEX('AD Fleet'!$E$6:$E$61,MATCH(1997,'AD Fleet'!$C$6:$C$61,0))*'Repair Costs'!E$29*$N116</x:f>
        <x:v>806.7735182796907</x:v>
      </x:c>
      <x:c r="G116" s="28" t="n">
        <x:f>INDEX('AD Fleet'!$E$6:$E$61,MATCH(1998,'AD Fleet'!$C$6:$C$61,0))*'Repair Costs'!E$29*$N116</x:f>
        <x:v>866.3586744039228</x:v>
      </x:c>
      <x:c r="H116" s="28" t="n">
        <x:f>INDEX('AD Fleet'!$E$6:$E$61,MATCH(1999,'AD Fleet'!$C$6:$C$61,0))*'Repair Costs'!E$29*$N116</x:f>
        <x:v>958.2290147229577</x:v>
      </x:c>
      <x:c r="I116" s="28" t="n">
        <x:f>'Fee Calculation'!M82</x:f>
        <x:v>461.00379987988555</x:v>
      </x:c>
      <x:c r="J116" s="33" t="n">
        <x:f>INDEX('Loss Calibration'!$E$8:$H$13,M116,2)</x:f>
        <x:v>0.3946472110324642</x:v>
      </x:c>
      <x:c r="K116" s="3" t="str">
        <x:v>SUV / crossover</x:v>
      </x:c>
      <x:c r="L116" s="48" t="n">
        <x:v>28</x:v>
      </x:c>
      <x:c r="M116" s="48" t="n">
        <x:v>6</x:v>
      </x:c>
      <x:c r="N116" s="33" t="n">
        <x:f>IF(($L116/'Volume Build'!$D$23)&gt;=31,0,INDEX('AD Fleet'!$I$6:$I$37,INT(($L116/'Volume Build'!$D$23))+1)+(($L116/'Volume Build'!$D$23)-INT(($L116/'Volume Build'!$D$23)))*(INDEX('AD Fleet'!$I$6:$I$37,MIN(INT(($L116/'Volume Build'!$D$23))+2,32))-INDEX('AD Fleet'!$I$6:$I$37,INT(($L116/'Volume Build'!$D$23))+1)))</x:f>
        <x:v>0.163968152866242</x:v>
      </x:c>
      <x:c r="O116" s="33" t="n">
        <x:f>IF(L116=0,'Volume Build'!$D$25,1)*EXP(-'Volume Build'!$D$24*MAX(L116-6,0))*'Vehicle Economics'!E$10</x:f>
        <x:v>0.1372515370154264</x:v>
      </x:c>
    </x:row>
    <x:row r="117" ht="18" customHeight="1">
      <x:c r="A117" s="2"/>
      <x:c r="B117" s="2"/>
      <x:c r="C117" s="2" t="str">
        <x:v>SUV / crossover / 29</x:v>
      </x:c>
      <x:c r="D117" s="28" t="n">
        <x:f>INDEX('AD Fleet'!$E$6:$E$61,MATCH(1994,'AD Fleet'!$C$6:$C$61,0))*'Repair Costs'!E$29*$N117</x:f>
        <x:v>634.3323272468132</x:v>
      </x:c>
      <x:c r="E117" s="28" t="n">
        <x:f>INDEX('AD Fleet'!$E$6:$E$61,MATCH(1995,'AD Fleet'!$C$6:$C$61,0))*'Repair Costs'!E$29*$N117</x:f>
        <x:v>636.4352025236136</x:v>
      </x:c>
      <x:c r="F117" s="28" t="n">
        <x:f>INDEX('AD Fleet'!$E$6:$E$61,MATCH(1996,'AD Fleet'!$C$6:$C$61,0))*'Repair Costs'!E$29*$N117</x:f>
        <x:v>685.4321964730608</x:v>
      </x:c>
      <x:c r="G117" s="28" t="n">
        <x:f>INDEX('AD Fleet'!$E$6:$E$61,MATCH(1997,'AD Fleet'!$C$6:$C$61,0))*'Repair Costs'!E$29*$N117</x:f>
        <x:v>714.6621628205851</x:v>
      </x:c>
      <x:c r="H117" s="28" t="n">
        <x:f>INDEX('AD Fleet'!$E$6:$E$61,MATCH(1998,'AD Fleet'!$C$6:$C$61,0))*'Repair Costs'!E$29*$N117</x:f>
        <x:v>767.4443322682729</x:v>
      </x:c>
      <x:c r="I117" s="28" t="n">
        <x:f>'Fee Calculation'!M83</x:f>
        <x:v>441.2973514600743</x:v>
      </x:c>
      <x:c r="J117" s="33" t="n">
        <x:f>INDEX('Loss Calibration'!$E$8:$H$13,M117,2)</x:f>
        <x:v>0.3946472110324642</x:v>
      </x:c>
      <x:c r="K117" s="3" t="str">
        <x:v>SUV / crossover</x:v>
      </x:c>
      <x:c r="L117" s="48" t="n">
        <x:v>29</x:v>
      </x:c>
      <x:c r="M117" s="48" t="n">
        <x:v>6</x:v>
      </x:c>
      <x:c r="N117" s="33" t="n">
        <x:f>IF(($L117/'Volume Build'!$D$23)&gt;=31,0,INDEX('AD Fleet'!$I$6:$I$37,INT(($L117/'Volume Build'!$D$23))+1)+(($L117/'Volume Build'!$D$23)-INT(($L117/'Volume Build'!$D$23)))*(INDEX('AD Fleet'!$I$6:$I$37,MIN(INT(($L117/'Volume Build'!$D$23))+2,32))-INDEX('AD Fleet'!$I$6:$I$37,INT(($L117/'Volume Build'!$D$23))+1)))</x:f>
        <x:v>0.14524749772520476</x:v>
      </x:c>
      <x:c r="O117" s="33" t="n">
        <x:f>IF(L117=0,'Volume Build'!$D$25,1)*EXP(-'Volume Build'!$D$24*MAX(L117-6,0))*'Vehicle Economics'!E$10</x:f>
        <x:v>0.12540459609245258</x:v>
      </x:c>
    </x:row>
    <x:row r="118" ht="18" customHeight="1">
      <x:c r="A118" s="2"/>
      <x:c r="B118" s="2"/>
      <x:c r="C118" s="2" t="str">
        <x:v>SUV / crossover / 30</x:v>
      </x:c>
      <x:c r="D118" s="28" t="n">
        <x:f>INDEX('AD Fleet'!$E$6:$E$61,MATCH(1993,'AD Fleet'!$C$6:$C$61,0))*'Repair Costs'!E$29*$N118</x:f>
        <x:v>496.74211095364245</x:v>
      </x:c>
      <x:c r="E118" s="28" t="n">
        <x:f>INDEX('AD Fleet'!$E$6:$E$61,MATCH(1994,'AD Fleet'!$C$6:$C$61,0))*'Repair Costs'!E$29*$N118</x:f>
        <x:v>560.0532901108811</x:v>
      </x:c>
      <x:c r="F118" s="28" t="n">
        <x:f>INDEX('AD Fleet'!$E$6:$E$61,MATCH(1995,'AD Fleet'!$C$6:$C$61,0))*'Repair Costs'!E$29*$N118</x:f>
        <x:v>561.9099229307415</x:v>
      </x:c>
      <x:c r="G118" s="28" t="n">
        <x:f>INDEX('AD Fleet'!$E$6:$E$61,MATCH(1996,'AD Fleet'!$C$6:$C$61,0))*'Repair Costs'!E$29*$N118</x:f>
        <x:v>605.1694676334881</x:v>
      </x:c>
      <x:c r="H118" s="28" t="n">
        <x:f>INDEX('AD Fleet'!$E$6:$E$61,MATCH(1997,'AD Fleet'!$C$6:$C$61,0))*'Repair Costs'!E$29*$N118</x:f>
        <x:v>630.9766638295473</x:v>
      </x:c>
      <x:c r="I118" s="28" t="n">
        <x:f>'Fee Calculation'!M84</x:f>
        <x:v>419.98535098259026</x:v>
      </x:c>
      <x:c r="J118" s="33" t="n">
        <x:f>INDEX('Loss Calibration'!$E$8:$H$13,M118,2)</x:f>
        <x:v>0.3946472110324642</x:v>
      </x:c>
      <x:c r="K118" s="3" t="str">
        <x:v>SUV / crossover</x:v>
      </x:c>
      <x:c r="L118" s="48" t="n">
        <x:v>30</x:v>
      </x:c>
      <x:c r="M118" s="48" t="n">
        <x:v>6</x:v>
      </x:c>
      <x:c r="N118" s="33" t="n">
        <x:f>IF(($L118/'Volume Build'!$D$23)&gt;=31,0,INDEX('AD Fleet'!$I$6:$I$37,INT(($L118/'Volume Build'!$D$23))+1)+(($L118/'Volume Build'!$D$23)-INT(($L118/'Volume Build'!$D$23)))*(INDEX('AD Fleet'!$I$6:$I$37,MIN(INT(($L118/'Volume Build'!$D$23))+2,32))-INDEX('AD Fleet'!$I$6:$I$37,INT(($L118/'Volume Build'!$D$23))+1)))</x:f>
        <x:v>0.1282393084622384</x:v>
      </x:c>
      <x:c r="O118" s="33" t="n">
        <x:f>IF(L118=0,'Volume Build'!$D$25,1)*EXP(-'Volume Build'!$D$24*MAX(L118-6,0))*'Vehicle Economics'!E$10</x:f>
        <x:v>0.11458023030622685</x:v>
      </x:c>
    </x:row>
    <x:row r="119" ht="18" customHeight="1">
      <x:c r="A119" s="2"/>
      <x:c r="B119" s="2"/>
      <x:c r="C119" s="2" t="str">
        <x:v>SUV / crossover / 31</x:v>
      </x:c>
      <x:c r="D119" s="28" t="n">
        <x:f>INDEX('AD Fleet'!$E$6:$E$61,MATCH(1992,'AD Fleet'!$C$6:$C$61,0))*'Repair Costs'!E$29*$N119</x:f>
        <x:v>381.6280714454813</x:v>
      </x:c>
      <x:c r="E119" s="28" t="n">
        <x:f>INDEX('AD Fleet'!$E$6:$E$61,MATCH(1993,'AD Fleet'!$C$6:$C$61,0))*'Repair Costs'!E$29*$N119</x:f>
        <x:v>441.15182767439416</x:v>
      </x:c>
      <x:c r="F119" s="28" t="n">
        <x:f>INDEX('AD Fleet'!$E$6:$E$61,MATCH(1994,'AD Fleet'!$C$6:$C$61,0))*'Repair Costs'!E$29*$N119</x:f>
        <x:v>497.37786887677436</x:v>
      </x:c>
      <x:c r="G119" s="28" t="n">
        <x:f>INDEX('AD Fleet'!$E$6:$E$61,MATCH(1995,'AD Fleet'!$C$6:$C$61,0))*'Repair Costs'!E$29*$N119</x:f>
        <x:v>499.0267263900407</x:v>
      </x:c>
      <x:c r="H119" s="28" t="n">
        <x:f>INDEX('AD Fleet'!$E$6:$E$61,MATCH(1996,'AD Fleet'!$C$6:$C$61,0))*'Repair Costs'!E$29*$N119</x:f>
        <x:v>537.4451064491451</x:v>
      </x:c>
      <x:c r="I119" s="28" t="n">
        <x:f>'Fee Calculation'!M85</x:f>
        <x:v>394.54215708553676</x:v>
      </x:c>
      <x:c r="J119" s="33" t="n">
        <x:f>INDEX('Loss Calibration'!$E$8:$H$13,M119,2)</x:f>
        <x:v>0.3946472110324642</x:v>
      </x:c>
      <x:c r="K119" s="3" t="str">
        <x:v>SUV / crossover</x:v>
      </x:c>
      <x:c r="L119" s="48" t="n">
        <x:v>31</x:v>
      </x:c>
      <x:c r="M119" s="48" t="n">
        <x:v>6</x:v>
      </x:c>
      <x:c r="N119" s="33" t="n">
        <x:f>IF(($L119/'Volume Build'!$D$23)&gt;=31,0,INDEX('AD Fleet'!$I$6:$I$37,INT(($L119/'Volume Build'!$D$23))+1)+(($L119/'Volume Build'!$D$23)-INT(($L119/'Volume Build'!$D$23)))*(INDEX('AD Fleet'!$I$6:$I$37,MIN(INT(($L119/'Volume Build'!$D$23))+2,32))-INDEX('AD Fleet'!$I$6:$I$37,INT(($L119/'Volume Build'!$D$23))+1)))</x:f>
        <x:v>0.11388808007279344</x:v>
      </x:c>
      <x:c r="O119" s="33" t="n">
        <x:f>IF(L119=0,'Volume Build'!$D$25,1)*EXP(-'Volume Build'!$D$24*MAX(L119-6,0))*'Vehicle Economics'!E$10</x:f>
        <x:v>0.10469017552872706</x:v>
      </x:c>
    </x:row>
    <x:row r="120" ht="18" customHeight="1">
      <x:c r="A120" s="2"/>
      <x:c r="B120" s="2"/>
      <x:c r="C120" s="2" t="str">
        <x:v>SUV / crossover / 32</x:v>
      </x:c>
      <x:c r="D120" s="28" t="n">
        <x:f>INDEX('AD Fleet'!$E$6:$E$61,MATCH(1991,'AD Fleet'!$C$6:$C$61,0))*'Repair Costs'!E$29*$N120</x:f>
        <x:v>299.8035914516011</x:v>
      </x:c>
      <x:c r="E120" s="28" t="n">
        <x:f>INDEX('AD Fleet'!$E$6:$E$61,MATCH(1992,'AD Fleet'!$C$6:$C$61,0))*'Repair Costs'!E$29*$N120</x:f>
        <x:v>336.6789968048183</x:v>
      </x:c>
      <x:c r="F120" s="28" t="n">
        <x:f>INDEX('AD Fleet'!$E$6:$E$61,MATCH(1993,'AD Fleet'!$C$6:$C$61,0))*'Repair Costs'!E$29*$N120</x:f>
        <x:v>389.1919014695578</x:v>
      </x:c>
      <x:c r="G120" s="28" t="n">
        <x:f>INDEX('AD Fleet'!$E$6:$E$61,MATCH(1994,'AD Fleet'!$C$6:$C$61,0))*'Repair Costs'!E$29*$N120</x:f>
        <x:v>438.7955039368047</x:v>
      </x:c>
      <x:c r="H120" s="28" t="n">
        <x:f>INDEX('AD Fleet'!$E$6:$E$61,MATCH(1995,'AD Fleet'!$C$6:$C$61,0))*'Repair Costs'!E$29*$N120</x:f>
        <x:v>440.250155035551</x:v>
      </x:c>
      <x:c r="I120" s="28" t="n">
        <x:f>'Fee Calculation'!M86</x:f>
        <x:v>366.1945685052201</x:v>
      </x:c>
      <x:c r="J120" s="33" t="n">
        <x:f>INDEX('Loss Calibration'!$E$8:$H$13,M120,2)</x:f>
        <x:v>0.3946472110324642</x:v>
      </x:c>
      <x:c r="K120" s="3" t="str">
        <x:v>SUV / crossover</x:v>
      </x:c>
      <x:c r="L120" s="48" t="n">
        <x:v>32</x:v>
      </x:c>
      <x:c r="M120" s="48" t="n">
        <x:v>6</x:v>
      </x:c>
      <x:c r="N120" s="33" t="n">
        <x:f>IF(($L120/'Volume Build'!$D$23)&gt;=31,0,INDEX('AD Fleet'!$I$6:$I$37,INT(($L120/'Volume Build'!$D$23))+1)+(($L120/'Volume Build'!$D$23)-INT(($L120/'Volume Build'!$D$23)))*(INDEX('AD Fleet'!$I$6:$I$37,MIN(INT(($L120/'Volume Build'!$D$23))+2,32))-INDEX('AD Fleet'!$I$6:$I$37,INT(($L120/'Volume Build'!$D$23))+1)))</x:f>
        <x:v>0.10047406733393992</x:v>
      </x:c>
      <x:c r="O120" s="33" t="n">
        <x:f>IF(L120=0,'Volume Build'!$D$25,1)*EXP(-'Volume Build'!$D$24*MAX(L120-6,0))*'Vehicle Economics'!E$10</x:f>
        <x:v>0.09565378619805467</x:v>
      </x:c>
    </x:row>
    <x:row r="121" ht="18" customHeight="1">
      <x:c r="A121" s="2"/>
      <x:c r="B121" s="2"/>
      <x:c r="C121" s="2" t="str">
        <x:v>SUV / crossover / 33</x:v>
      </x:c>
      <x:c r="D121" s="28" t="n">
        <x:f>INDEX('AD Fleet'!$E$6:$E$61,MATCH(1990,'AD Fleet'!$C$6:$C$61,0))*'Repair Costs'!E$29*$N121</x:f>
        <x:v>287.4399502878723</x:v>
      </x:c>
      <x:c r="E121" s="28" t="n">
        <x:f>INDEX('AD Fleet'!$E$6:$E$61,MATCH(1991,'AD Fleet'!$C$6:$C$61,0))*'Repair Costs'!E$29*$N121</x:f>
        <x:v>260.51615547198986</x:v>
      </x:c>
      <x:c r="F121" s="28" t="n">
        <x:f>INDEX('AD Fleet'!$E$6:$E$61,MATCH(1992,'AD Fleet'!$C$6:$C$61,0))*'Repair Costs'!E$29*$N121</x:f>
        <x:v>292.5592633866669</x:v>
      </x:c>
      <x:c r="G121" s="28" t="n">
        <x:f>INDEX('AD Fleet'!$E$6:$E$61,MATCH(1993,'AD Fleet'!$C$6:$C$61,0))*'Repair Costs'!E$29*$N121</x:f>
        <x:v>338.19067150184804</x:v>
      </x:c>
      <x:c r="H121" s="28" t="n">
        <x:f>INDEX('AD Fleet'!$E$6:$E$61,MATCH(1994,'AD Fleet'!$C$6:$C$61,0))*'Repair Costs'!E$29*$N121</x:f>
        <x:v>381.2940237657726</x:v>
      </x:c>
      <x:c r="I121" s="28" t="n">
        <x:f>'Fee Calculation'!M87</x:f>
        <x:v>356.7965918701047</x:v>
      </x:c>
      <x:c r="J121" s="33" t="n">
        <x:f>INDEX('Loss Calibration'!$E$8:$H$13,M121,2)</x:f>
        <x:v>0.3946472110324642</x:v>
      </x:c>
      <x:c r="K121" s="3" t="str">
        <x:v>SUV / crossover</x:v>
      </x:c>
      <x:c r="L121" s="48" t="n">
        <x:v>33</x:v>
      </x:c>
      <x:c r="M121" s="48" t="n">
        <x:v>6</x:v>
      </x:c>
      <x:c r="N121" s="33" t="n">
        <x:f>IF(($L121/'Volume Build'!$D$23)&gt;=31,0,INDEX('AD Fleet'!$I$6:$I$37,INT(($L121/'Volume Build'!$D$23))+1)+(($L121/'Volume Build'!$D$23)-INT(($L121/'Volume Build'!$D$23)))*(INDEX('AD Fleet'!$I$6:$I$37,MIN(INT(($L121/'Volume Build'!$D$23))+2,32))-INDEX('AD Fleet'!$I$6:$I$37,INT(($L121/'Volume Build'!$D$23))+1)))</x:f>
        <x:v>0.08730755232029119</x:v>
      </x:c>
      <x:c r="O121" s="33" t="n">
        <x:f>IF(L121=0,'Volume Build'!$D$25,1)*EXP(-'Volume Build'!$D$24*MAX(L121-6,0))*'Vehicle Economics'!E$10</x:f>
        <x:v>0.08739737771776383</x:v>
      </x:c>
    </x:row>
    <x:row r="122" ht="18" customHeight="1">
      <x:c r="A122" s="2"/>
      <x:c r="B122" s="2"/>
      <x:c r="C122" s="2" t="str">
        <x:v>SUV / crossover / 34</x:v>
      </x:c>
      <x:c r="D122" s="28" t="n">
        <x:f>INDEX('AD Fleet'!$E$6:$E$61,MATCH(1989,'AD Fleet'!$C$6:$C$61,0))*'Repair Costs'!E$29*$N122</x:f>
        <x:v>103.09335275028768</x:v>
      </x:c>
      <x:c r="E122" s="28" t="n">
        <x:f>INDEX('AD Fleet'!$E$6:$E$61,MATCH(1990,'AD Fleet'!$C$6:$C$61,0))*'Repair Costs'!E$29*$N122</x:f>
        <x:v>101.7068477892209</x:v>
      </x:c>
      <x:c r="F122" s="28" t="n">
        <x:f>INDEX('AD Fleet'!$E$6:$E$61,MATCH(1991,'AD Fleet'!$C$6:$C$61,0))*'Repair Costs'!E$29*$N122</x:f>
        <x:v>92.18021692769759</x:v>
      </x:c>
      <x:c r="G122" s="28" t="n">
        <x:f>INDEX('AD Fleet'!$E$6:$E$61,MATCH(1992,'AD Fleet'!$C$6:$C$61,0))*'Repair Costs'!E$29*$N122</x:f>
        <x:v>103.5182494319049</x:v>
      </x:c>
      <x:c r="H122" s="28" t="n">
        <x:f>INDEX('AD Fleet'!$E$6:$E$61,MATCH(1993,'AD Fleet'!$C$6:$C$61,0))*'Repair Costs'!E$29*$N122</x:f>
        <x:v>119.66432333335996</x:v>
      </x:c>
      <x:c r="I122" s="28" t="n">
        <x:f>'Fee Calculation'!M88</x:f>
        <x:v>350.07923159209423</x:v>
      </x:c>
      <x:c r="J122" s="33" t="n">
        <x:f>INDEX('Loss Calibration'!$E$8:$H$13,M122,2)</x:f>
        <x:v>0.3946472110324642</x:v>
      </x:c>
      <x:c r="K122" s="3" t="str">
        <x:v>SUV / crossover</x:v>
      </x:c>
      <x:c r="L122" s="48" t="n">
        <x:v>34</x:v>
      </x:c>
      <x:c r="M122" s="48" t="n">
        <x:v>6</x:v>
      </x:c>
      <x:c r="N122" s="33" t="n">
        <x:f>IF(($L122/'Volume Build'!$D$23)&gt;=31,0,INDEX('AD Fleet'!$I$6:$I$37,INT(($L122/'Volume Build'!$D$23))+1)+(($L122/'Volume Build'!$D$23)-INT(($L122/'Volume Build'!$D$23)))*(INDEX('AD Fleet'!$I$6:$I$37,MIN(INT(($L122/'Volume Build'!$D$23))+2,32))-INDEX('AD Fleet'!$I$6:$I$37,INT(($L122/'Volume Build'!$D$23))+1)))</x:f>
        <x:v>0.03089262966333025</x:v>
      </x:c>
      <x:c r="O122" s="33" t="n">
        <x:f>IF(L122=0,'Volume Build'!$D$25,1)*EXP(-'Volume Build'!$D$24*MAX(L122-6,0))*'Vehicle Economics'!E$10</x:f>
        <x:v>0.0798536256173498</x:v>
      </x:c>
    </x:row>
    <x:row r="123" ht="18" customHeight="1">
      <x:c r="A123" s="2"/>
      <x:c r="B123" s="2"/>
      <x:c r="C123" s="2" t="str">
        <x:v>SUV / crossover / 35</x:v>
      </x:c>
      <x:c r="D123" s="28" t="n">
        <x:f>INDEX('AD Fleet'!$E$6:$E$61,MATCH(1988,'AD Fleet'!$C$6:$C$61,0))*'Repair Costs'!E$29*$N123</x:f>
        <x:v>0</x:v>
      </x:c>
      <x:c r="E123" s="28" t="n">
        <x:f>INDEX('AD Fleet'!$E$6:$E$61,MATCH(1989,'AD Fleet'!$C$6:$C$61,0))*'Repair Costs'!E$29*$N123</x:f>
        <x:v>0</x:v>
      </x:c>
      <x:c r="F123" s="28" t="n">
        <x:f>INDEX('AD Fleet'!$E$6:$E$61,MATCH(1990,'AD Fleet'!$C$6:$C$61,0))*'Repair Costs'!E$29*$N123</x:f>
        <x:v>0</x:v>
      </x:c>
      <x:c r="G123" s="28" t="n">
        <x:f>INDEX('AD Fleet'!$E$6:$E$61,MATCH(1991,'AD Fleet'!$C$6:$C$61,0))*'Repair Costs'!E$29*$N123</x:f>
        <x:v>0</x:v>
      </x:c>
      <x:c r="H123" s="28" t="n">
        <x:f>INDEX('AD Fleet'!$E$6:$E$61,MATCH(1992,'AD Fleet'!$C$6:$C$61,0))*'Repair Costs'!E$29*$N123</x:f>
        <x:v>0</x:v>
      </x:c>
      <x:c r="I123" s="28" t="n">
        <x:f>'Fee Calculation'!M89</x:f>
        <x:v>313.5252997523018</x:v>
      </x:c>
      <x:c r="J123" s="33" t="n">
        <x:f>INDEX('Loss Calibration'!$E$8:$H$13,M123,2)</x:f>
        <x:v>0.3946472110324642</x:v>
      </x:c>
      <x:c r="K123" s="3" t="str">
        <x:v>SUV / crossover</x:v>
      </x:c>
      <x:c r="L123" s="48" t="n">
        <x:v>35</x:v>
      </x:c>
      <x:c r="M123" s="48" t="n">
        <x:v>6</x:v>
      </x:c>
      <x:c r="N123" s="33" t="n">
        <x:f>IF(($L123/'Volume Build'!$D$23)&gt;=31,0,INDEX('AD Fleet'!$I$6:$I$37,INT(($L123/'Volume Build'!$D$23))+1)+(($L123/'Volume Build'!$D$23)-INT(($L123/'Volume Build'!$D$23)))*(INDEX('AD Fleet'!$I$6:$I$37,MIN(INT(($L123/'Volume Build'!$D$23))+2,32))-INDEX('AD Fleet'!$I$6:$I$37,INT(($L123/'Volume Build'!$D$23))+1)))</x:f>
        <x:v>0</x:v>
      </x:c>
      <x:c r="O123" s="33" t="n">
        <x:f>IF(L123=0,'Volume Build'!$D$25,1)*EXP(-'Volume Build'!$D$24*MAX(L123-6,0))*'Vehicle Economics'!E$10</x:f>
        <x:v>0.07296101657452587</x:v>
      </x:c>
    </x:row>
    <x:row r="124" ht="18" customHeight="1">
      <x:c r="A124" s="2"/>
      <x:c r="B124" s="2"/>
      <x:c r="C124" s="2" t="str">
        <x:v>SUV / crossover / 36</x:v>
      </x:c>
      <x:c r="D124" s="28" t="n">
        <x:f>INDEX('AD Fleet'!$E$6:$E$61,MATCH(1987,'AD Fleet'!$C$6:$C$61,0))*'Repair Costs'!E$29*$N124</x:f>
        <x:v>0</x:v>
      </x:c>
      <x:c r="E124" s="28" t="n">
        <x:f>INDEX('AD Fleet'!$E$6:$E$61,MATCH(1988,'AD Fleet'!$C$6:$C$61,0))*'Repair Costs'!E$29*$N124</x:f>
        <x:v>0</x:v>
      </x:c>
      <x:c r="F124" s="28" t="n">
        <x:f>INDEX('AD Fleet'!$E$6:$E$61,MATCH(1989,'AD Fleet'!$C$6:$C$61,0))*'Repair Costs'!E$29*$N124</x:f>
        <x:v>0</x:v>
      </x:c>
      <x:c r="G124" s="28" t="n">
        <x:f>INDEX('AD Fleet'!$E$6:$E$61,MATCH(1990,'AD Fleet'!$C$6:$C$61,0))*'Repair Costs'!E$29*$N124</x:f>
        <x:v>0</x:v>
      </x:c>
      <x:c r="H124" s="28" t="n">
        <x:f>INDEX('AD Fleet'!$E$6:$E$61,MATCH(1991,'AD Fleet'!$C$6:$C$61,0))*'Repair Costs'!E$29*$N124</x:f>
        <x:v>0</x:v>
      </x:c>
      <x:c r="I124" s="28" t="n">
        <x:f>'Fee Calculation'!M90</x:f>
        <x:v>307.1192440785801</x:v>
      </x:c>
      <x:c r="J124" s="33" t="n">
        <x:f>INDEX('Loss Calibration'!$E$8:$H$13,M124,2)</x:f>
        <x:v>0.3946472110324642</x:v>
      </x:c>
      <x:c r="K124" s="3" t="str">
        <x:v>SUV / crossover</x:v>
      </x:c>
      <x:c r="L124" s="48" t="n">
        <x:v>36</x:v>
      </x:c>
      <x:c r="M124" s="48" t="n">
        <x:v>6</x:v>
      </x:c>
      <x:c r="N124" s="33" t="n">
        <x:f>IF(($L124/'Volume Build'!$D$23)&gt;=31,0,INDEX('AD Fleet'!$I$6:$I$37,INT(($L124/'Volume Build'!$D$23))+1)+(($L124/'Volume Build'!$D$23)-INT(($L124/'Volume Build'!$D$23)))*(INDEX('AD Fleet'!$I$6:$I$37,MIN(INT(($L124/'Volume Build'!$D$23))+2,32))-INDEX('AD Fleet'!$I$6:$I$37,INT(($L124/'Volume Build'!$D$23))+1)))</x:f>
        <x:v>0</x:v>
      </x:c>
      <x:c r="O124" s="33" t="n">
        <x:f>IF(L124=0,'Volume Build'!$D$25,1)*EXP(-'Volume Build'!$D$24*MAX(L124-6,0))*'Vehicle Economics'!E$10</x:f>
        <x:v>0.0666633468228103</x:v>
      </x:c>
    </x:row>
    <x:row r="125" ht="18" customHeight="1">
      <x:c r="A125" s="2"/>
      <x:c r="B125" s="2"/>
      <x:c r="C125" s="2" t="str">
        <x:v>SUV / crossover / 37</x:v>
      </x:c>
      <x:c r="D125" s="28" t="n">
        <x:f>INDEX('AD Fleet'!$E$6:$E$61,MATCH(1986,'AD Fleet'!$C$6:$C$61,0))*'Repair Costs'!E$29*$N125</x:f>
        <x:v>0</x:v>
      </x:c>
      <x:c r="E125" s="28" t="n">
        <x:f>INDEX('AD Fleet'!$E$6:$E$61,MATCH(1987,'AD Fleet'!$C$6:$C$61,0))*'Repair Costs'!E$29*$N125</x:f>
        <x:v>0</x:v>
      </x:c>
      <x:c r="F125" s="28" t="n">
        <x:f>INDEX('AD Fleet'!$E$6:$E$61,MATCH(1988,'AD Fleet'!$C$6:$C$61,0))*'Repair Costs'!E$29*$N125</x:f>
        <x:v>0</x:v>
      </x:c>
      <x:c r="G125" s="28" t="n">
        <x:f>INDEX('AD Fleet'!$E$6:$E$61,MATCH(1989,'AD Fleet'!$C$6:$C$61,0))*'Repair Costs'!E$29*$N125</x:f>
        <x:v>0</x:v>
      </x:c>
      <x:c r="H125" s="28" t="n">
        <x:f>INDEX('AD Fleet'!$E$6:$E$61,MATCH(1990,'AD Fleet'!$C$6:$C$61,0))*'Repair Costs'!E$29*$N125</x:f>
        <x:v>0</x:v>
      </x:c>
      <x:c r="I125" s="28" t="n">
        <x:f>'Fee Calculation'!M91</x:f>
        <x:v>297.096992293155</x:v>
      </x:c>
      <x:c r="J125" s="33" t="n">
        <x:f>INDEX('Loss Calibration'!$E$8:$H$13,M125,2)</x:f>
        <x:v>0.3946472110324642</x:v>
      </x:c>
      <x:c r="K125" s="3" t="str">
        <x:v>SUV / crossover</x:v>
      </x:c>
      <x:c r="L125" s="48" t="n">
        <x:v>37</x:v>
      </x:c>
      <x:c r="M125" s="48" t="n">
        <x:v>6</x:v>
      </x:c>
      <x:c r="N125" s="33" t="n">
        <x:f>IF(($L125/'Volume Build'!$D$23)&gt;=31,0,INDEX('AD Fleet'!$I$6:$I$37,INT(($L125/'Volume Build'!$D$23))+1)+(($L125/'Volume Build'!$D$23)-INT(($L125/'Volume Build'!$D$23)))*(INDEX('AD Fleet'!$I$6:$I$37,MIN(INT(($L125/'Volume Build'!$D$23))+2,32))-INDEX('AD Fleet'!$I$6:$I$37,INT(($L125/'Volume Build'!$D$23))+1)))</x:f>
        <x:v>0</x:v>
      </x:c>
      <x:c r="O125" s="33" t="n">
        <x:f>IF(L125=0,'Volume Build'!$D$25,1)*EXP(-'Volume Build'!$D$24*MAX(L125-6,0))*'Vehicle Economics'!E$10</x:f>
        <x:v>0.06090926385433481</x:v>
      </x:c>
    </x:row>
    <x:row r="126" ht="18" customHeight="1">
      <x:c r="A126" s="2"/>
      <x:c r="B126" s="2"/>
      <x:c r="C126" s="2" t="str">
        <x:v>SUV / crossover / 38</x:v>
      </x:c>
      <x:c r="D126" s="28" t="n">
        <x:f>INDEX('AD Fleet'!$E$6:$E$61,MATCH(1985,'AD Fleet'!$C$6:$C$61,0))*'Repair Costs'!E$29*$N126</x:f>
        <x:v>0</x:v>
      </x:c>
      <x:c r="E126" s="28" t="n">
        <x:f>INDEX('AD Fleet'!$E$6:$E$61,MATCH(1986,'AD Fleet'!$C$6:$C$61,0))*'Repair Costs'!E$29*$N126</x:f>
        <x:v>0</x:v>
      </x:c>
      <x:c r="F126" s="28" t="n">
        <x:f>INDEX('AD Fleet'!$E$6:$E$61,MATCH(1987,'AD Fleet'!$C$6:$C$61,0))*'Repair Costs'!E$29*$N126</x:f>
        <x:v>0</x:v>
      </x:c>
      <x:c r="G126" s="28" t="n">
        <x:f>INDEX('AD Fleet'!$E$6:$E$61,MATCH(1988,'AD Fleet'!$C$6:$C$61,0))*'Repair Costs'!E$29*$N126</x:f>
        <x:v>0</x:v>
      </x:c>
      <x:c r="H126" s="28" t="n">
        <x:f>INDEX('AD Fleet'!$E$6:$E$61,MATCH(1989,'AD Fleet'!$C$6:$C$61,0))*'Repair Costs'!E$29*$N126</x:f>
        <x:v>0</x:v>
      </x:c>
      <x:c r="I126" s="28" t="n">
        <x:f>'Fee Calculation'!M92</x:f>
        <x:v>289.69581127253923</x:v>
      </x:c>
      <x:c r="J126" s="33" t="n">
        <x:f>INDEX('Loss Calibration'!$E$8:$H$13,M126,2)</x:f>
        <x:v>0.3946472110324642</x:v>
      </x:c>
      <x:c r="K126" s="3" t="str">
        <x:v>SUV / crossover</x:v>
      </x:c>
      <x:c r="L126" s="48" t="n">
        <x:v>38</x:v>
      </x:c>
      <x:c r="M126" s="48" t="n">
        <x:v>6</x:v>
      </x:c>
      <x:c r="N126" s="33" t="n">
        <x:f>IF(($L126/'Volume Build'!$D$23)&gt;=31,0,INDEX('AD Fleet'!$I$6:$I$37,INT(($L126/'Volume Build'!$D$23))+1)+(($L126/'Volume Build'!$D$23)-INT(($L126/'Volume Build'!$D$23)))*(INDEX('AD Fleet'!$I$6:$I$37,MIN(INT(($L126/'Volume Build'!$D$23))+2,32))-INDEX('AD Fleet'!$I$6:$I$37,INT(($L126/'Volume Build'!$D$23))+1)))</x:f>
        <x:v>0</x:v>
      </x:c>
      <x:c r="O126" s="33" t="n">
        <x:f>IF(L126=0,'Volume Build'!$D$25,1)*EXP(-'Volume Build'!$D$24*MAX(L126-6,0))*'Vehicle Economics'!E$10</x:f>
        <x:v>0.05565184768082394</x:v>
      </x:c>
    </x:row>
    <x:row r="127" ht="18" customHeight="1">
      <x:c r="A127" s="2"/>
      <x:c r="B127" s="2"/>
      <x:c r="C127" s="2" t="str">
        <x:v>SUV / crossover / 39</x:v>
      </x:c>
      <x:c r="D127" s="28" t="n">
        <x:f>INDEX('AD Fleet'!$E$6:$E$61,MATCH(1984,'AD Fleet'!$C$6:$C$61,0))*'Repair Costs'!E$29*$N127</x:f>
        <x:v>0</x:v>
      </x:c>
      <x:c r="E127" s="28" t="n">
        <x:f>INDEX('AD Fleet'!$E$6:$E$61,MATCH(1985,'AD Fleet'!$C$6:$C$61,0))*'Repair Costs'!E$29*$N127</x:f>
        <x:v>0</x:v>
      </x:c>
      <x:c r="F127" s="28" t="n">
        <x:f>INDEX('AD Fleet'!$E$6:$E$61,MATCH(1986,'AD Fleet'!$C$6:$C$61,0))*'Repair Costs'!E$29*$N127</x:f>
        <x:v>0</x:v>
      </x:c>
      <x:c r="G127" s="28" t="n">
        <x:f>INDEX('AD Fleet'!$E$6:$E$61,MATCH(1987,'AD Fleet'!$C$6:$C$61,0))*'Repair Costs'!E$29*$N127</x:f>
        <x:v>0</x:v>
      </x:c>
      <x:c r="H127" s="28" t="n">
        <x:f>INDEX('AD Fleet'!$E$6:$E$61,MATCH(1988,'AD Fleet'!$C$6:$C$61,0))*'Repair Costs'!E$29*$N127</x:f>
        <x:v>0</x:v>
      </x:c>
      <x:c r="I127" s="28" t="n">
        <x:f>'Fee Calculation'!M93</x:f>
        <x:v>281.1541796101533</x:v>
      </x:c>
      <x:c r="J127" s="33" t="n">
        <x:f>INDEX('Loss Calibration'!$E$8:$H$13,M127,2)</x:f>
        <x:v>0.3946472110324642</x:v>
      </x:c>
      <x:c r="K127" s="3" t="str">
        <x:v>SUV / crossover</x:v>
      </x:c>
      <x:c r="L127" s="48" t="n">
        <x:v>39</x:v>
      </x:c>
      <x:c r="M127" s="48" t="n">
        <x:v>6</x:v>
      </x:c>
      <x:c r="N127" s="33" t="n">
        <x:f>IF(($L127/'Volume Build'!$D$23)&gt;=31,0,INDEX('AD Fleet'!$I$6:$I$37,INT(($L127/'Volume Build'!$D$23))+1)+(($L127/'Volume Build'!$D$23)-INT(($L127/'Volume Build'!$D$23)))*(INDEX('AD Fleet'!$I$6:$I$37,MIN(INT(($L127/'Volume Build'!$D$23))+2,32))-INDEX('AD Fleet'!$I$6:$I$37,INT(($L127/'Volume Build'!$D$23))+1)))</x:f>
        <x:v>0</x:v>
      </x:c>
      <x:c r="O127" s="33" t="n">
        <x:f>IF(L127=0,'Volume Build'!$D$25,1)*EXP(-'Volume Build'!$D$24*MAX(L127-6,0))*'Vehicle Economics'!E$10</x:f>
        <x:v>0.05084822823826022</x:v>
      </x:c>
    </x:row>
    <x:row r="128" ht="18" customHeight="1">
      <x:c r="A128" s="2"/>
      <x:c r="B128" s="2"/>
      <x:c r="C128" s="2" t="str">
        <x:v>SUV / crossover / 40</x:v>
      </x:c>
      <x:c r="D128" s="28" t="n">
        <x:f>INDEX('AD Fleet'!$E$6:$E$61,MATCH(1983,'AD Fleet'!$C$6:$C$61,0))*'Repair Costs'!E$29*$N128</x:f>
        <x:v>0</x:v>
      </x:c>
      <x:c r="E128" s="28" t="n">
        <x:f>INDEX('AD Fleet'!$E$6:$E$61,MATCH(1984,'AD Fleet'!$C$6:$C$61,0))*'Repair Costs'!E$29*$N128</x:f>
        <x:v>0</x:v>
      </x:c>
      <x:c r="F128" s="28" t="n">
        <x:f>INDEX('AD Fleet'!$E$6:$E$61,MATCH(1985,'AD Fleet'!$C$6:$C$61,0))*'Repair Costs'!E$29*$N128</x:f>
        <x:v>0</x:v>
      </x:c>
      <x:c r="G128" s="28" t="n">
        <x:f>INDEX('AD Fleet'!$E$6:$E$61,MATCH(1986,'AD Fleet'!$C$6:$C$61,0))*'Repair Costs'!E$29*$N128</x:f>
        <x:v>0</x:v>
      </x:c>
      <x:c r="H128" s="28" t="n">
        <x:f>INDEX('AD Fleet'!$E$6:$E$61,MATCH(1987,'AD Fleet'!$C$6:$C$61,0))*'Repair Costs'!E$29*$N128</x:f>
        <x:v>0</x:v>
      </x:c>
      <x:c r="I128" s="28" t="n">
        <x:f>'Fee Calculation'!M94</x:f>
        <x:v>278.3366723062155</x:v>
      </x:c>
      <x:c r="J128" s="33" t="n">
        <x:f>INDEX('Loss Calibration'!$E$8:$H$13,M128,2)</x:f>
        <x:v>0.3946472110324642</x:v>
      </x:c>
      <x:c r="K128" s="3" t="str">
        <x:v>SUV / crossover</x:v>
      </x:c>
      <x:c r="L128" s="48" t="n">
        <x:v>40</x:v>
      </x:c>
      <x:c r="M128" s="48" t="n">
        <x:v>6</x:v>
      </x:c>
      <x:c r="N128" s="33" t="n">
        <x:f>IF(($L128/'Volume Build'!$D$23)&gt;=31,0,INDEX('AD Fleet'!$I$6:$I$37,INT(($L128/'Volume Build'!$D$23))+1)+(($L128/'Volume Build'!$D$23)-INT(($L128/'Volume Build'!$D$23)))*(INDEX('AD Fleet'!$I$6:$I$37,MIN(INT(($L128/'Volume Build'!$D$23))+2,32))-INDEX('AD Fleet'!$I$6:$I$37,INT(($L128/'Volume Build'!$D$23))+1)))</x:f>
        <x:v>0</x:v>
      </x:c>
      <x:c r="O128" s="33" t="n">
        <x:f>IF(L128=0,'Volume Build'!$D$25,1)*EXP(-'Volume Build'!$D$24*MAX(L128-6,0))*'Vehicle Economics'!E$10</x:f>
        <x:v>0.04645923581547334</x:v>
      </x:c>
    </x:row>
    <x:row r="129" ht="18" customHeight="1">
      <x:c r="A129" s="2"/>
      <x:c r="B129" s="2"/>
      <x:c r="C129" s="2" t="str">
        <x:v>SUV / crossover / 41</x:v>
      </x:c>
      <x:c r="D129" s="28" t="n">
        <x:f>INDEX('AD Fleet'!$E$6:$E$61,MATCH(1982,'AD Fleet'!$C$6:$C$61,0))*'Repair Costs'!E$29*$N129</x:f>
        <x:v>0</x:v>
      </x:c>
      <x:c r="E129" s="28" t="n">
        <x:f>INDEX('AD Fleet'!$E$6:$E$61,MATCH(1983,'AD Fleet'!$C$6:$C$61,0))*'Repair Costs'!E$29*$N129</x:f>
        <x:v>0</x:v>
      </x:c>
      <x:c r="F129" s="28" t="n">
        <x:f>INDEX('AD Fleet'!$E$6:$E$61,MATCH(1984,'AD Fleet'!$C$6:$C$61,0))*'Repair Costs'!E$29*$N129</x:f>
        <x:v>0</x:v>
      </x:c>
      <x:c r="G129" s="28" t="n">
        <x:f>INDEX('AD Fleet'!$E$6:$E$61,MATCH(1985,'AD Fleet'!$C$6:$C$61,0))*'Repair Costs'!E$29*$N129</x:f>
        <x:v>0</x:v>
      </x:c>
      <x:c r="H129" s="28" t="n">
        <x:f>INDEX('AD Fleet'!$E$6:$E$61,MATCH(1986,'AD Fleet'!$C$6:$C$61,0))*'Repair Costs'!E$29*$N129</x:f>
        <x:v>0</x:v>
      </x:c>
      <x:c r="I129" s="28" t="n">
        <x:f>'Fee Calculation'!M95</x:f>
        <x:v>277.48385643084043</x:v>
      </x:c>
      <x:c r="J129" s="33" t="n">
        <x:f>INDEX('Loss Calibration'!$E$8:$H$13,M129,2)</x:f>
        <x:v>0.3946472110324642</x:v>
      </x:c>
      <x:c r="K129" s="3" t="str">
        <x:v>SUV / crossover</x:v>
      </x:c>
      <x:c r="L129" s="48" t="n">
        <x:v>41</x:v>
      </x:c>
      <x:c r="M129" s="48" t="n">
        <x:v>6</x:v>
      </x:c>
      <x:c r="N129" s="33" t="n">
        <x:f>IF(($L129/'Volume Build'!$D$23)&gt;=31,0,INDEX('AD Fleet'!$I$6:$I$37,INT(($L129/'Volume Build'!$D$23))+1)+(($L129/'Volume Build'!$D$23)-INT(($L129/'Volume Build'!$D$23)))*(INDEX('AD Fleet'!$I$6:$I$37,MIN(INT(($L129/'Volume Build'!$D$23))+2,32))-INDEX('AD Fleet'!$I$6:$I$37,INT(($L129/'Volume Build'!$D$23))+1)))</x:f>
        <x:v>0</x:v>
      </x:c>
      <x:c r="O129" s="33" t="n">
        <x:f>IF(L129=0,'Volume Build'!$D$25,1)*EXP(-'Volume Build'!$D$24*MAX(L129-6,0))*'Vehicle Economics'!E$10</x:f>
        <x:v>0.0424490816561756</x:v>
      </x:c>
    </x:row>
    <x:row r="130" ht="18" customHeight="1">
      <x:c r="A130" s="2"/>
      <x:c r="B130" s="2"/>
      <x:c r="C130" s="2" t="str">
        <x:v>SUV / crossover / 42</x:v>
      </x:c>
      <x:c r="D130" s="28" t="n">
        <x:f>INDEX('AD Fleet'!$E$6:$E$61,MATCH(1981,'AD Fleet'!$C$6:$C$61,0))*'Repair Costs'!E$29*$N130</x:f>
        <x:v>0</x:v>
      </x:c>
      <x:c r="E130" s="28" t="n">
        <x:f>INDEX('AD Fleet'!$E$6:$E$61,MATCH(1982,'AD Fleet'!$C$6:$C$61,0))*'Repair Costs'!E$29*$N130</x:f>
        <x:v>0</x:v>
      </x:c>
      <x:c r="F130" s="28" t="n">
        <x:f>INDEX('AD Fleet'!$E$6:$E$61,MATCH(1983,'AD Fleet'!$C$6:$C$61,0))*'Repair Costs'!E$29*$N130</x:f>
        <x:v>0</x:v>
      </x:c>
      <x:c r="G130" s="28" t="n">
        <x:f>INDEX('AD Fleet'!$E$6:$E$61,MATCH(1984,'AD Fleet'!$C$6:$C$61,0))*'Repair Costs'!E$29*$N130</x:f>
        <x:v>0</x:v>
      </x:c>
      <x:c r="H130" s="28" t="n">
        <x:f>INDEX('AD Fleet'!$E$6:$E$61,MATCH(1985,'AD Fleet'!$C$6:$C$61,0))*'Repair Costs'!E$29*$N130</x:f>
        <x:v>0</x:v>
      </x:c>
      <x:c r="I130" s="28" t="n">
        <x:f>'Fee Calculation'!M96</x:f>
        <x:v>231.08719671610592</x:v>
      </x:c>
      <x:c r="J130" s="33" t="n">
        <x:f>INDEX('Loss Calibration'!$E$8:$H$13,M130,2)</x:f>
        <x:v>0.3946472110324642</x:v>
      </x:c>
      <x:c r="K130" s="3" t="str">
        <x:v>SUV / crossover</x:v>
      </x:c>
      <x:c r="L130" s="48" t="n">
        <x:v>42</x:v>
      </x:c>
      <x:c r="M130" s="48" t="n">
        <x:v>6</x:v>
      </x:c>
      <x:c r="N130" s="33" t="n">
        <x:f>IF(($L130/'Volume Build'!$D$23)&gt;=31,0,INDEX('AD Fleet'!$I$6:$I$37,INT(($L130/'Volume Build'!$D$23))+1)+(($L130/'Volume Build'!$D$23)-INT(($L130/'Volume Build'!$D$23)))*(INDEX('AD Fleet'!$I$6:$I$37,MIN(INT(($L130/'Volume Build'!$D$23))+2,32))-INDEX('AD Fleet'!$I$6:$I$37,INT(($L130/'Volume Build'!$D$23))+1)))</x:f>
        <x:v>0</x:v>
      </x:c>
      <x:c r="O130" s="33" t="n">
        <x:f>IF(L130=0,'Volume Build'!$D$25,1)*EXP(-'Volume Build'!$D$24*MAX(L130-6,0))*'Vehicle Economics'!E$10</x:f>
        <x:v>0.038785066130005715</x:v>
      </x:c>
    </x:row>
    <x:row r="131" ht="18" customHeight="1">
      <x:c r="A131" s="2"/>
      <x:c r="B131" s="2"/>
      <x:c r="C131" s="2" t="str">
        <x:v>SUV / crossover / 43</x:v>
      </x:c>
      <x:c r="D131" s="28" t="n">
        <x:f>INDEX('AD Fleet'!$E$6:$E$61,MATCH(1980,'AD Fleet'!$C$6:$C$61,0))*'Repair Costs'!E$29*$N131</x:f>
        <x:v>0</x:v>
      </x:c>
      <x:c r="E131" s="28" t="n">
        <x:f>INDEX('AD Fleet'!$E$6:$E$61,MATCH(1981,'AD Fleet'!$C$6:$C$61,0))*'Repair Costs'!E$29*$N131</x:f>
        <x:v>0</x:v>
      </x:c>
      <x:c r="F131" s="28" t="n">
        <x:f>INDEX('AD Fleet'!$E$6:$E$61,MATCH(1982,'AD Fleet'!$C$6:$C$61,0))*'Repair Costs'!E$29*$N131</x:f>
        <x:v>0</x:v>
      </x:c>
      <x:c r="G131" s="28" t="n">
        <x:f>INDEX('AD Fleet'!$E$6:$E$61,MATCH(1983,'AD Fleet'!$C$6:$C$61,0))*'Repair Costs'!E$29*$N131</x:f>
        <x:v>0</x:v>
      </x:c>
      <x:c r="H131" s="28" t="n">
        <x:f>INDEX('AD Fleet'!$E$6:$E$61,MATCH(1984,'AD Fleet'!$C$6:$C$61,0))*'Repair Costs'!E$29*$N131</x:f>
        <x:v>0</x:v>
      </x:c>
      <x:c r="I131" s="28" t="n">
        <x:f>'Fee Calculation'!M97</x:f>
        <x:v>230.3889701322232</x:v>
      </x:c>
      <x:c r="J131" s="33" t="n">
        <x:f>INDEX('Loss Calibration'!$E$8:$H$13,M131,2)</x:f>
        <x:v>0.3946472110324642</x:v>
      </x:c>
      <x:c r="K131" s="3" t="str">
        <x:v>SUV / crossover</x:v>
      </x:c>
      <x:c r="L131" s="48" t="n">
        <x:v>43</x:v>
      </x:c>
      <x:c r="M131" s="48" t="n">
        <x:v>6</x:v>
      </x:c>
      <x:c r="N131" s="33" t="n">
        <x:f>IF(($L131/'Volume Build'!$D$23)&gt;=31,0,INDEX('AD Fleet'!$I$6:$I$37,INT(($L131/'Volume Build'!$D$23))+1)+(($L131/'Volume Build'!$D$23)-INT(($L131/'Volume Build'!$D$23)))*(INDEX('AD Fleet'!$I$6:$I$37,MIN(INT(($L131/'Volume Build'!$D$23))+2,32))-INDEX('AD Fleet'!$I$6:$I$37,INT(($L131/'Volume Build'!$D$23))+1)))</x:f>
        <x:v>0</x:v>
      </x:c>
      <x:c r="O131" s="33" t="n">
        <x:f>IF(L131=0,'Volume Build'!$D$25,1)*EXP(-'Volume Build'!$D$24*MAX(L131-6,0))*'Vehicle Economics'!E$10</x:f>
        <x:v>0.0354373120929477</x:v>
      </x:c>
    </x:row>
    <x:row r="132" ht="18" customHeight="1">
      <x:c r="A132" s="2"/>
      <x:c r="B132" s="2"/>
      <x:c r="C132" s="2" t="str">
        <x:v>SUV / crossover / 44</x:v>
      </x:c>
      <x:c r="D132" s="28" t="n">
        <x:f>INDEX('AD Fleet'!$E$6:$E$61,MATCH(1979,'AD Fleet'!$C$6:$C$61,0))*'Repair Costs'!E$29*$N132</x:f>
        <x:v>0</x:v>
      </x:c>
      <x:c r="E132" s="28" t="n">
        <x:f>INDEX('AD Fleet'!$E$6:$E$61,MATCH(1980,'AD Fleet'!$C$6:$C$61,0))*'Repair Costs'!E$29*$N132</x:f>
        <x:v>0</x:v>
      </x:c>
      <x:c r="F132" s="28" t="n">
        <x:f>INDEX('AD Fleet'!$E$6:$E$61,MATCH(1981,'AD Fleet'!$C$6:$C$61,0))*'Repair Costs'!E$29*$N132</x:f>
        <x:v>0</x:v>
      </x:c>
      <x:c r="G132" s="28" t="n">
        <x:f>INDEX('AD Fleet'!$E$6:$E$61,MATCH(1982,'AD Fleet'!$C$6:$C$61,0))*'Repair Costs'!E$29*$N132</x:f>
        <x:v>0</x:v>
      </x:c>
      <x:c r="H132" s="28" t="n">
        <x:f>INDEX('AD Fleet'!$E$6:$E$61,MATCH(1983,'AD Fleet'!$C$6:$C$61,0))*'Repair Costs'!E$29*$N132</x:f>
        <x:v>0</x:v>
      </x:c>
      <x:c r="I132" s="28" t="n">
        <x:f>'Fee Calculation'!M98</x:f>
        <x:v>229.75718859285868</x:v>
      </x:c>
      <x:c r="J132" s="33" t="n">
        <x:f>INDEX('Loss Calibration'!$E$8:$H$13,M132,2)</x:f>
        <x:v>0.3946472110324642</x:v>
      </x:c>
      <x:c r="K132" s="3" t="str">
        <x:v>SUV / crossover</x:v>
      </x:c>
      <x:c r="L132" s="48" t="n">
        <x:v>44</x:v>
      </x:c>
      <x:c r="M132" s="48" t="n">
        <x:v>6</x:v>
      </x:c>
      <x:c r="N132" s="33" t="n">
        <x:f>IF(($L132/'Volume Build'!$D$23)&gt;=31,0,INDEX('AD Fleet'!$I$6:$I$37,INT(($L132/'Volume Build'!$D$23))+1)+(($L132/'Volume Build'!$D$23)-INT(($L132/'Volume Build'!$D$23)))*(INDEX('AD Fleet'!$I$6:$I$37,MIN(INT(($L132/'Volume Build'!$D$23))+2,32))-INDEX('AD Fleet'!$I$6:$I$37,INT(($L132/'Volume Build'!$D$23))+1)))</x:f>
        <x:v>0</x:v>
      </x:c>
      <x:c r="O132" s="33" t="n">
        <x:f>IF(L132=0,'Volume Build'!$D$25,1)*EXP(-'Volume Build'!$D$24*MAX(L132-6,0))*'Vehicle Economics'!E$10</x:f>
        <x:v>0.032378521262889814</x:v>
      </x:c>
    </x:row>
    <x:row r="133" ht="18" customHeight="1">
      <x:c r="A133" s="2"/>
      <x:c r="B133" s="2"/>
      <x:c r="C133" s="2" t="str">
        <x:v>SUV / crossover / 45</x:v>
      </x:c>
      <x:c r="D133" s="28" t="n">
        <x:f>INDEX('AD Fleet'!$E$6:$E$61,MATCH(1978,'AD Fleet'!$C$6:$C$61,0))*'Repair Costs'!E$29*$N133</x:f>
        <x:v>0</x:v>
      </x:c>
      <x:c r="E133" s="28" t="n">
        <x:f>INDEX('AD Fleet'!$E$6:$E$61,MATCH(1979,'AD Fleet'!$C$6:$C$61,0))*'Repair Costs'!E$29*$N133</x:f>
        <x:v>0</x:v>
      </x:c>
      <x:c r="F133" s="28" t="n">
        <x:f>INDEX('AD Fleet'!$E$6:$E$61,MATCH(1980,'AD Fleet'!$C$6:$C$61,0))*'Repair Costs'!E$29*$N133</x:f>
        <x:v>0</x:v>
      </x:c>
      <x:c r="G133" s="28" t="n">
        <x:f>INDEX('AD Fleet'!$E$6:$E$61,MATCH(1981,'AD Fleet'!$C$6:$C$61,0))*'Repair Costs'!E$29*$N133</x:f>
        <x:v>0</x:v>
      </x:c>
      <x:c r="H133" s="28" t="n">
        <x:f>INDEX('AD Fleet'!$E$6:$E$61,MATCH(1982,'AD Fleet'!$C$6:$C$61,0))*'Repair Costs'!E$29*$N133</x:f>
        <x:v>0</x:v>
      </x:c>
      <x:c r="I133" s="28" t="n">
        <x:f>'Fee Calculation'!M99</x:f>
        <x:v>229.18552901601734</x:v>
      </x:c>
      <x:c r="J133" s="33" t="n">
        <x:f>INDEX('Loss Calibration'!$E$8:$H$13,M133,2)</x:f>
        <x:v>0.3946472110324642</x:v>
      </x:c>
      <x:c r="K133" s="3" t="str">
        <x:v>SUV / crossover</x:v>
      </x:c>
      <x:c r="L133" s="48" t="n">
        <x:v>45</x:v>
      </x:c>
      <x:c r="M133" s="48" t="n">
        <x:v>6</x:v>
      </x:c>
      <x:c r="N133" s="33" t="n">
        <x:f>IF(($L133/'Volume Build'!$D$23)&gt;=31,0,INDEX('AD Fleet'!$I$6:$I$37,INT(($L133/'Volume Build'!$D$23))+1)+(($L133/'Volume Build'!$D$23)-INT(($L133/'Volume Build'!$D$23)))*(INDEX('AD Fleet'!$I$6:$I$37,MIN(INT(($L133/'Volume Build'!$D$23))+2,32))-INDEX('AD Fleet'!$I$6:$I$37,INT(($L133/'Volume Build'!$D$23))+1)))</x:f>
        <x:v>0</x:v>
      </x:c>
      <x:c r="O133" s="33" t="n">
        <x:f>IF(L133=0,'Volume Build'!$D$25,1)*EXP(-'Volume Build'!$D$24*MAX(L133-6,0))*'Vehicle Economics'!E$10</x:f>
        <x:v>0.02958375162375934</x:v>
      </x:c>
    </x:row>
    <x:row r="134" ht="18" customHeight="1">
      <x:c r="A134" s="2"/>
      <x:c r="B134" s="2"/>
      <x:c r="C134" s="2" t="str">
        <x:v>Pickup / 0</x:v>
      </x:c>
      <x:c r="D134" s="28" t="n">
        <x:f>INDEX('AD Fleet'!$E$6:$E$61,MATCH(2023,'AD Fleet'!$C$6:$C$61,0))*'Repair Costs'!F$29*$N134</x:f>
        <x:v>2311.8417699115043</x:v>
      </x:c>
      <x:c r="E134" s="28" t="n">
        <x:f>INDEX('AD Fleet'!$E$6:$E$61,MATCH(2024,'AD Fleet'!$C$6:$C$61,0))*'Repair Costs'!F$29*$N134</x:f>
        <x:v>2402.958053097345</x:v>
      </x:c>
      <x:c r="F134" s="28" t="n">
        <x:f>INDEX('AD Fleet'!$E$6:$E$61,MATCH(2025,'AD Fleet'!$C$6:$C$61,0))*'Repair Costs'!F$29*$N134</x:f>
        <x:v>2525.4238938053095</x:v>
      </x:c>
      <x:c r="G134" s="28" t="n">
        <x:f>G$26*G$27*'Repair Costs'!F$29*$N134</x:f>
        <x:v>2525.4238938053095</x:v>
      </x:c>
      <x:c r="H134" s="28" t="n">
        <x:f>H$26*H$27*'Repair Costs'!F$29*$N134</x:f>
        <x:v>2525.4238938053095</x:v>
      </x:c>
      <x:c r="I134" s="28" t="n">
        <x:f>'Fee Calculation'!M100</x:f>
        <x:v>1785.823273036976</x:v>
      </x:c>
      <x:c r="J134" s="33" t="n">
        <x:f>INDEX('Loss Calibration'!$E$8:$H$13,M134,3)</x:f>
        <x:v>0.11235121087565603</x:v>
      </x:c>
      <x:c r="K134" s="3" t="str">
        <x:v>Pickup</x:v>
      </x:c>
      <x:c r="L134" s="48" t="n">
        <x:v>0</x:v>
      </x:c>
      <x:c r="M134" s="48" t="n">
        <x:v>1</x:v>
      </x:c>
      <x:c r="N134" s="33" t="n">
        <x:f>IF(($L134/'Volume Build'!$D$23)&gt;=31,0,INDEX('AD Fleet'!$I$6:$I$37,INT(($L134/'Volume Build'!$D$23))+1)+(($L134/'Volume Build'!$D$23)-INT(($L134/'Volume Build'!$D$23)))*(INDEX('AD Fleet'!$I$6:$I$37,MIN(INT(($L134/'Volume Build'!$D$23))+2,32))-INDEX('AD Fleet'!$I$6:$I$37,INT(($L134/'Volume Build'!$D$23))+1)))</x:f>
        <x:v>1</x:v>
      </x:c>
      <x:c r="O134" s="33" t="n">
        <x:f>IF(L134=0,'Volume Build'!$D$25,1)*EXP(-'Volume Build'!$D$24*MAX(L134-6,0))*'Vehicle Economics'!F$10</x:f>
        <x:v>0.5</x:v>
      </x:c>
    </x:row>
    <x:row r="135" ht="18" customHeight="1">
      <x:c r="A135" s="2"/>
      <x:c r="B135" s="2"/>
      <x:c r="C135" s="2" t="str">
        <x:v>Pickup / 1</x:v>
      </x:c>
      <x:c r="D135" s="28" t="n">
        <x:f>INDEX('AD Fleet'!$E$6:$E$61,MATCH(2022,'AD Fleet'!$C$6:$C$61,0))*'Repair Costs'!F$29*$N135</x:f>
        <x:v>2017.0539219080902</x:v>
      </x:c>
      <x:c r="E135" s="28" t="n">
        <x:f>INDEX('AD Fleet'!$E$6:$E$61,MATCH(2023,'AD Fleet'!$C$6:$C$61,0))*'Repair Costs'!F$29*$N135</x:f>
        <x:v>2292.909489721146</x:v>
      </x:c>
      <x:c r="F135" s="28" t="n">
        <x:f>INDEX('AD Fleet'!$E$6:$E$61,MATCH(2024,'AD Fleet'!$C$6:$C$61,0))*'Repair Costs'!F$29*$N135</x:f>
        <x:v>2383.279597703463</x:v>
      </x:c>
      <x:c r="G135" s="28" t="n">
        <x:f>INDEX('AD Fleet'!$E$6:$E$61,MATCH(2025,'AD Fleet'!$C$6:$C$61,0))*'Repair Costs'!F$29*$N135</x:f>
        <x:v>2504.742533437477</x:v>
      </x:c>
      <x:c r="H135" s="28" t="n">
        <x:f>G$26*G$27*'Repair Costs'!F$29*$N135</x:f>
        <x:v>2504.742533437477</x:v>
      </x:c>
      <x:c r="I135" s="28" t="n">
        <x:f>'Fee Calculation'!M101</x:f>
        <x:v>1696.5220787640524</x:v>
      </x:c>
      <x:c r="J135" s="33" t="n">
        <x:f>INDEX('Loss Calibration'!$E$8:$H$13,M135,3)</x:f>
        <x:v>0.1230097849401135</x:v>
      </x:c>
      <x:c r="K135" s="3" t="str">
        <x:v>Pickup</x:v>
      </x:c>
      <x:c r="L135" s="48" t="n">
        <x:v>1</x:v>
      </x:c>
      <x:c r="M135" s="48" t="n">
        <x:v>2</x:v>
      </x:c>
      <x:c r="N135" s="33" t="n">
        <x:f>IF(($L135/'Volume Build'!$D$23)&gt;=31,0,INDEX('AD Fleet'!$I$6:$I$37,INT(($L135/'Volume Build'!$D$23))+1)+(($L135/'Volume Build'!$D$23)-INT(($L135/'Volume Build'!$D$23)))*(INDEX('AD Fleet'!$I$6:$I$37,MIN(INT(($L135/'Volume Build'!$D$23))+2,32))-INDEX('AD Fleet'!$I$6:$I$37,INT(($L135/'Volume Build'!$D$23))+1)))</x:f>
        <x:v>0.991810737033667</x:v>
      </x:c>
      <x:c r="O135" s="33" t="n">
        <x:f>IF(L135=0,'Volume Build'!$D$25,1)*EXP(-'Volume Build'!$D$24*MAX(L135-6,0))*'Vehicle Economics'!F$10</x:f>
        <x:v>1</x:v>
      </x:c>
    </x:row>
    <x:row r="136" ht="18" customHeight="1">
      <x:c r="A136" s="2"/>
      <x:c r="B136" s="2"/>
      <x:c r="C136" s="2" t="str">
        <x:v>Pickup / 2</x:v>
      </x:c>
      <x:c r="D136" s="28" t="n">
        <x:f>INDEX('AD Fleet'!$E$6:$E$61,MATCH(2021,'AD Fleet'!$C$6:$C$61,0))*'Repair Costs'!F$29*$N136</x:f>
        <x:v>2129.132941290151</x:v>
      </x:c>
      <x:c r="E136" s="28" t="n">
        <x:f>INDEX('AD Fleet'!$E$6:$E$61,MATCH(2022,'AD Fleet'!$C$6:$C$61,0))*'Repair Costs'!F$29*$N136</x:f>
        <x:v>2000.399348240959</x:v>
      </x:c>
      <x:c r="F136" s="28" t="n">
        <x:f>INDEX('AD Fleet'!$E$6:$E$61,MATCH(2023,'AD Fleet'!$C$6:$C$61,0))*'Repair Costs'!F$29*$N136</x:f>
        <x:v>2273.977209530788</x:v>
      </x:c>
      <x:c r="G136" s="28" t="n">
        <x:f>INDEX('AD Fleet'!$E$6:$E$61,MATCH(2024,'AD Fleet'!$C$6:$C$61,0))*'Repair Costs'!F$29*$N136</x:f>
        <x:v>2363.601142309581</x:v>
      </x:c>
      <x:c r="H136" s="28" t="n">
        <x:f>INDEX('AD Fleet'!$E$6:$E$61,MATCH(2025,'AD Fleet'!$C$6:$C$61,0))*'Repair Costs'!F$29*$N136</x:f>
        <x:v>2484.0611730696446</x:v>
      </x:c>
      <x:c r="I136" s="28" t="n">
        <x:f>'Fee Calculation'!M102</x:f>
        <x:v>1618.5173908909721</x:v>
      </x:c>
      <x:c r="J136" s="33" t="n">
        <x:f>INDEX('Loss Calibration'!$E$8:$H$13,M136,3)</x:f>
        <x:v>0.1230097849401135</x:v>
      </x:c>
      <x:c r="K136" s="3" t="str">
        <x:v>Pickup</x:v>
      </x:c>
      <x:c r="L136" s="48" t="n">
        <x:v>2</x:v>
      </x:c>
      <x:c r="M136" s="48" t="n">
        <x:v>2</x:v>
      </x:c>
      <x:c r="N136" s="33" t="n">
        <x:f>IF(($L136/'Volume Build'!$D$23)&gt;=31,0,INDEX('AD Fleet'!$I$6:$I$37,INT(($L136/'Volume Build'!$D$23))+1)+(($L136/'Volume Build'!$D$23)-INT(($L136/'Volume Build'!$D$23)))*(INDEX('AD Fleet'!$I$6:$I$37,MIN(INT(($L136/'Volume Build'!$D$23))+2,32))-INDEX('AD Fleet'!$I$6:$I$37,INT(($L136/'Volume Build'!$D$23))+1)))</x:f>
        <x:v>0.9836214740673339</x:v>
      </x:c>
      <x:c r="O136" s="33" t="n">
        <x:f>IF(L136=0,'Volume Build'!$D$25,1)*EXP(-'Volume Build'!$D$24*MAX(L136-6,0))*'Vehicle Economics'!F$10</x:f>
        <x:v>1</x:v>
      </x:c>
    </x:row>
    <x:row r="137" ht="18" customHeight="1">
      <x:c r="A137" s="2"/>
      <x:c r="B137" s="2"/>
      <x:c r="C137" s="2" t="str">
        <x:v>Pickup / 3</x:v>
      </x:c>
      <x:c r="D137" s="28" t="n">
        <x:f>INDEX('AD Fleet'!$E$6:$E$61,MATCH(2020,'AD Fleet'!$C$6:$C$61,0))*'Repair Costs'!F$29*$N137</x:f>
        <x:v>2017.5232151513444</x:v>
      </x:c>
      <x:c r="E137" s="28" t="n">
        <x:f>INDEX('AD Fleet'!$E$6:$E$61,MATCH(2021,'AD Fleet'!$C$6:$C$61,0))*'Repair Costs'!F$29*$N137</x:f>
        <x:v>2111.4065800768194</x:v>
      </x:c>
      <x:c r="F137" s="28" t="n">
        <x:f>INDEX('AD Fleet'!$E$6:$E$61,MATCH(2022,'AD Fleet'!$C$6:$C$61,0))*'Repair Costs'!F$29*$N137</x:f>
        <x:v>1983.744774573828</x:v>
      </x:c>
      <x:c r="G137" s="28" t="n">
        <x:f>INDEX('AD Fleet'!$E$6:$E$61,MATCH(2023,'AD Fleet'!$C$6:$C$61,0))*'Repair Costs'!F$29*$N137</x:f>
        <x:v>2255.04492934043</x:v>
      </x:c>
      <x:c r="H137" s="28" t="n">
        <x:f>INDEX('AD Fleet'!$E$6:$E$61,MATCH(2024,'AD Fleet'!$C$6:$C$61,0))*'Repair Costs'!F$29*$N137</x:f>
        <x:v>2343.922686915699</x:v>
      </x:c>
      <x:c r="I137" s="28" t="n">
        <x:f>'Fee Calculation'!M103</x:f>
        <x:v>1514.9754873446857</x:v>
      </x:c>
      <x:c r="J137" s="33" t="n">
        <x:f>INDEX('Loss Calibration'!$E$8:$H$13,M137,3)</x:f>
        <x:v>0.1230097849401135</x:v>
      </x:c>
      <x:c r="K137" s="3" t="str">
        <x:v>Pickup</x:v>
      </x:c>
      <x:c r="L137" s="48" t="n">
        <x:v>3</x:v>
      </x:c>
      <x:c r="M137" s="48" t="n">
        <x:v>2</x:v>
      </x:c>
      <x:c r="N137" s="33" t="n">
        <x:f>IF(($L137/'Volume Build'!$D$23)&gt;=31,0,INDEX('AD Fleet'!$I$6:$I$37,INT(($L137/'Volume Build'!$D$23))+1)+(($L137/'Volume Build'!$D$23)-INT(($L137/'Volume Build'!$D$23)))*(INDEX('AD Fleet'!$I$6:$I$37,MIN(INT(($L137/'Volume Build'!$D$23))+2,32))-INDEX('AD Fleet'!$I$6:$I$37,INT(($L137/'Volume Build'!$D$23))+1)))</x:f>
        <x:v>0.9754322111010009</x:v>
      </x:c>
      <x:c r="O137" s="33" t="n">
        <x:f>IF(L137=0,'Volume Build'!$D$25,1)*EXP(-'Volume Build'!$D$24*MAX(L137-6,0))*'Vehicle Economics'!F$10</x:f>
        <x:v>1</x:v>
      </x:c>
    </x:row>
    <x:row r="138" ht="18" customHeight="1">
      <x:c r="A138" s="2"/>
      <x:c r="B138" s="2"/>
      <x:c r="C138" s="2" t="str">
        <x:v>Pickup / 4</x:v>
      </x:c>
      <x:c r="D138" s="28" t="n">
        <x:f>INDEX('AD Fleet'!$E$6:$E$61,MATCH(2019,'AD Fleet'!$C$6:$C$61,0))*'Repair Costs'!F$29*$N138</x:f>
        <x:v>2216.630146417902</x:v>
      </x:c>
      <x:c r="E138" s="28" t="n">
        <x:f>INDEX('AD Fleet'!$E$6:$E$61,MATCH(2020,'AD Fleet'!$C$6:$C$61,0))*'Repair Costs'!F$29*$N138</x:f>
        <x:v>1995.2928194261879</x:v>
      </x:c>
      <x:c r="F138" s="28" t="n">
        <x:f>INDEX('AD Fleet'!$E$6:$E$61,MATCH(2021,'AD Fleet'!$C$6:$C$61,0))*'Repair Costs'!F$29*$N138</x:f>
        <x:v>2088.141715782167</x:v>
      </x:c>
      <x:c r="G138" s="28" t="n">
        <x:f>INDEX('AD Fleet'!$E$6:$E$61,MATCH(2022,'AD Fleet'!$C$6:$C$61,0))*'Repair Costs'!F$29*$N138</x:f>
        <x:v>1961.8865718898112</x:v>
      </x:c>
      <x:c r="H138" s="28" t="n">
        <x:f>INDEX('AD Fleet'!$E$6:$E$61,MATCH(2023,'AD Fleet'!$C$6:$C$61,0))*'Repair Costs'!F$29*$N138</x:f>
        <x:v>2230.197363383929</x:v>
      </x:c>
      <x:c r="I138" s="28" t="n">
        <x:f>'Fee Calculation'!M104</x:f>
        <x:v>1464.2313840702918</x:v>
      </x:c>
      <x:c r="J138" s="33" t="n">
        <x:f>INDEX('Loss Calibration'!$E$8:$H$13,M138,3)</x:f>
        <x:v>0.17497376510273943</x:v>
      </x:c>
      <x:c r="K138" s="3" t="str">
        <x:v>Pickup</x:v>
      </x:c>
      <x:c r="L138" s="48" t="n">
        <x:v>4</x:v>
      </x:c>
      <x:c r="M138" s="48" t="n">
        <x:v>3</x:v>
      </x:c>
      <x:c r="N138" s="33" t="n">
        <x:f>IF(($L138/'Volume Build'!$D$23)&gt;=31,0,INDEX('AD Fleet'!$I$6:$I$37,INT(($L138/'Volume Build'!$D$23))+1)+(($L138/'Volume Build'!$D$23)-INT(($L138/'Volume Build'!$D$23)))*(INDEX('AD Fleet'!$I$6:$I$37,MIN(INT(($L138/'Volume Build'!$D$23))+2,32))-INDEX('AD Fleet'!$I$6:$I$37,INT(($L138/'Volume Build'!$D$23))+1)))</x:f>
        <x:v>0.9646842584167424</x:v>
      </x:c>
      <x:c r="O138" s="33" t="n">
        <x:f>IF(L138=0,'Volume Build'!$D$25,1)*EXP(-'Volume Build'!$D$24*MAX(L138-6,0))*'Vehicle Economics'!F$10</x:f>
        <x:v>1</x:v>
      </x:c>
    </x:row>
    <x:row r="139" ht="18" customHeight="1">
      <x:c r="A139" s="2"/>
      <x:c r="B139" s="2"/>
      <x:c r="C139" s="2" t="str">
        <x:v>Pickup / 5</x:v>
      </x:c>
      <x:c r="D139" s="28" t="n">
        <x:f>INDEX('AD Fleet'!$E$6:$E$61,MATCH(2018,'AD Fleet'!$C$6:$C$61,0))*'Repair Costs'!F$29*$N139</x:f>
        <x:v>2126.6780058769436</x:v>
      </x:c>
      <x:c r="E139" s="28" t="n">
        <x:f>INDEX('AD Fleet'!$E$6:$E$61,MATCH(2019,'AD Fleet'!$C$6:$C$61,0))*'Repair Costs'!F$29*$N139</x:f>
        <x:v>2181.872858508539</x:v>
      </x:c>
      <x:c r="F139" s="28" t="n">
        <x:f>INDEX('AD Fleet'!$E$6:$E$61,MATCH(2020,'AD Fleet'!$C$6:$C$61,0))*'Repair Costs'!F$29*$N139</x:f>
        <x:v>1964.0061534479455</x:v>
      </x:c>
      <x:c r="G139" s="28" t="n">
        <x:f>INDEX('AD Fleet'!$E$6:$E$61,MATCH(2021,'AD Fleet'!$C$6:$C$61,0))*'Repair Costs'!F$29*$N139</x:f>
        <x:v>2055.3991570254534</x:v>
      </x:c>
      <x:c r="H139" s="28" t="n">
        <x:f>INDEX('AD Fleet'!$E$6:$E$61,MATCH(2022,'AD Fleet'!$C$6:$C$61,0))*'Repair Costs'!F$29*$N139</x:f>
        <x:v>1931.1237238184349</x:v>
      </x:c>
      <x:c r="I139" s="28" t="n">
        <x:f>'Fee Calculation'!M105</x:f>
        <x:v>1395.5198287260232</x:v>
      </x:c>
      <x:c r="J139" s="33" t="n">
        <x:f>INDEX('Loss Calibration'!$E$8:$H$13,M139,3)</x:f>
        <x:v>0.17497376510273943</x:v>
      </x:c>
      <x:c r="K139" s="3" t="str">
        <x:v>Pickup</x:v>
      </x:c>
      <x:c r="L139" s="48" t="n">
        <x:v>5</x:v>
      </x:c>
      <x:c r="M139" s="48" t="n">
        <x:v>3</x:v>
      </x:c>
      <x:c r="N139" s="33" t="n">
        <x:f>IF(($L139/'Volume Build'!$D$23)&gt;=31,0,INDEX('AD Fleet'!$I$6:$I$37,INT(($L139/'Volume Build'!$D$23))+1)+(($L139/'Volume Build'!$D$23)-INT(($L139/'Volume Build'!$D$23)))*(INDEX('AD Fleet'!$I$6:$I$37,MIN(INT(($L139/'Volume Build'!$D$23))+2,32))-INDEX('AD Fleet'!$I$6:$I$37,INT(($L139/'Volume Build'!$D$23))+1)))</x:f>
        <x:v>0.9495577797998179</x:v>
      </x:c>
      <x:c r="O139" s="33" t="n">
        <x:f>IF(L139=0,'Volume Build'!$D$25,1)*EXP(-'Volume Build'!$D$24*MAX(L139-6,0))*'Vehicle Economics'!F$10</x:f>
        <x:v>1</x:v>
      </x:c>
    </x:row>
    <x:row r="140" ht="18" customHeight="1">
      <x:c r="A140" s="2"/>
      <x:c r="B140" s="2"/>
      <x:c r="C140" s="2" t="str">
        <x:v>Pickup / 6</x:v>
      </x:c>
      <x:c r="D140" s="28" t="n">
        <x:f>INDEX('AD Fleet'!$E$6:$E$61,MATCH(2017,'AD Fleet'!$C$6:$C$61,0))*'Repair Costs'!F$29*$N140</x:f>
        <x:v>1928.4136305056084</x:v>
      </x:c>
      <x:c r="E140" s="28" t="n">
        <x:f>INDEX('AD Fleet'!$E$6:$E$61,MATCH(2018,'AD Fleet'!$C$6:$C$61,0))*'Repair Costs'!F$29*$N140</x:f>
        <x:v>2084.870508406194</x:v>
      </x:c>
      <x:c r="F140" s="28" t="n">
        <x:f>INDEX('AD Fleet'!$E$6:$E$61,MATCH(2019,'AD Fleet'!$C$6:$C$61,0))*'Repair Costs'!F$29*$N140</x:f>
        <x:v>2138.980307891325</x:v>
      </x:c>
      <x:c r="G140" s="28" t="n">
        <x:f>INDEX('AD Fleet'!$E$6:$E$61,MATCH(2020,'AD Fleet'!$C$6:$C$61,0))*'Repair Costs'!F$29*$N140</x:f>
        <x:v>1925.3965557251565</x:v>
      </x:c>
      <x:c r="H140" s="28" t="n">
        <x:f>INDEX('AD Fleet'!$E$6:$E$61,MATCH(2021,'AD Fleet'!$C$6:$C$61,0))*'Repair Costs'!F$29*$N140</x:f>
        <x:v>2014.9929014375095</x:v>
      </x:c>
      <x:c r="I140" s="28" t="n">
        <x:f>'Fee Calculation'!M106</x:f>
        <x:v>1337.2784455754286</x:v>
      </x:c>
      <x:c r="J140" s="33" t="n">
        <x:f>INDEX('Loss Calibration'!$E$8:$H$13,M140,3)</x:f>
        <x:v>0.17497376510273943</x:v>
      </x:c>
      <x:c r="K140" s="3" t="str">
        <x:v>Pickup</x:v>
      </x:c>
      <x:c r="L140" s="48" t="n">
        <x:v>6</x:v>
      </x:c>
      <x:c r="M140" s="48" t="n">
        <x:v>3</x:v>
      </x:c>
      <x:c r="N140" s="33" t="n">
        <x:f>IF(($L140/'Volume Build'!$D$23)&gt;=31,0,INDEX('AD Fleet'!$I$6:$I$37,INT(($L140/'Volume Build'!$D$23))+1)+(($L140/'Volume Build'!$D$23)-INT(($L140/'Volume Build'!$D$23)))*(INDEX('AD Fleet'!$I$6:$I$37,MIN(INT(($L140/'Volume Build'!$D$23))+2,32))-INDEX('AD Fleet'!$I$6:$I$37,INT(($L140/'Volume Build'!$D$23))+1)))</x:f>
        <x:v>0.9308908098271156</x:v>
      </x:c>
      <x:c r="O140" s="33" t="n">
        <x:f>IF(L140=0,'Volume Build'!$D$25,1)*EXP(-'Volume Build'!$D$24*MAX(L140-6,0))*'Vehicle Economics'!F$10</x:f>
        <x:v>1</x:v>
      </x:c>
    </x:row>
    <x:row r="141" ht="18" customHeight="1">
      <x:c r="A141" s="2"/>
      <x:c r="B141" s="2"/>
      <x:c r="C141" s="2" t="str">
        <x:v>Pickup / 7</x:v>
      </x:c>
      <x:c r="D141" s="28" t="n">
        <x:f>INDEX('AD Fleet'!$E$6:$E$61,MATCH(2016,'AD Fleet'!$C$6:$C$61,0))*'Repair Costs'!F$29*$N141</x:f>
        <x:v>1804.8707510963304</x:v>
      </x:c>
      <x:c r="E141" s="28" t="n">
        <x:f>INDEX('AD Fleet'!$E$6:$E$61,MATCH(2017,'AD Fleet'!$C$6:$C$61,0))*'Repair Costs'!F$29*$N141</x:f>
        <x:v>1882.3525762696577</x:v>
      </x:c>
      <x:c r="F141" s="28" t="n">
        <x:f>INDEX('AD Fleet'!$E$6:$E$61,MATCH(2018,'AD Fleet'!$C$6:$C$61,0))*'Repair Costs'!F$29*$N141</x:f>
        <x:v>2035.072409054732</x:v>
      </x:c>
      <x:c r="G141" s="28" t="n">
        <x:f>INDEX('AD Fleet'!$E$6:$E$61,MATCH(2019,'AD Fleet'!$C$6:$C$61,0))*'Repair Costs'!F$29*$N141</x:f>
        <x:v>2087.8897708753734</x:v>
      </x:c>
      <x:c r="H141" s="28" t="n">
        <x:f>INDEX('AD Fleet'!$E$6:$E$61,MATCH(2020,'AD Fleet'!$C$6:$C$61,0))*'Repair Costs'!F$29*$N141</x:f>
        <x:v>1879.4075657200835</x:v>
      </x:c>
      <x:c r="I141" s="28" t="n">
        <x:f>'Fee Calculation'!M107</x:f>
        <x:v>1287.9745853636805</x:v>
      </x:c>
      <x:c r="J141" s="33" t="n">
        <x:f>INDEX('Loss Calibration'!$E$8:$H$13,M141,3)</x:f>
        <x:v>0.2489674463048962</x:v>
      </x:c>
      <x:c r="K141" s="3" t="str">
        <x:v>Pickup</x:v>
      </x:c>
      <x:c r="L141" s="48" t="n">
        <x:v>7</x:v>
      </x:c>
      <x:c r="M141" s="48" t="n">
        <x:v>4</x:v>
      </x:c>
      <x:c r="N141" s="33" t="n">
        <x:f>IF(($L141/'Volume Build'!$D$23)&gt;=31,0,INDEX('AD Fleet'!$I$6:$I$37,INT(($L141/'Volume Build'!$D$23))+1)+(($L141/'Volume Build'!$D$23)-INT(($L141/'Volume Build'!$D$23)))*(INDEX('AD Fleet'!$I$6:$I$37,MIN(INT(($L141/'Volume Build'!$D$23))+2,32))-INDEX('AD Fleet'!$I$6:$I$37,INT(($L141/'Volume Build'!$D$23))+1)))</x:f>
        <x:v>0.908656050955414</x:v>
      </x:c>
      <x:c r="O141" s="33" t="n">
        <x:f>IF(L141=0,'Volume Build'!$D$25,1)*EXP(-'Volume Build'!$D$24*MAX(L141-6,0))*'Vehicle Economics'!F$10</x:f>
        <x:v>0.9136844571609987</x:v>
      </x:c>
    </x:row>
    <x:row r="142" ht="18" customHeight="1">
      <x:c r="A142" s="2"/>
      <x:c r="B142" s="2"/>
      <x:c r="C142" s="2" t="str">
        <x:v>Pickup / 8</x:v>
      </x:c>
      <x:c r="D142" s="28" t="n">
        <x:f>INDEX('AD Fleet'!$E$6:$E$61,MATCH(2015,'AD Fleet'!$C$6:$C$61,0))*'Repair Costs'!F$29*$N142</x:f>
        <x:v>1629.932511383639</x:v>
      </x:c>
      <x:c r="E142" s="28" t="n">
        <x:f>INDEX('AD Fleet'!$E$6:$E$61,MATCH(2016,'AD Fleet'!$C$6:$C$61,0))*'Repair Costs'!F$29*$N142</x:f>
        <x:v>1752.044719076876</x:v>
      </x:c>
      <x:c r="F142" s="28" t="n">
        <x:f>INDEX('AD Fleet'!$E$6:$E$61,MATCH(2017,'AD Fleet'!$C$6:$C$61,0))*'Repair Costs'!F$29*$N142</x:f>
        <x:v>1827.2587600473478</x:v>
      </x:c>
      <x:c r="G142" s="28" t="n">
        <x:f>INDEX('AD Fleet'!$E$6:$E$61,MATCH(2018,'AD Fleet'!$C$6:$C$61,0))*'Repair Costs'!F$29*$N142</x:f>
        <x:v>1975.5086978153913</x:v>
      </x:c>
      <x:c r="H142" s="28" t="n">
        <x:f>INDEX('AD Fleet'!$E$6:$E$61,MATCH(2019,'AD Fleet'!$C$6:$C$61,0))*'Repair Costs'!F$29*$N142</x:f>
        <x:v>2026.7801696353079</x:v>
      </x:c>
      <x:c r="I142" s="28" t="n">
        <x:f>'Fee Calculation'!M108</x:f>
        <x:v>1216.1024964688306</x:v>
      </x:c>
      <x:c r="J142" s="33" t="n">
        <x:f>INDEX('Loss Calibration'!$E$8:$H$13,M142,3)</x:f>
        <x:v>0.2489674463048962</x:v>
      </x:c>
      <x:c r="K142" s="3" t="str">
        <x:v>Pickup</x:v>
      </x:c>
      <x:c r="L142" s="48" t="n">
        <x:v>8</x:v>
      </x:c>
      <x:c r="M142" s="48" t="n">
        <x:v>4</x:v>
      </x:c>
      <x:c r="N142" s="33" t="n">
        <x:f>IF(($L142/'Volume Build'!$D$23)&gt;=31,0,INDEX('AD Fleet'!$I$6:$I$37,INT(($L142/'Volume Build'!$D$23))+1)+(($L142/'Volume Build'!$D$23)-INT(($L142/'Volume Build'!$D$23)))*(INDEX('AD Fleet'!$I$6:$I$37,MIN(INT(($L142/'Volume Build'!$D$23))+2,32))-INDEX('AD Fleet'!$I$6:$I$37,INT(($L142/'Volume Build'!$D$23))+1)))</x:f>
        <x:v>0.8820609645131938</x:v>
      </x:c>
      <x:c r="O142" s="33" t="n">
        <x:f>IF(L142=0,'Volume Build'!$D$25,1)*EXP(-'Volume Build'!$D$24*MAX(L142-6,0))*'Vehicle Economics'!F$10</x:f>
        <x:v>0.8348192872575889</x:v>
      </x:c>
    </x:row>
    <x:row r="143" ht="18" customHeight="1">
      <x:c r="A143" s="2"/>
      <x:c r="B143" s="2"/>
      <x:c r="C143" s="2" t="str">
        <x:v>Pickup / 9</x:v>
      </x:c>
      <x:c r="D143" s="28" t="n">
        <x:f>INDEX('AD Fleet'!$E$6:$E$61,MATCH(2014,'AD Fleet'!$C$6:$C$61,0))*'Repair Costs'!F$29*$N143</x:f>
        <x:v>1394.771738124924</x:v>
      </x:c>
      <x:c r="E143" s="28" t="n">
        <x:f>INDEX('AD Fleet'!$E$6:$E$61,MATCH(2015,'AD Fleet'!$C$6:$C$61,0))*'Repair Costs'!F$29*$N143</x:f>
        <x:v>1574.7284962464666</x:v>
      </x:c>
      <x:c r="F143" s="28" t="n">
        <x:f>INDEX('AD Fleet'!$E$6:$E$61,MATCH(2016,'AD Fleet'!$C$6:$C$61,0))*'Repair Costs'!F$29*$N143</x:f>
        <x:v>1692.7048982453878</x:v>
      </x:c>
      <x:c r="G143" s="28" t="n">
        <x:f>INDEX('AD Fleet'!$E$6:$E$61,MATCH(2017,'AD Fleet'!$C$6:$C$61,0))*'Repair Costs'!F$29*$N143</x:f>
        <x:v>1765.3715226650131</x:v>
      </x:c>
      <x:c r="H143" s="28" t="n">
        <x:f>INDEX('AD Fleet'!$E$6:$E$61,MATCH(2018,'AD Fleet'!$C$6:$C$61,0))*'Repair Costs'!F$29*$N143</x:f>
        <x:v>1908.6003986703922</x:v>
      </x:c>
      <x:c r="I143" s="28" t="n">
        <x:f>'Fee Calculation'!M109</x:f>
        <x:v>1157.6807652536165</x:v>
      </x:c>
      <x:c r="J143" s="33" t="n">
        <x:f>INDEX('Loss Calibration'!$E$8:$H$13,M143,3)</x:f>
        <x:v>0.2489674463048962</x:v>
      </x:c>
      <x:c r="K143" s="3" t="str">
        <x:v>Pickup</x:v>
      </x:c>
      <x:c r="L143" s="48" t="n">
        <x:v>9</x:v>
      </x:c>
      <x:c r="M143" s="48" t="n">
        <x:v>4</x:v>
      </x:c>
      <x:c r="N143" s="33" t="n">
        <x:f>IF(($L143/'Volume Build'!$D$23)&gt;=31,0,INDEX('AD Fleet'!$I$6:$I$37,INT(($L143/'Volume Build'!$D$23))+1)+(($L143/'Volume Build'!$D$23)-INT(($L143/'Volume Build'!$D$23)))*(INDEX('AD Fleet'!$I$6:$I$37,MIN(INT(($L143/'Volume Build'!$D$23))+2,32))-INDEX('AD Fleet'!$I$6:$I$37,INT(($L143/'Volume Build'!$D$23))+1)))</x:f>
        <x:v>0.8521865332120109</x:v>
      </x:c>
      <x:c r="O143" s="33" t="n">
        <x:f>IF(L143=0,'Volume Build'!$D$25,1)*EXP(-'Volume Build'!$D$24*MAX(L143-6,0))*'Vehicle Economics'!F$10</x:f>
        <x:v>0.7627614073054819</x:v>
      </x:c>
    </x:row>
    <x:row r="144" ht="18" customHeight="1">
      <x:c r="A144" s="2"/>
      <x:c r="B144" s="2"/>
      <x:c r="C144" s="2" t="str">
        <x:v>Pickup / 10</x:v>
      </x:c>
      <x:c r="D144" s="28" t="n">
        <x:f>INDEX('AD Fleet'!$E$6:$E$61,MATCH(2013,'AD Fleet'!$C$6:$C$61,0))*'Repair Costs'!F$29*$N144</x:f>
        <x:v>1215.6402191991108</x:v>
      </x:c>
      <x:c r="E144" s="28" t="n">
        <x:f>INDEX('AD Fleet'!$E$6:$E$61,MATCH(2014,'AD Fleet'!$C$6:$C$61,0))*'Repair Costs'!F$29*$N144</x:f>
        <x:v>1340.6713584017646</x:v>
      </x:c>
      <x:c r="F144" s="28" t="n">
        <x:f>INDEX('AD Fleet'!$E$6:$E$61,MATCH(2015,'AD Fleet'!$C$6:$C$61,0))*'Repair Costs'!F$29*$N144</x:f>
        <x:v>1513.6479572026053</x:v>
      </x:c>
      <x:c r="G144" s="28" t="n">
        <x:f>INDEX('AD Fleet'!$E$6:$E$61,MATCH(2016,'AD Fleet'!$C$6:$C$61,0))*'Repair Costs'!F$29*$N144</x:f>
        <x:v>1627.048292758501</x:v>
      </x:c>
      <x:c r="H144" s="28" t="n">
        <x:f>INDEX('AD Fleet'!$E$6:$E$61,MATCH(2017,'AD Fleet'!$C$6:$C$61,0))*'Repair Costs'!F$29*$N144</x:f>
        <x:v>1696.8963255284366</x:v>
      </x:c>
      <x:c r="I144" s="28" t="n">
        <x:f>'Fee Calculation'!M110</x:f>
        <x:v>1121.25</x:v>
      </x:c>
      <x:c r="J144" s="33" t="n">
        <x:f>INDEX('Loss Calibration'!$E$8:$H$13,M144,3)</x:f>
        <x:v>0.3306520738596624</x:v>
      </x:c>
      <x:c r="K144" s="3" t="str">
        <x:v>Pickup</x:v>
      </x:c>
      <x:c r="L144" s="48" t="n">
        <x:v>10</x:v>
      </x:c>
      <x:c r="M144" s="48" t="n">
        <x:v>5</x:v>
      </x:c>
      <x:c r="N144" s="33" t="n">
        <x:f>IF(($L144/'Volume Build'!$D$23)&gt;=31,0,INDEX('AD Fleet'!$I$6:$I$37,INT(($L144/'Volume Build'!$D$23))+1)+(($L144/'Volume Build'!$D$23)-INT(($L144/'Volume Build'!$D$23)))*(INDEX('AD Fleet'!$I$6:$I$37,MIN(INT(($L144/'Volume Build'!$D$23))+2,32))-INDEX('AD Fleet'!$I$6:$I$37,INT(($L144/'Volume Build'!$D$23))+1)))</x:f>
        <x:v>0.8191319381255686</x:v>
      </x:c>
      <x:c r="O144" s="33" t="n">
        <x:f>IF(L144=0,'Volume Build'!$D$25,1)*EXP(-'Volume Build'!$D$24*MAX(L144-6,0))*'Vehicle Economics'!F$10</x:f>
        <x:v>0.6969232423772687</x:v>
      </x:c>
    </x:row>
    <x:row r="145" ht="18" customHeight="1">
      <x:c r="A145" s="2"/>
      <x:c r="B145" s="2"/>
      <x:c r="C145" s="2" t="str">
        <x:v>Pickup / 11</x:v>
      </x:c>
      <x:c r="D145" s="28" t="n">
        <x:f>INDEX('AD Fleet'!$E$6:$E$61,MATCH(2012,'AD Fleet'!$C$6:$C$61,0))*'Repair Costs'!F$29*$N145</x:f>
        <x:v>1054.408935388084</x:v>
      </x:c>
      <x:c r="E145" s="28" t="n">
        <x:f>INDEX('AD Fleet'!$E$6:$E$61,MATCH(2013,'AD Fleet'!$C$6:$C$61,0))*'Repair Costs'!F$29*$N145</x:f>
        <x:v>1162.92168612238</x:v>
      </x:c>
      <x:c r="F145" s="28" t="n">
        <x:f>INDEX('AD Fleet'!$E$6:$E$61,MATCH(2014,'AD Fleet'!$C$6:$C$61,0))*'Repair Costs'!F$29*$N145</x:f>
        <x:v>1282.5306139309264</x:v>
      </x:c>
      <x:c r="G145" s="28" t="n">
        <x:f>INDEX('AD Fleet'!$E$6:$E$61,MATCH(2015,'AD Fleet'!$C$6:$C$61,0))*'Repair Costs'!F$29*$N145</x:f>
        <x:v>1448.0057559673717</x:v>
      </x:c>
      <x:c r="H145" s="28" t="n">
        <x:f>INDEX('AD Fleet'!$E$6:$E$61,MATCH(2016,'AD Fleet'!$C$6:$C$61,0))*'Repair Costs'!F$29*$N145</x:f>
        <x:v>1556.4882718867514</x:v>
      </x:c>
      <x:c r="I145" s="28" t="n">
        <x:f>'Fee Calculation'!M111</x:f>
        <x:v>1086.6207352464728</x:v>
      </x:c>
      <x:c r="J145" s="33" t="n">
        <x:f>INDEX('Loss Calibration'!$E$8:$H$13,M145,3)</x:f>
        <x:v>0.3306520738596624</x:v>
      </x:c>
      <x:c r="K145" s="3" t="str">
        <x:v>Pickup</x:v>
      </x:c>
      <x:c r="L145" s="48" t="n">
        <x:v>11</x:v>
      </x:c>
      <x:c r="M145" s="48" t="n">
        <x:v>5</x:v>
      </x:c>
      <x:c r="N145" s="33" t="n">
        <x:f>IF(($L145/'Volume Build'!$D$23)&gt;=31,0,INDEX('AD Fleet'!$I$6:$I$37,INT(($L145/'Volume Build'!$D$23))+1)+(($L145/'Volume Build'!$D$23)-INT(($L145/'Volume Build'!$D$23)))*(INDEX('AD Fleet'!$I$6:$I$37,MIN(INT(($L145/'Volume Build'!$D$23))+2,32))-INDEX('AD Fleet'!$I$6:$I$37,INT(($L145/'Volume Build'!$D$23))+1)))</x:f>
        <x:v>0.7836087352138308</x:v>
      </x:c>
      <x:c r="O145" s="33" t="n">
        <x:f>IF(L145=0,'Volume Build'!$D$25,1)*EXP(-'Volume Build'!$D$24*MAX(L145-6,0))*'Vehicle Economics'!F$10</x:f>
        <x:v>0.6367679343943579</x:v>
      </x:c>
    </x:row>
    <x:row r="146" ht="18" customHeight="1">
      <x:c r="A146" s="2"/>
      <x:c r="B146" s="2"/>
      <x:c r="C146" s="2" t="str">
        <x:v>Pickup / 12</x:v>
      </x:c>
      <x:c r="D146" s="28" t="n">
        <x:f>INDEX('AD Fleet'!$E$6:$E$61,MATCH(2011,'AD Fleet'!$C$6:$C$61,0))*'Repair Costs'!F$29*$N146</x:f>
        <x:v>926.2426582911253</x:v>
      </x:c>
      <x:c r="E146" s="28" t="n">
        <x:f>INDEX('AD Fleet'!$E$6:$E$61,MATCH(2012,'AD Fleet'!$C$6:$C$61,0))*'Repair Costs'!F$29*$N146</x:f>
        <x:v>1001.7610936655203</x:v>
      </x:c>
      <x:c r="F146" s="28" t="n">
        <x:f>INDEX('AD Fleet'!$E$6:$E$61,MATCH(2013,'AD Fleet'!$C$6:$C$61,0))*'Repair Costs'!F$29*$N146</x:f>
        <x:v>1104.8556788913493</x:v>
      </x:c>
      <x:c r="G146" s="28" t="n">
        <x:f>INDEX('AD Fleet'!$E$6:$E$61,MATCH(2014,'AD Fleet'!$C$6:$C$61,0))*'Repair Costs'!F$29*$N146</x:f>
        <x:v>1218.4923964041323</x:v>
      </x:c>
      <x:c r="H146" s="28" t="n">
        <x:f>INDEX('AD Fleet'!$E$6:$E$61,MATCH(2015,'AD Fleet'!$C$6:$C$61,0))*'Repair Costs'!F$29*$N146</x:f>
        <x:v>1375.7051757133997</x:v>
      </x:c>
      <x:c r="I146" s="28" t="n">
        <x:f>'Fee Calculation'!M112</x:f>
        <x:v>1036.1215355540367</x:v>
      </x:c>
      <x:c r="J146" s="33" t="n">
        <x:f>INDEX('Loss Calibration'!$E$8:$H$13,M146,3)</x:f>
        <x:v>0.3306520738596624</x:v>
      </x:c>
      <x:c r="K146" s="3" t="str">
        <x:v>Pickup</x:v>
      </x:c>
      <x:c r="L146" s="48" t="n">
        <x:v>12</x:v>
      </x:c>
      <x:c r="M146" s="48" t="n">
        <x:v>5</x:v>
      </x:c>
      <x:c r="N146" s="33" t="n">
        <x:f>IF(($L146/'Volume Build'!$D$23)&gt;=31,0,INDEX('AD Fleet'!$I$6:$I$37,INT(($L146/'Volume Build'!$D$23))+1)+(($L146/'Volume Build'!$D$23)-INT(($L146/'Volume Build'!$D$23)))*(INDEX('AD Fleet'!$I$6:$I$37,MIN(INT(($L146/'Volume Build'!$D$23))+2,32))-INDEX('AD Fleet'!$I$6:$I$37,INT(($L146/'Volume Build'!$D$23))+1)))</x:f>
        <x:v>0.7444822565969063</x:v>
      </x:c>
      <x:c r="O146" s="33" t="n">
        <x:f>IF(L146=0,'Volume Build'!$D$25,1)*EXP(-'Volume Build'!$D$24*MAX(L146-6,0))*'Vehicle Economics'!F$10</x:f>
        <x:v>0.5818049644746394</x:v>
      </x:c>
    </x:row>
    <x:row r="147" ht="18" customHeight="1">
      <x:c r="A147" s="2"/>
      <x:c r="B147" s="2"/>
      <x:c r="C147" s="2" t="str">
        <x:v>Pickup / 13</x:v>
      </x:c>
      <x:c r="D147" s="28" t="n">
        <x:f>INDEX('AD Fleet'!$E$6:$E$61,MATCH(2010,'AD Fleet'!$C$6:$C$61,0))*'Repair Costs'!F$29*$N147</x:f>
        <x:v>782.6133557457705</x:v>
      </x:c>
      <x:c r="E147" s="28" t="n">
        <x:f>INDEX('AD Fleet'!$E$6:$E$61,MATCH(2011,'AD Fleet'!$C$6:$C$61,0))*'Repair Costs'!F$29*$N147</x:f>
        <x:v>876.5323951379772</x:v>
      </x:c>
      <x:c r="F147" s="28" t="n">
        <x:f>INDEX('AD Fleet'!$E$6:$E$61,MATCH(2012,'AD Fleet'!$C$6:$C$61,0))*'Repair Costs'!F$29*$N147</x:f>
        <x:v>947.9978523194858</x:v>
      </x:c>
      <x:c r="G147" s="28" t="n">
        <x:f>INDEX('AD Fleet'!$E$6:$E$61,MATCH(2013,'AD Fleet'!$C$6:$C$61,0))*'Repair Costs'!F$29*$N147</x:f>
        <x:v>1045.5594825303774</x:v>
      </x:c>
      <x:c r="H147" s="28" t="n">
        <x:f>INDEX('AD Fleet'!$E$6:$E$61,MATCH(2014,'AD Fleet'!$C$6:$C$61,0))*'Repair Costs'!F$29*$N147</x:f>
        <x:v>1153.0974622222934</x:v>
      </x:c>
      <x:c r="I147" s="28" t="n">
        <x:f>'Fee Calculation'!M113</x:f>
        <x:v>979.5972797227092</x:v>
      </x:c>
      <x:c r="J147" s="33" t="n">
        <x:f>INDEX('Loss Calibration'!$E$8:$H$13,M147,3)</x:f>
        <x:v>0.4603185510969016</x:v>
      </x:c>
      <x:c r="K147" s="3" t="str">
        <x:v>Pickup</x:v>
      </x:c>
      <x:c r="L147" s="48" t="n">
        <x:v>13</x:v>
      </x:c>
      <x:c r="M147" s="48" t="n">
        <x:v>6</x:v>
      </x:c>
      <x:c r="N147" s="33" t="n">
        <x:f>IF(($L147/'Volume Build'!$D$23)&gt;=31,0,INDEX('AD Fleet'!$I$6:$I$37,INT(($L147/'Volume Build'!$D$23))+1)+(($L147/'Volume Build'!$D$23)-INT(($L147/'Volume Build'!$D$23)))*(INDEX('AD Fleet'!$I$6:$I$37,MIN(INT(($L147/'Volume Build'!$D$23))+2,32))-INDEX('AD Fleet'!$I$6:$I$37,INT(($L147/'Volume Build'!$D$23))+1)))</x:f>
        <x:v>0.7045268425841674</x:v>
      </x:c>
      <x:c r="O147" s="33" t="n">
        <x:f>IF(L147=0,'Volume Build'!$D$25,1)*EXP(-'Volume Build'!$D$24*MAX(L147-6,0))*'Vehicle Economics'!F$10</x:f>
        <x:v>0.5315861531395849</x:v>
      </x:c>
    </x:row>
    <x:row r="148" ht="18" customHeight="1">
      <x:c r="A148" s="2"/>
      <x:c r="B148" s="2"/>
      <x:c r="C148" s="2" t="str">
        <x:v>Pickup / 14</x:v>
      </x:c>
      <x:c r="D148" s="28" t="n">
        <x:f>INDEX('AD Fleet'!$E$6:$E$61,MATCH(2009,'AD Fleet'!$C$6:$C$61,0))*'Repair Costs'!F$29*$N148</x:f>
        <x:v>618.310425094414</x:v>
      </x:c>
      <x:c r="E148" s="28" t="n">
        <x:f>INDEX('AD Fleet'!$E$6:$E$61,MATCH(2010,'AD Fleet'!$C$6:$C$61,0))*'Repair Costs'!F$29*$N148</x:f>
        <x:v>736.4980197959529</x:v>
      </x:c>
      <x:c r="F148" s="28" t="n">
        <x:f>INDEX('AD Fleet'!$E$6:$E$61,MATCH(2011,'AD Fleet'!$C$6:$C$61,0))*'Repair Costs'!F$29*$N148</x:f>
        <x:v>824.8828985175581</x:v>
      </x:c>
      <x:c r="G148" s="28" t="n">
        <x:f>INDEX('AD Fleet'!$E$6:$E$61,MATCH(2012,'AD Fleet'!$C$6:$C$61,0))*'Repair Costs'!F$29*$N148</x:f>
        <x:v>892.1372678834338</x:v>
      </x:c>
      <x:c r="H148" s="28" t="n">
        <x:f>INDEX('AD Fleet'!$E$6:$E$61,MATCH(2013,'AD Fleet'!$C$6:$C$61,0))*'Repair Costs'!F$29*$N148</x:f>
        <x:v>983.9500984859928</x:v>
      </x:c>
      <x:c r="I148" s="28" t="n">
        <x:f>'Fee Calculation'!M114</x:f>
        <x:v>955.6576082864151</x:v>
      </x:c>
      <x:c r="J148" s="33" t="n">
        <x:f>INDEX('Loss Calibration'!$E$8:$H$13,M148,3)</x:f>
        <x:v>0.4603185510969016</x:v>
      </x:c>
      <x:c r="K148" s="3" t="str">
        <x:v>Pickup</x:v>
      </x:c>
      <x:c r="L148" s="48" t="n">
        <x:v>14</x:v>
      </x:c>
      <x:c r="M148" s="48" t="n">
        <x:v>6</x:v>
      </x:c>
      <x:c r="N148" s="33" t="n">
        <x:f>IF(($L148/'Volume Build'!$D$23)&gt;=31,0,INDEX('AD Fleet'!$I$6:$I$37,INT(($L148/'Volume Build'!$D$23))+1)+(($L148/'Volume Build'!$D$23)-INT(($L148/'Volume Build'!$D$23)))*(INDEX('AD Fleet'!$I$6:$I$37,MIN(INT(($L148/'Volume Build'!$D$23))+2,32))-INDEX('AD Fleet'!$I$6:$I$37,INT(($L148/'Volume Build'!$D$23))+1)))</x:f>
        <x:v>0.6630127388535032</x:v>
      </x:c>
      <x:c r="O148" s="33" t="n">
        <x:f>IF(L148=0,'Volume Build'!$D$25,1)*EXP(-'Volume Build'!$D$24*MAX(L148-6,0))*'Vehicle Economics'!F$10</x:f>
        <x:v>0.4857020057656452</x:v>
      </x:c>
    </x:row>
    <x:row r="149" ht="18" customHeight="1">
      <x:c r="A149" s="2"/>
      <x:c r="B149" s="2"/>
      <x:c r="C149" s="2" t="str">
        <x:v>Pickup / 15</x:v>
      </x:c>
      <x:c r="D149" s="28" t="n">
        <x:f>INDEX('AD Fleet'!$E$6:$E$61,MATCH(2008,'AD Fleet'!$C$6:$C$61,0))*'Repair Costs'!F$29*$N149</x:f>
        <x:v>748.481496314429</x:v>
      </x:c>
      <x:c r="E149" s="28" t="n">
        <x:f>INDEX('AD Fleet'!$E$6:$E$61,MATCH(2009,'AD Fleet'!$C$6:$C$61,0))*'Repair Costs'!F$29*$N149</x:f>
        <x:v>579.2762653192362</x:v>
      </x:c>
      <x:c r="F149" s="28" t="n">
        <x:f>INDEX('AD Fleet'!$E$6:$E$61,MATCH(2010,'AD Fleet'!$C$6:$C$61,0))*'Repair Costs'!F$29*$N149</x:f>
        <x:v>690.002634610708</x:v>
      </x:c>
      <x:c r="G149" s="28" t="n">
        <x:f>INDEX('AD Fleet'!$E$6:$E$61,MATCH(2011,'AD Fleet'!$C$6:$C$61,0))*'Repair Costs'!F$29*$N149</x:f>
        <x:v>772.8077441133129</x:v>
      </x:c>
      <x:c r="H149" s="28" t="n">
        <x:f>INDEX('AD Fleet'!$E$6:$E$61,MATCH(2012,'AD Fleet'!$C$6:$C$61,0))*'Repair Costs'!F$29*$N149</x:f>
        <x:v>835.8163209244123</x:v>
      </x:c>
      <x:c r="I149" s="28" t="n">
        <x:f>'Fee Calculation'!M115</x:f>
        <x:v>904.175518748274</x:v>
      </x:c>
      <x:c r="J149" s="33" t="n">
        <x:f>INDEX('Loss Calibration'!$E$8:$H$13,M149,3)</x:f>
        <x:v>0.4603185510969016</x:v>
      </x:c>
      <x:c r="K149" s="3" t="str">
        <x:v>Pickup</x:v>
      </x:c>
      <x:c r="L149" s="48" t="n">
        <x:v>15</x:v>
      </x:c>
      <x:c r="M149" s="48" t="n">
        <x:v>6</x:v>
      </x:c>
      <x:c r="N149" s="33" t="n">
        <x:f>IF(($L149/'Volume Build'!$D$23)&gt;=31,0,INDEX('AD Fleet'!$I$6:$I$37,INT(($L149/'Volume Build'!$D$23))+1)+(($L149/'Volume Build'!$D$23)-INT(($L149/'Volume Build'!$D$23)))*(INDEX('AD Fleet'!$I$6:$I$37,MIN(INT(($L149/'Volume Build'!$D$23))+2,32))-INDEX('AD Fleet'!$I$6:$I$37,INT(($L149/'Volume Build'!$D$23))+1)))</x:f>
        <x:v>0.6211565059144677</x:v>
      </x:c>
      <x:c r="O149" s="33" t="n">
        <x:f>IF(L149=0,'Volume Build'!$D$25,1)*EXP(-'Volume Build'!$D$24*MAX(L149-6,0))*'Vehicle Economics'!F$10</x:f>
        <x:v>0.44377837347999183</x:v>
      </x:c>
    </x:row>
    <x:row r="150" ht="18" customHeight="1">
      <x:c r="A150" s="2"/>
      <x:c r="B150" s="2"/>
      <x:c r="C150" s="2" t="str">
        <x:v>Pickup / 16</x:v>
      </x:c>
      <x:c r="D150" s="28" t="n">
        <x:f>INDEX('AD Fleet'!$E$6:$E$61,MATCH(2007,'AD Fleet'!$C$6:$C$61,0))*'Repair Costs'!F$29*$N150</x:f>
        <x:v>922.786140119336</x:v>
      </x:c>
      <x:c r="E150" s="28" t="n">
        <x:f>INDEX('AD Fleet'!$E$6:$E$61,MATCH(2008,'AD Fleet'!$C$6:$C$61,0))*'Repair Costs'!F$29*$N150</x:f>
        <x:v>694.0062891252708</x:v>
      </x:c>
      <x:c r="F150" s="28" t="n">
        <x:f>INDEX('AD Fleet'!$E$6:$E$61,MATCH(2009,'AD Fleet'!$C$6:$C$61,0))*'Repair Costs'!F$29*$N150</x:f>
        <x:v>537.1159784872812</x:v>
      </x:c>
      <x:c r="G150" s="28" t="n">
        <x:f>INDEX('AD Fleet'!$E$6:$E$61,MATCH(2010,'AD Fleet'!$C$6:$C$61,0))*'Repair Costs'!F$29*$N150</x:f>
        <x:v>639.783575533671</x:v>
      </x:c>
      <x:c r="H150" s="28" t="n">
        <x:f>INDEX('AD Fleet'!$E$6:$E$61,MATCH(2011,'AD Fleet'!$C$6:$C$61,0))*'Repair Costs'!F$29*$N150</x:f>
        <x:v>716.5620490824319</x:v>
      </x:c>
      <x:c r="I150" s="28" t="n">
        <x:f>'Fee Calculation'!M116</x:f>
        <x:v>862.5360944969248</x:v>
      </x:c>
      <x:c r="J150" s="33" t="n">
        <x:f>INDEX('Loss Calibration'!$E$8:$H$13,M150,3)</x:f>
        <x:v>0.4603185510969016</x:v>
      </x:c>
      <x:c r="K150" s="3" t="str">
        <x:v>Pickup</x:v>
      </x:c>
      <x:c r="L150" s="48" t="n">
        <x:v>16</x:v>
      </x:c>
      <x:c r="M150" s="48" t="n">
        <x:v>6</x:v>
      </x:c>
      <x:c r="N150" s="33" t="n">
        <x:f>IF(($L150/'Volume Build'!$D$23)&gt;=31,0,INDEX('AD Fleet'!$I$6:$I$37,INT(($L150/'Volume Build'!$D$23))+1)+(($L150/'Volume Build'!$D$23)-INT(($L150/'Volume Build'!$D$23)))*(INDEX('AD Fleet'!$I$6:$I$37,MIN(INT(($L150/'Volume Build'!$D$23))+2,32))-INDEX('AD Fleet'!$I$6:$I$37,INT(($L150/'Volume Build'!$D$23))+1)))</x:f>
        <x:v>0.5759481346678799</x:v>
      </x:c>
      <x:c r="O150" s="33" t="n">
        <x:f>IF(L150=0,'Volume Build'!$D$25,1)*EXP(-'Volume Build'!$D$24*MAX(L150-6,0))*'Vehicle Economics'!F$10</x:f>
        <x:v>0.4054734022728572</x:v>
      </x:c>
    </x:row>
    <x:row r="151" ht="18" customHeight="1">
      <x:c r="A151" s="2"/>
      <x:c r="B151" s="2"/>
      <x:c r="C151" s="2" t="str">
        <x:v>Pickup / 17</x:v>
      </x:c>
      <x:c r="D151" s="28" t="n">
        <x:f>INDEX('AD Fleet'!$E$6:$E$61,MATCH(2006,'AD Fleet'!$C$6:$C$61,0))*'Repair Costs'!F$29*$N151</x:f>
        <x:v>875.1854973741212</x:v>
      </x:c>
      <x:c r="E151" s="28" t="n">
        <x:f>INDEX('AD Fleet'!$E$6:$E$61,MATCH(2007,'AD Fleet'!$C$6:$C$61,0))*'Repair Costs'!F$29*$N151</x:f>
        <x:v>847.7274965817677</x:v>
      </x:c>
      <x:c r="F151" s="28" t="n">
        <x:f>INDEX('AD Fleet'!$E$6:$E$61,MATCH(2008,'AD Fleet'!$C$6:$C$61,0))*'Repair Costs'!F$29*$N151</x:f>
        <x:v>637.5564050150176</x:v>
      </x:c>
      <x:c r="G151" s="28" t="n">
        <x:f>INDEX('AD Fleet'!$E$6:$E$61,MATCH(2009,'AD Fleet'!$C$6:$C$61,0))*'Repair Costs'!F$29*$N151</x:f>
        <x:v>493.4274194432589</x:v>
      </x:c>
      <x:c r="H151" s="28" t="n">
        <x:f>INDEX('AD Fleet'!$E$6:$E$61,MATCH(2010,'AD Fleet'!$C$6:$C$61,0))*'Repair Costs'!F$29*$N151</x:f>
        <x:v>587.7441210497072</x:v>
      </x:c>
      <x:c r="I151" s="28" t="n">
        <x:f>'Fee Calculation'!M117</x:f>
        <x:v>818.1353546824537</x:v>
      </x:c>
      <x:c r="J151" s="33" t="n">
        <x:f>INDEX('Loss Calibration'!$E$8:$H$13,M151,3)</x:f>
        <x:v>0.4603185510969016</x:v>
      </x:c>
      <x:c r="K151" s="3" t="str">
        <x:v>Pickup</x:v>
      </x:c>
      <x:c r="L151" s="48" t="n">
        <x:v>17</x:v>
      </x:c>
      <x:c r="M151" s="48" t="n">
        <x:v>6</x:v>
      </x:c>
      <x:c r="N151" s="33" t="n">
        <x:f>IF(($L151/'Volume Build'!$D$23)&gt;=31,0,INDEX('AD Fleet'!$I$6:$I$37,INT(($L151/'Volume Build'!$D$23))+1)+(($L151/'Volume Build'!$D$23)-INT(($L151/'Volume Build'!$D$23)))*(INDEX('AD Fleet'!$I$6:$I$37,MIN(INT(($L151/'Volume Build'!$D$23))+2,32))-INDEX('AD Fleet'!$I$6:$I$37,INT(($L151/'Volume Build'!$D$23))+1)))</x:f>
        <x:v>0.5291010009099181</x:v>
      </x:c>
      <x:c r="O151" s="33" t="n">
        <x:f>IF(L151=0,'Volume Build'!$D$25,1)*EXP(-'Volume Build'!$D$24*MAX(L151-6,0))*'Vehicle Economics'!F$10</x:f>
        <x:v>0.37047474544889886</x:v>
      </x:c>
    </x:row>
    <x:row r="152" ht="18" customHeight="1">
      <x:c r="A152" s="2"/>
      <x:c r="B152" s="2"/>
      <x:c r="C152" s="2" t="str">
        <x:v>Pickup / 18</x:v>
      </x:c>
      <x:c r="D152" s="28" t="n">
        <x:f>INDEX('AD Fleet'!$E$6:$E$61,MATCH(2005,'AD Fleet'!$C$6:$C$61,0))*'Repair Costs'!F$29*$N152</x:f>
        <x:v>850.0425032636265</x:v>
      </x:c>
      <x:c r="E152" s="28" t="n">
        <x:f>INDEX('AD Fleet'!$E$6:$E$61,MATCH(2006,'AD Fleet'!$C$6:$C$61,0))*'Repair Costs'!F$29*$N152</x:f>
        <x:v>799.677904650245</x:v>
      </x:c>
      <x:c r="F152" s="28" t="n">
        <x:f>INDEX('AD Fleet'!$E$6:$E$61,MATCH(2007,'AD Fleet'!$C$6:$C$61,0))*'Repair Costs'!F$29*$N152</x:f>
        <x:v>774.5888731187642</x:v>
      </x:c>
      <x:c r="G152" s="28" t="n">
        <x:f>INDEX('AD Fleet'!$E$6:$E$61,MATCH(2008,'AD Fleet'!$C$6:$C$61,0))*'Repair Costs'!F$29*$N152</x:f>
        <x:v>582.5505239614452</x:v>
      </x:c>
      <x:c r="H152" s="28" t="n">
        <x:f>INDEX('AD Fleet'!$E$6:$E$61,MATCH(2009,'AD Fleet'!$C$6:$C$61,0))*'Repair Costs'!F$29*$N152</x:f>
        <x:v>450.8564253649737</x:v>
      </x:c>
      <x:c r="I152" s="28" t="n">
        <x:f>'Fee Calculation'!M118</x:f>
        <x:v>809.6292135411</x:v>
      </x:c>
      <x:c r="J152" s="33" t="n">
        <x:f>INDEX('Loss Calibration'!$E$8:$H$13,M152,3)</x:f>
        <x:v>0.4603185510969016</x:v>
      </x:c>
      <x:c r="K152" s="3" t="str">
        <x:v>Pickup</x:v>
      </x:c>
      <x:c r="L152" s="48" t="n">
        <x:v>18</x:v>
      </x:c>
      <x:c r="M152" s="48" t="n">
        <x:v>6</x:v>
      </x:c>
      <x:c r="N152" s="33" t="n">
        <x:f>IF(($L152/'Volume Build'!$D$23)&gt;=31,0,INDEX('AD Fleet'!$I$6:$I$37,INT(($L152/'Volume Build'!$D$23))+1)+(($L152/'Volume Build'!$D$23)-INT(($L152/'Volume Build'!$D$23)))*(INDEX('AD Fleet'!$I$6:$I$37,MIN(INT(($L152/'Volume Build'!$D$23))+2,32))-INDEX('AD Fleet'!$I$6:$I$37,INT(($L152/'Volume Build'!$D$23))+1)))</x:f>
        <x:v>0.483452229299363</x:v>
      </x:c>
      <x:c r="O152" s="33" t="n">
        <x:f>IF(L152=0,'Volume Build'!$D$25,1)*EXP(-'Volume Build'!$D$24*MAX(L152-6,0))*'Vehicle Economics'!F$10</x:f>
        <x:v>0.33849701668733634</x:v>
      </x:c>
    </x:row>
    <x:row r="153" ht="18" customHeight="1">
      <x:c r="A153" s="2"/>
      <x:c r="B153" s="2"/>
      <x:c r="C153" s="2" t="str">
        <x:v>Pickup / 19</x:v>
      </x:c>
      <x:c r="D153" s="28" t="n">
        <x:f>INDEX('AD Fleet'!$E$6:$E$61,MATCH(2004,'AD Fleet'!$C$6:$C$61,0))*'Repair Costs'!F$29*$N153</x:f>
        <x:v>785.0461639140973</x:v>
      </x:c>
      <x:c r="E153" s="28" t="n">
        <x:f>INDEX('AD Fleet'!$E$6:$E$61,MATCH(2005,'AD Fleet'!$C$6:$C$61,0))*'Repair Costs'!F$29*$N153</x:f>
        <x:v>773.1695199819627</x:v>
      </x:c>
      <x:c r="F153" s="28" t="n">
        <x:f>INDEX('AD Fleet'!$E$6:$E$61,MATCH(2006,'AD Fleet'!$C$6:$C$61,0))*'Repair Costs'!F$29*$N153</x:f>
        <x:v>727.3596076723006</x:v>
      </x:c>
      <x:c r="G153" s="28" t="n">
        <x:f>INDEX('AD Fleet'!$E$6:$E$61,MATCH(2007,'AD Fleet'!$C$6:$C$61,0))*'Repair Costs'!F$29*$N153</x:f>
        <x:v>704.5394846884135</x:v>
      </x:c>
      <x:c r="H153" s="28" t="n">
        <x:f>INDEX('AD Fleet'!$E$6:$E$61,MATCH(2008,'AD Fleet'!$C$6:$C$61,0))*'Repair Costs'!F$29*$N153</x:f>
        <x:v>529.867985715091</x:v>
      </x:c>
      <x:c r="I153" s="28" t="n">
        <x:f>'Fee Calculation'!M119</x:f>
        <x:v>751.9325387533079</x:v>
      </x:c>
      <x:c r="J153" s="33" t="n">
        <x:f>INDEX('Loss Calibration'!$E$8:$H$13,M153,3)</x:f>
        <x:v>0.4603185510969016</x:v>
      </x:c>
      <x:c r="K153" s="3" t="str">
        <x:v>Pickup</x:v>
      </x:c>
      <x:c r="L153" s="48" t="n">
        <x:v>19</x:v>
      </x:c>
      <x:c r="M153" s="48" t="n">
        <x:v>6</x:v>
      </x:c>
      <x:c r="N153" s="33" t="n">
        <x:f>IF(($L153/'Volume Build'!$D$23)&gt;=31,0,INDEX('AD Fleet'!$I$6:$I$37,INT(($L153/'Volume Build'!$D$23))+1)+(($L153/'Volume Build'!$D$23)-INT(($L153/'Volume Build'!$D$23)))*(INDEX('AD Fleet'!$I$6:$I$37,MIN(INT(($L153/'Volume Build'!$D$23))+2,32))-INDEX('AD Fleet'!$I$6:$I$37,INT(($L153/'Volume Build'!$D$23))+1)))</x:f>
        <x:v>0.4397315741583258</x:v>
      </x:c>
      <x:c r="O153" s="33" t="n">
        <x:f>IF(L153=0,'Volume Build'!$D$25,1)*EXP(-'Volume Build'!$D$24*MAX(L153-6,0))*'Vehicle Economics'!F$10</x:f>
        <x:v>0.3092794629425864</x:v>
      </x:c>
    </x:row>
    <x:row r="154" ht="18" customHeight="1">
      <x:c r="A154" s="2"/>
      <x:c r="B154" s="2"/>
      <x:c r="C154" s="2" t="str">
        <x:v>Pickup / 20</x:v>
      </x:c>
      <x:c r="D154" s="28" t="n">
        <x:f>INDEX('AD Fleet'!$E$6:$E$61,MATCH(2003,'AD Fleet'!$C$6:$C$61,0))*'Repair Costs'!F$29*$N154</x:f>
        <x:v>687.0913741341685</x:v>
      </x:c>
      <x:c r="E154" s="28" t="n">
        <x:f>INDEX('AD Fleet'!$E$6:$E$61,MATCH(2004,'AD Fleet'!$C$6:$C$61,0))*'Repair Costs'!F$29*$N154</x:f>
        <x:v>711.3832598162447</x:v>
      </x:c>
      <x:c r="F154" s="28" t="n">
        <x:f>INDEX('AD Fleet'!$E$6:$E$61,MATCH(2005,'AD Fleet'!$C$6:$C$61,0))*'Repair Costs'!F$29*$N154</x:f>
        <x:v>700.6210319824135</x:v>
      </x:c>
      <x:c r="G154" s="28" t="n">
        <x:f>INDEX('AD Fleet'!$E$6:$E$61,MATCH(2006,'AD Fleet'!$C$6:$C$61,0))*'Repair Costs'!F$29*$N154</x:f>
        <x:v>659.1095817662073</x:v>
      </x:c>
      <x:c r="H154" s="28" t="n">
        <x:f>INDEX('AD Fleet'!$E$6:$E$61,MATCH(2007,'AD Fleet'!$C$6:$C$61,0))*'Repair Costs'!F$29*$N154</x:f>
        <x:v>638.4307297140601</x:v>
      </x:c>
      <x:c r="I154" s="28" t="n">
        <x:f>'Fee Calculation'!M120</x:f>
        <x:v>706.2182994108596</x:v>
      </x:c>
      <x:c r="J154" s="33" t="n">
        <x:f>INDEX('Loss Calibration'!$E$8:$H$13,M154,3)</x:f>
        <x:v>0.4603185510969016</x:v>
      </x:c>
      <x:c r="K154" s="3" t="str">
        <x:v>Pickup</x:v>
      </x:c>
      <x:c r="L154" s="48" t="n">
        <x:v>20</x:v>
      </x:c>
      <x:c r="M154" s="48" t="n">
        <x:v>6</x:v>
      </x:c>
      <x:c r="N154" s="33" t="n">
        <x:f>IF(($L154/'Volume Build'!$D$23)&gt;=31,0,INDEX('AD Fleet'!$I$6:$I$37,INT(($L154/'Volume Build'!$D$23))+1)+(($L154/'Volume Build'!$D$23)-INT(($L154/'Volume Build'!$D$23)))*(INDEX('AD Fleet'!$I$6:$I$37,MIN(INT(($L154/'Volume Build'!$D$23))+2,32))-INDEX('AD Fleet'!$I$6:$I$37,INT(($L154/'Volume Build'!$D$23))+1)))</x:f>
        <x:v>0.3984704276615104</x:v>
      </x:c>
      <x:c r="O154" s="33" t="n">
        <x:f>IF(L154=0,'Volume Build'!$D$25,1)*EXP(-'Volume Build'!$D$24*MAX(L154-6,0))*'Vehicle Economics'!F$10</x:f>
        <x:v>0.28258383820974226</x:v>
      </x:c>
    </x:row>
    <x:row r="155" ht="18" customHeight="1">
      <x:c r="A155" s="2"/>
      <x:c r="B155" s="2"/>
      <x:c r="C155" s="2" t="str">
        <x:v>Pickup / 21</x:v>
      </x:c>
      <x:c r="D155" s="28" t="n">
        <x:f>INDEX('AD Fleet'!$E$6:$E$61,MATCH(2002,'AD Fleet'!$C$6:$C$61,0))*'Repair Costs'!F$29*$N155</x:f>
        <x:v>599.0216853164984</x:v>
      </x:c>
      <x:c r="E155" s="28" t="n">
        <x:f>INDEX('AD Fleet'!$E$6:$E$61,MATCH(2003,'AD Fleet'!$C$6:$C$61,0))*'Repair Costs'!F$29*$N155</x:f>
        <x:v>620.1848515416266</x:v>
      </x:c>
      <x:c r="F155" s="28" t="n">
        <x:f>INDEX('AD Fleet'!$E$6:$E$61,MATCH(2004,'AD Fleet'!$C$6:$C$61,0))*'Repair Costs'!F$29*$N155</x:f>
        <x:v>642.1112794994643</x:v>
      </x:c>
      <x:c r="G155" s="28" t="n">
        <x:f>INDEX('AD Fleet'!$E$6:$E$61,MATCH(2005,'AD Fleet'!$C$6:$C$61,0))*'Repair Costs'!F$29*$N155</x:f>
        <x:v>632.3970392649793</x:v>
      </x:c>
      <x:c r="H155" s="28" t="n">
        <x:f>INDEX('AD Fleet'!$E$6:$E$61,MATCH(2006,'AD Fleet'!$C$6:$C$61,0))*'Repair Costs'!F$29*$N155</x:f>
        <x:v>594.9278269319653</x:v>
      </x:c>
      <x:c r="I155" s="28" t="n">
        <x:f>'Fee Calculation'!M121</x:f>
        <x:v>662.4167950656544</x:v>
      </x:c>
      <x:c r="J155" s="33" t="n">
        <x:f>INDEX('Loss Calibration'!$E$8:$H$13,M155,3)</x:f>
        <x:v>0.4603185510969016</x:v>
      </x:c>
      <x:c r="K155" s="3" t="str">
        <x:v>Pickup</x:v>
      </x:c>
      <x:c r="L155" s="48" t="n">
        <x:v>21</x:v>
      </x:c>
      <x:c r="M155" s="48" t="n">
        <x:v>6</x:v>
      </x:c>
      <x:c r="N155" s="33" t="n">
        <x:f>IF(($L155/'Volume Build'!$D$23)&gt;=31,0,INDEX('AD Fleet'!$I$6:$I$37,INT(($L155/'Volume Build'!$D$23))+1)+(($L155/'Volume Build'!$D$23)-INT(($L155/'Volume Build'!$D$23)))*(INDEX('AD Fleet'!$I$6:$I$37,MIN(INT(($L155/'Volume Build'!$D$23))+2,32))-INDEX('AD Fleet'!$I$6:$I$37,INT(($L155/'Volume Build'!$D$23))+1)))</x:f>
        <x:v>0.35966878980891714</x:v>
      </x:c>
      <x:c r="O155" s="33" t="n">
        <x:f>IF(L155=0,'Volume Build'!$D$25,1)*EXP(-'Volume Build'!$D$24*MAX(L155-6,0))*'Vehicle Economics'!F$10</x:f>
        <x:v>0.25819246081713987</x:v>
      </x:c>
    </x:row>
    <x:row r="156" ht="18" customHeight="1">
      <x:c r="A156" s="2"/>
      <x:c r="B156" s="2"/>
      <x:c r="C156" s="2" t="str">
        <x:v>Pickup / 22</x:v>
      </x:c>
      <x:c r="D156" s="28" t="n">
        <x:f>INDEX('AD Fleet'!$E$6:$E$61,MATCH(2001,'AD Fleet'!$C$6:$C$61,0))*'Repair Costs'!F$29*$N156</x:f>
        <x:v>536.3415603758846</x:v>
      </x:c>
      <x:c r="E156" s="28" t="n">
        <x:f>INDEX('AD Fleet'!$E$6:$E$61,MATCH(2002,'AD Fleet'!$C$6:$C$61,0))*'Repair Costs'!F$29*$N156</x:f>
        <x:v>538.5248535386149</x:v>
      </x:c>
      <x:c r="F156" s="28" t="n">
        <x:f>INDEX('AD Fleet'!$E$6:$E$61,MATCH(2003,'AD Fleet'!$C$6:$C$61,0))*'Repair Costs'!F$29*$N156</x:f>
        <x:v>557.5506939566941</x:v>
      </x:c>
      <x:c r="G156" s="28" t="n">
        <x:f>INDEX('AD Fleet'!$E$6:$E$61,MATCH(2004,'AD Fleet'!$C$6:$C$61,0))*'Repair Costs'!F$29*$N156</x:f>
        <x:v>577.2627122259172</x:v>
      </x:c>
      <x:c r="H156" s="28" t="n">
        <x:f>INDEX('AD Fleet'!$E$6:$E$61,MATCH(2005,'AD Fleet'!$C$6:$C$61,0))*'Repair Costs'!F$29*$N156</x:f>
        <x:v>568.5295395749956</x:v>
      </x:c>
      <x:c r="I156" s="28" t="n">
        <x:f>'Fee Calculation'!M122</x:f>
        <x:v>639.2149581441963</x:v>
      </x:c>
      <x:c r="J156" s="33" t="n">
        <x:f>INDEX('Loss Calibration'!$E$8:$H$13,M156,3)</x:f>
        <x:v>0.4603185510969016</x:v>
      </x:c>
      <x:c r="K156" s="3" t="str">
        <x:v>Pickup</x:v>
      </x:c>
      <x:c r="L156" s="48" t="n">
        <x:v>22</x:v>
      </x:c>
      <x:c r="M156" s="48" t="n">
        <x:v>6</x:v>
      </x:c>
      <x:c r="N156" s="33" t="n">
        <x:f>IF(($L156/'Volume Build'!$D$23)&gt;=31,0,INDEX('AD Fleet'!$I$6:$I$37,INT(($L156/'Volume Build'!$D$23))+1)+(($L156/'Volume Build'!$D$23)-INT(($L156/'Volume Build'!$D$23)))*(INDEX('AD Fleet'!$I$6:$I$37,MIN(INT(($L156/'Volume Build'!$D$23))+2,32))-INDEX('AD Fleet'!$I$6:$I$37,INT(($L156/'Volume Build'!$D$23))+1)))</x:f>
        <x:v>0.32334485896269327</x:v>
      </x:c>
      <x:c r="O156" s="33" t="n">
        <x:f>IF(L156=0,'Volume Build'!$D$25,1)*EXP(-'Volume Build'!$D$24*MAX(L156-6,0))*'Vehicle Economics'!F$10</x:f>
        <x:v>0.23590643840477085</x:v>
      </x:c>
    </x:row>
    <x:row r="157" ht="18" customHeight="1">
      <x:c r="A157" s="2"/>
      <x:c r="B157" s="2"/>
      <x:c r="C157" s="2" t="str">
        <x:v>Pickup / 23</x:v>
      </x:c>
      <x:c r="D157" s="28" t="n">
        <x:f>INDEX('AD Fleet'!$E$6:$E$61,MATCH(2000,'AD Fleet'!$C$6:$C$61,0))*'Repair Costs'!F$29*$N157</x:f>
        <x:v>470.121697672059</x:v>
      </x:c>
      <x:c r="E157" s="28" t="n">
        <x:f>INDEX('AD Fleet'!$E$6:$E$61,MATCH(2001,'AD Fleet'!$C$6:$C$61,0))*'Repair Costs'!F$29*$N157</x:f>
        <x:v>482.00648182498963</x:v>
      </x:c>
      <x:c r="F157" s="28" t="n">
        <x:f>INDEX('AD Fleet'!$E$6:$E$61,MATCH(2002,'AD Fleet'!$C$6:$C$61,0))*'Repair Costs'!F$29*$N157</x:f>
        <x:v>483.9685924162754</x:v>
      </x:c>
      <x:c r="G157" s="28" t="n">
        <x:f>INDEX('AD Fleet'!$E$6:$E$61,MATCH(2003,'AD Fleet'!$C$6:$C$61,0))*'Repair Costs'!F$29*$N157</x:f>
        <x:v>501.0669847117652</x:v>
      </x:c>
      <x:c r="H157" s="28" t="n">
        <x:f>INDEX('AD Fleet'!$E$6:$E$61,MATCH(2004,'AD Fleet'!$C$6:$C$61,0))*'Repair Costs'!F$29*$N157</x:f>
        <x:v>518.7820403359449</x:v>
      </x:c>
      <x:c r="I157" s="28" t="n">
        <x:f>'Fee Calculation'!M123</x:f>
        <x:v>616.5557227461222</x:v>
      </x:c>
      <x:c r="J157" s="33" t="n">
        <x:f>INDEX('Loss Calibration'!$E$8:$H$13,M157,3)</x:f>
        <x:v>0.4603185510969016</x:v>
      </x:c>
      <x:c r="K157" s="3" t="str">
        <x:v>Pickup</x:v>
      </x:c>
      <x:c r="L157" s="48" t="n">
        <x:v>23</x:v>
      </x:c>
      <x:c r="M157" s="48" t="n">
        <x:v>6</x:v>
      </x:c>
      <x:c r="N157" s="33" t="n">
        <x:f>IF(($L157/'Volume Build'!$D$23)&gt;=31,0,INDEX('AD Fleet'!$I$6:$I$37,INT(($L157/'Volume Build'!$D$23))+1)+(($L157/'Volume Build'!$D$23)-INT(($L157/'Volume Build'!$D$23)))*(INDEX('AD Fleet'!$I$6:$I$37,MIN(INT(($L157/'Volume Build'!$D$23))+2,32))-INDEX('AD Fleet'!$I$6:$I$37,INT(($L157/'Volume Build'!$D$23))+1)))</x:f>
        <x:v>0.2905878070973612</x:v>
      </x:c>
      <x:c r="O157" s="33" t="n">
        <x:f>IF(L157=0,'Volume Build'!$D$25,1)*EXP(-'Volume Build'!$D$24*MAX(L157-6,0))*'Vehicle Economics'!F$10</x:f>
        <x:v>0.2155440461146476</x:v>
      </x:c>
    </x:row>
    <x:row r="158" ht="18" customHeight="1">
      <x:c r="A158" s="2"/>
      <x:c r="B158" s="2"/>
      <x:c r="C158" s="2" t="str">
        <x:v>Pickup / 24</x:v>
      </x:c>
      <x:c r="D158" s="28" t="n">
        <x:f>INDEX('AD Fleet'!$E$6:$E$61,MATCH(1999,'AD Fleet'!$C$6:$C$61,0))*'Repair Costs'!F$29*$N158</x:f>
        <x:v>405.47306381988443</x:v>
      </x:c>
      <x:c r="E158" s="28" t="n">
        <x:f>INDEX('AD Fleet'!$E$6:$E$61,MATCH(2000,'AD Fleet'!$C$6:$C$61,0))*'Repair Costs'!F$29*$N158</x:f>
        <x:v>421.1937462149822</x:v>
      </x:c>
      <x:c r="F158" s="28" t="n">
        <x:f>INDEX('AD Fleet'!$E$6:$E$61,MATCH(2001,'AD Fleet'!$C$6:$C$61,0))*'Repair Costs'!F$29*$N158</x:f>
        <x:v>431.84162055287584</x:v>
      </x:c>
      <x:c r="G158" s="28" t="n">
        <x:f>INDEX('AD Fleet'!$E$6:$E$61,MATCH(2002,'AD Fleet'!$C$6:$C$61,0))*'Repair Costs'!F$29*$N158</x:f>
        <x:v>433.5995243350753</x:v>
      </x:c>
      <x:c r="H158" s="28" t="n">
        <x:f>INDEX('AD Fleet'!$E$6:$E$61,MATCH(2003,'AD Fleet'!$C$6:$C$61,0))*'Repair Costs'!F$29*$N158</x:f>
        <x:v>448.9184001513845</x:v>
      </x:c>
      <x:c r="I158" s="28" t="n">
        <x:f>'Fee Calculation'!M124</x:f>
        <x:v>583.1374535094892</x:v>
      </x:c>
      <x:c r="J158" s="33" t="n">
        <x:f>INDEX('Loss Calibration'!$E$8:$H$13,M158,3)</x:f>
        <x:v>0.4603185510969016</x:v>
      </x:c>
      <x:c r="K158" s="3" t="str">
        <x:v>Pickup</x:v>
      </x:c>
      <x:c r="L158" s="48" t="n">
        <x:v>24</x:v>
      </x:c>
      <x:c r="M158" s="48" t="n">
        <x:v>6</x:v>
      </x:c>
      <x:c r="N158" s="33" t="n">
        <x:f>IF(($L158/'Volume Build'!$D$23)&gt;=31,0,INDEX('AD Fleet'!$I$6:$I$37,INT(($L158/'Volume Build'!$D$23))+1)+(($L158/'Volume Build'!$D$23)-INT(($L158/'Volume Build'!$D$23)))*(INDEX('AD Fleet'!$I$6:$I$37,MIN(INT(($L158/'Volume Build'!$D$23))+2,32))-INDEX('AD Fleet'!$I$6:$I$37,INT(($L158/'Volume Build'!$D$23))+1)))</x:f>
        <x:v>0.2603448589626933</x:v>
      </x:c>
      <x:c r="O158" s="33" t="n">
        <x:f>IF(L158=0,'Volume Build'!$D$25,1)*EXP(-'Volume Build'!$D$24*MAX(L158-6,0))*'Vehicle Economics'!F$10</x:f>
        <x:v>0.19693924476854713</x:v>
      </x:c>
    </x:row>
    <x:row r="159" ht="18" customHeight="1">
      <x:c r="A159" s="2"/>
      <x:c r="B159" s="2"/>
      <x:c r="C159" s="2" t="str">
        <x:v>Pickup / 25</x:v>
      </x:c>
      <x:c r="D159" s="28" t="n">
        <x:f>INDEX('AD Fleet'!$E$6:$E$61,MATCH(1998,'AD Fleet'!$C$6:$C$61,0))*'Repair Costs'!F$29*$N159</x:f>
        <x:v>327.4757031492828</x:v>
      </x:c>
      <x:c r="E159" s="28" t="n">
        <x:f>INDEX('AD Fleet'!$E$6:$E$61,MATCH(1999,'AD Fleet'!$C$6:$C$61,0))*'Repair Costs'!F$29*$N159</x:f>
        <x:v>362.2018566275052</x:v>
      </x:c>
      <x:c r="F159" s="28" t="n">
        <x:f>INDEX('AD Fleet'!$E$6:$E$61,MATCH(2000,'AD Fleet'!$C$6:$C$61,0))*'Repair Costs'!F$29*$N159</x:f>
        <x:v>376.2448618454427</x:v>
      </x:c>
      <x:c r="G159" s="28" t="n">
        <x:f>INDEX('AD Fleet'!$E$6:$E$61,MATCH(2001,'AD Fleet'!$C$6:$C$61,0))*'Repair Costs'!F$29*$N159</x:f>
        <x:v>385.7564180952917</x:v>
      </x:c>
      <x:c r="H159" s="28" t="n">
        <x:f>INDEX('AD Fleet'!$E$6:$E$61,MATCH(2002,'AD Fleet'!$C$6:$C$61,0))*'Repair Costs'!F$29*$N159</x:f>
        <x:v>387.3267221931441</x:v>
      </x:c>
      <x:c r="I159" s="28" t="n">
        <x:f>'Fee Calculation'!M125</x:f>
        <x:v>572.6634288267173</x:v>
      </x:c>
      <x:c r="J159" s="33" t="n">
        <x:f>INDEX('Loss Calibration'!$E$8:$H$13,M159,3)</x:f>
        <x:v>0.4603185510969016</x:v>
      </x:c>
      <x:c r="K159" s="3" t="str">
        <x:v>Pickup</x:v>
      </x:c>
      <x:c r="L159" s="48" t="n">
        <x:v>25</x:v>
      </x:c>
      <x:c r="M159" s="48" t="n">
        <x:v>6</x:v>
      </x:c>
      <x:c r="N159" s="33" t="n">
        <x:f>IF(($L159/'Volume Build'!$D$23)&gt;=31,0,INDEX('AD Fleet'!$I$6:$I$37,INT(($L159/'Volume Build'!$D$23))+1)+(($L159/'Volume Build'!$D$23)-INT(($L159/'Volume Build'!$D$23)))*(INDEX('AD Fleet'!$I$6:$I$37,MIN(INT(($L159/'Volume Build'!$D$23))+2,32))-INDEX('AD Fleet'!$I$6:$I$37,INT(($L159/'Volume Build'!$D$23))+1)))</x:f>
        <x:v>0.23256141947224745</x:v>
      </x:c>
      <x:c r="O159" s="33" t="n">
        <x:f>IF(L159=0,'Volume Build'!$D$25,1)*EXP(-'Volume Build'!$D$24*MAX(L159-6,0))*'Vehicle Economics'!F$10</x:f>
        <x:v>0.17994032695004702</x:v>
      </x:c>
    </x:row>
    <x:row r="160" ht="18" customHeight="1">
      <x:c r="A160" s="2"/>
      <x:c r="B160" s="2"/>
      <x:c r="C160" s="2" t="str">
        <x:v>Pickup / 26</x:v>
      </x:c>
      <x:c r="D160" s="28" t="n">
        <x:f>INDEX('AD Fleet'!$E$6:$E$61,MATCH(1997,'AD Fleet'!$C$6:$C$61,0))*'Repair Costs'!F$29*$N160</x:f>
        <x:v>271.7463007271292</x:v>
      </x:c>
      <x:c r="E160" s="28" t="n">
        <x:f>INDEX('AD Fleet'!$E$6:$E$61,MATCH(1998,'AD Fleet'!$C$6:$C$61,0))*'Repair Costs'!F$29*$N160</x:f>
        <x:v>291.8164262185253</x:v>
      </x:c>
      <x:c r="F160" s="28" t="n">
        <x:f>INDEX('AD Fleet'!$E$6:$E$61,MATCH(1999,'AD Fleet'!$C$6:$C$61,0))*'Repair Costs'!F$29*$N160</x:f>
        <x:v>322.76120137856617</x:v>
      </x:c>
      <x:c r="G160" s="28" t="n">
        <x:f>INDEX('AD Fleet'!$E$6:$E$61,MATCH(2000,'AD Fleet'!$C$6:$C$61,0))*'Repair Costs'!F$29*$N160</x:f>
        <x:v>335.27504456344064</x:v>
      </x:c>
      <x:c r="H160" s="28" t="n">
        <x:f>INDEX('AD Fleet'!$E$6:$E$61,MATCH(2001,'AD Fleet'!$C$6:$C$61,0))*'Repair Costs'!F$29*$N160</x:f>
        <x:v>343.7508744522374</x:v>
      </x:c>
      <x:c r="I160" s="28" t="n">
        <x:f>'Fee Calculation'!M126</x:f>
        <x:v>511.341373239038</x:v>
      </x:c>
      <x:c r="J160" s="33" t="n">
        <x:f>INDEX('Loss Calibration'!$E$8:$H$13,M160,3)</x:f>
        <x:v>0.4603185510969016</x:v>
      </x:c>
      <x:c r="K160" s="3" t="str">
        <x:v>Pickup</x:v>
      </x:c>
      <x:c r="L160" s="48" t="n">
        <x:v>26</x:v>
      </x:c>
      <x:c r="M160" s="48" t="n">
        <x:v>6</x:v>
      </x:c>
      <x:c r="N160" s="33" t="n">
        <x:f>IF(($L160/'Volume Build'!$D$23)&gt;=31,0,INDEX('AD Fleet'!$I$6:$I$37,INT(($L160/'Volume Build'!$D$23))+1)+(($L160/'Volume Build'!$D$23)-INT(($L160/'Volume Build'!$D$23)))*(INDEX('AD Fleet'!$I$6:$I$37,MIN(INT(($L160/'Volume Build'!$D$23))+2,32))-INDEX('AD Fleet'!$I$6:$I$37,INT(($L160/'Volume Build'!$D$23))+1)))</x:f>
        <x:v>0.20723748862602367</x:v>
      </x:c>
      <x:c r="O160" s="33" t="n">
        <x:f>IF(L160=0,'Volume Build'!$D$25,1)*EXP(-'Volume Build'!$D$24*MAX(L160-6,0))*'Vehicle Economics'!F$10</x:f>
        <x:v>0.16440867995072633</x:v>
      </x:c>
    </x:row>
    <x:row r="161" ht="18" customHeight="1">
      <x:c r="A161" s="2"/>
      <x:c r="B161" s="2"/>
      <x:c r="C161" s="2" t="str">
        <x:v>Pickup / 27</x:v>
      </x:c>
      <x:c r="D161" s="28" t="n">
        <x:f>INDEX('AD Fleet'!$E$6:$E$61,MATCH(1996,'AD Fleet'!$C$6:$C$61,0))*'Repair Costs'!F$29*$N161</x:f>
        <x:v>231.87637908315682</x:v>
      </x:c>
      <x:c r="E161" s="28" t="n">
        <x:f>INDEX('AD Fleet'!$E$6:$E$61,MATCH(1997,'AD Fleet'!$C$6:$C$61,0))*'Repair Costs'!F$29*$N161</x:f>
        <x:v>241.76464927568904</x:v>
      </x:c>
      <x:c r="F161" s="28" t="n">
        <x:f>INDEX('AD Fleet'!$E$6:$E$61,MATCH(1998,'AD Fleet'!$C$6:$C$61,0))*'Repair Costs'!F$29*$N161</x:f>
        <x:v>259.62044652982996</x:v>
      </x:c>
      <x:c r="G161" s="28" t="n">
        <x:f>INDEX('AD Fleet'!$E$6:$E$61,MATCH(1999,'AD Fleet'!$C$6:$C$61,0))*'Repair Costs'!F$29*$N161</x:f>
        <x:v>287.1510980730672</x:v>
      </x:c>
      <x:c r="H161" s="28" t="n">
        <x:f>INDEX('AD Fleet'!$E$6:$E$61,MATCH(2000,'AD Fleet'!$C$6:$C$61,0))*'Repair Costs'!F$29*$N161</x:f>
        <x:v>298.2842943689758</x:v>
      </x:c>
      <x:c r="I161" s="28" t="n">
        <x:f>'Fee Calculation'!M127</x:f>
        <x:v>489.13303432949226</x:v>
      </x:c>
      <x:c r="J161" s="33" t="n">
        <x:f>INDEX('Loss Calibration'!$E$8:$H$13,M161,3)</x:f>
        <x:v>0.4603185510969016</x:v>
      </x:c>
      <x:c r="K161" s="3" t="str">
        <x:v>Pickup</x:v>
      </x:c>
      <x:c r="L161" s="48" t="n">
        <x:v>27</x:v>
      </x:c>
      <x:c r="M161" s="48" t="n">
        <x:v>6</x:v>
      </x:c>
      <x:c r="N161" s="33" t="n">
        <x:f>IF(($L161/'Volume Build'!$D$23)&gt;=31,0,INDEX('AD Fleet'!$I$6:$I$37,INT(($L161/'Volume Build'!$D$23))+1)+(($L161/'Volume Build'!$D$23)-INT(($L161/'Volume Build'!$D$23)))*(INDEX('AD Fleet'!$I$6:$I$37,MIN(INT(($L161/'Volume Build'!$D$23))+2,32))-INDEX('AD Fleet'!$I$6:$I$37,INT(($L161/'Volume Build'!$D$23))+1)))</x:f>
        <x:v>0.18437306642402182</x:v>
      </x:c>
      <x:c r="O161" s="33" t="n">
        <x:f>IF(L161=0,'Volume Build'!$D$25,1)*EXP(-'Volume Build'!$D$24*MAX(L161-6,0))*'Vehicle Economics'!F$10</x:f>
        <x:v>0.15021765549333577</x:v>
      </x:c>
    </x:row>
    <x:row r="162" ht="18" customHeight="1">
      <x:c r="A162" s="2"/>
      <x:c r="B162" s="2"/>
      <x:c r="C162" s="2" t="str">
        <x:v>Pickup / 28</x:v>
      </x:c>
      <x:c r="D162" s="28" t="n">
        <x:f>INDEX('AD Fleet'!$E$6:$E$61,MATCH(1995,'AD Fleet'!$C$6:$C$61,0))*'Repair Costs'!F$29*$N162</x:f>
        <x:v>191.47330264359388</x:v>
      </x:c>
      <x:c r="E162" s="28" t="n">
        <x:f>INDEX('AD Fleet'!$E$6:$E$61,MATCH(1996,'AD Fleet'!$C$6:$C$61,0))*'Repair Costs'!F$29*$N162</x:f>
        <x:v>206.2141846908291</x:v>
      </x:c>
      <x:c r="F162" s="28" t="n">
        <x:f>INDEX('AD Fleet'!$E$6:$E$61,MATCH(1997,'AD Fleet'!$C$6:$C$61,0))*'Repair Costs'!F$29*$N162</x:f>
        <x:v>215.00810144862177</x:v>
      </x:c>
      <x:c r="G162" s="28" t="n">
        <x:f>INDEX('AD Fleet'!$E$6:$E$61,MATCH(1998,'AD Fleet'!$C$6:$C$61,0))*'Repair Costs'!F$29*$N162</x:f>
        <x:v>230.88776408319703</x:v>
      </x:c>
      <x:c r="H162" s="28" t="n">
        <x:f>INDEX('AD Fleet'!$E$6:$E$61,MATCH(1999,'AD Fleet'!$C$6:$C$61,0))*'Repair Costs'!F$29*$N162</x:f>
        <x:v>255.3715467110083</x:v>
      </x:c>
      <x:c r="I162" s="28" t="n">
        <x:f>'Fee Calculation'!M128</x:f>
        <x:v>461.00379987988555</x:v>
      </x:c>
      <x:c r="J162" s="33" t="n">
        <x:f>INDEX('Loss Calibration'!$E$8:$H$13,M162,3)</x:f>
        <x:v>0.4603185510969016</x:v>
      </x:c>
      <x:c r="K162" s="3" t="str">
        <x:v>Pickup</x:v>
      </x:c>
      <x:c r="L162" s="48" t="n">
        <x:v>28</x:v>
      </x:c>
      <x:c r="M162" s="48" t="n">
        <x:v>6</x:v>
      </x:c>
      <x:c r="N162" s="33" t="n">
        <x:f>IF(($L162/'Volume Build'!$D$23)&gt;=31,0,INDEX('AD Fleet'!$I$6:$I$37,INT(($L162/'Volume Build'!$D$23))+1)+(($L162/'Volume Build'!$D$23)-INT(($L162/'Volume Build'!$D$23)))*(INDEX('AD Fleet'!$I$6:$I$37,MIN(INT(($L162/'Volume Build'!$D$23))+2,32))-INDEX('AD Fleet'!$I$6:$I$37,INT(($L162/'Volume Build'!$D$23))+1)))</x:f>
        <x:v>0.163968152866242</x:v>
      </x:c>
      <x:c r="O162" s="33" t="n">
        <x:f>IF(L162=0,'Volume Build'!$D$25,1)*EXP(-'Volume Build'!$D$24*MAX(L162-6,0))*'Vehicle Economics'!F$10</x:f>
        <x:v>0.1372515370154264</x:v>
      </x:c>
    </x:row>
    <x:row r="163" ht="18" customHeight="1">
      <x:c r="A163" s="2"/>
      <x:c r="B163" s="2"/>
      <x:c r="C163" s="2" t="str">
        <x:v>Pickup / 29</x:v>
      </x:c>
      <x:c r="D163" s="28" t="n">
        <x:f>INDEX('AD Fleet'!$E$6:$E$61,MATCH(1994,'AD Fleet'!$C$6:$C$61,0))*'Repair Costs'!F$29*$N163</x:f>
        <x:v>169.05189161345393</x:v>
      </x:c>
      <x:c r="E163" s="28" t="n">
        <x:f>INDEX('AD Fleet'!$E$6:$E$61,MATCH(1995,'AD Fleet'!$C$6:$C$61,0))*'Repair Costs'!F$29*$N163</x:f>
        <x:v>169.61231558697773</x:v>
      </x:c>
      <x:c r="F163" s="28" t="n">
        <x:f>INDEX('AD Fleet'!$E$6:$E$61,MATCH(1996,'AD Fleet'!$C$6:$C$61,0))*'Repair Costs'!F$29*$N163</x:f>
        <x:v>182.67019417008223</x:v>
      </x:c>
      <x:c r="G163" s="28" t="n">
        <x:f>INDEX('AD Fleet'!$E$6:$E$61,MATCH(1997,'AD Fleet'!$C$6:$C$61,0))*'Repair Costs'!F$29*$N163</x:f>
        <x:v>190.46008740206304</x:v>
      </x:c>
      <x:c r="H163" s="28" t="n">
        <x:f>INDEX('AD Fleet'!$E$6:$E$61,MATCH(1998,'AD Fleet'!$C$6:$C$61,0))*'Repair Costs'!F$29*$N163</x:f>
        <x:v>204.5267291375104</x:v>
      </x:c>
      <x:c r="I163" s="28" t="n">
        <x:f>'Fee Calculation'!M129</x:f>
        <x:v>441.2973514600743</x:v>
      </x:c>
      <x:c r="J163" s="33" t="n">
        <x:f>INDEX('Loss Calibration'!$E$8:$H$13,M163,3)</x:f>
        <x:v>0.4603185510969016</x:v>
      </x:c>
      <x:c r="K163" s="3" t="str">
        <x:v>Pickup</x:v>
      </x:c>
      <x:c r="L163" s="48" t="n">
        <x:v>29</x:v>
      </x:c>
      <x:c r="M163" s="48" t="n">
        <x:v>6</x:v>
      </x:c>
      <x:c r="N163" s="33" t="n">
        <x:f>IF(($L163/'Volume Build'!$D$23)&gt;=31,0,INDEX('AD Fleet'!$I$6:$I$37,INT(($L163/'Volume Build'!$D$23))+1)+(($L163/'Volume Build'!$D$23)-INT(($L163/'Volume Build'!$D$23)))*(INDEX('AD Fleet'!$I$6:$I$37,MIN(INT(($L163/'Volume Build'!$D$23))+2,32))-INDEX('AD Fleet'!$I$6:$I$37,INT(($L163/'Volume Build'!$D$23))+1)))</x:f>
        <x:v>0.14524749772520476</x:v>
      </x:c>
      <x:c r="O163" s="33" t="n">
        <x:f>IF(L163=0,'Volume Build'!$D$25,1)*EXP(-'Volume Build'!$D$24*MAX(L163-6,0))*'Vehicle Economics'!F$10</x:f>
        <x:v>0.12540459609245258</x:v>
      </x:c>
    </x:row>
    <x:row r="164" ht="18" customHeight="1">
      <x:c r="A164" s="2"/>
      <x:c r="B164" s="2"/>
      <x:c r="C164" s="2" t="str">
        <x:v>Pickup / 30</x:v>
      </x:c>
      <x:c r="D164" s="28" t="n">
        <x:f>INDEX('AD Fleet'!$E$6:$E$61,MATCH(1993,'AD Fleet'!$C$6:$C$61,0))*'Repair Costs'!F$29*$N164</x:f>
        <x:v>132.38359436172868</x:v>
      </x:c>
      <x:c r="E164" s="28" t="n">
        <x:f>INDEX('AD Fleet'!$E$6:$E$61,MATCH(1994,'AD Fleet'!$C$6:$C$61,0))*'Repair Costs'!F$29*$N164</x:f>
        <x:v>149.2562557997214</x:v>
      </x:c>
      <x:c r="F164" s="28" t="n">
        <x:f>INDEX('AD Fleet'!$E$6:$E$61,MATCH(1995,'AD Fleet'!$C$6:$C$61,0))*'Repair Costs'!F$29*$N164</x:f>
        <x:v>149.751055255381</x:v>
      </x:c>
      <x:c r="G164" s="28" t="n">
        <x:f>INDEX('AD Fleet'!$E$6:$E$61,MATCH(1996,'AD Fleet'!$C$6:$C$61,0))*'Repair Costs'!F$29*$N164</x:f>
        <x:v>161.27988257224993</x:v>
      </x:c>
      <x:c r="H164" s="28" t="n">
        <x:f>INDEX('AD Fleet'!$E$6:$E$61,MATCH(1997,'AD Fleet'!$C$6:$C$61,0))*'Repair Costs'!F$29*$N164</x:f>
        <x:v>168.1575950059185</x:v>
      </x:c>
      <x:c r="I164" s="28" t="n">
        <x:f>'Fee Calculation'!M130</x:f>
        <x:v>419.98535098259026</x:v>
      </x:c>
      <x:c r="J164" s="33" t="n">
        <x:f>INDEX('Loss Calibration'!$E$8:$H$13,M164,3)</x:f>
        <x:v>0.4603185510969016</x:v>
      </x:c>
      <x:c r="K164" s="3" t="str">
        <x:v>Pickup</x:v>
      </x:c>
      <x:c r="L164" s="48" t="n">
        <x:v>30</x:v>
      </x:c>
      <x:c r="M164" s="48" t="n">
        <x:v>6</x:v>
      </x:c>
      <x:c r="N164" s="33" t="n">
        <x:f>IF(($L164/'Volume Build'!$D$23)&gt;=31,0,INDEX('AD Fleet'!$I$6:$I$37,INT(($L164/'Volume Build'!$D$23))+1)+(($L164/'Volume Build'!$D$23)-INT(($L164/'Volume Build'!$D$23)))*(INDEX('AD Fleet'!$I$6:$I$37,MIN(INT(($L164/'Volume Build'!$D$23))+2,32))-INDEX('AD Fleet'!$I$6:$I$37,INT(($L164/'Volume Build'!$D$23))+1)))</x:f>
        <x:v>0.1282393084622384</x:v>
      </x:c>
      <x:c r="O164" s="33" t="n">
        <x:f>IF(L164=0,'Volume Build'!$D$25,1)*EXP(-'Volume Build'!$D$24*MAX(L164-6,0))*'Vehicle Economics'!F$10</x:f>
        <x:v>0.11458023030622685</x:v>
      </x:c>
    </x:row>
    <x:row r="165" ht="18" customHeight="1">
      <x:c r="A165" s="2"/>
      <x:c r="B165" s="2"/>
      <x:c r="C165" s="2" t="str">
        <x:v>Pickup / 31</x:v>
      </x:c>
      <x:c r="D165" s="28" t="n">
        <x:f>INDEX('AD Fleet'!$E$6:$E$61,MATCH(1992,'AD Fleet'!$C$6:$C$61,0))*'Repair Costs'!F$29*$N165</x:f>
        <x:v>101.70528065417473</x:v>
      </x:c>
      <x:c r="E165" s="28" t="n">
        <x:f>INDEX('AD Fleet'!$E$6:$E$61,MATCH(1993,'AD Fleet'!$C$6:$C$61,0))*'Repair Costs'!F$29*$N165</x:f>
        <x:v>117.56857999146446</x:v>
      </x:c>
      <x:c r="F165" s="28" t="n">
        <x:f>INDEX('AD Fleet'!$E$6:$E$61,MATCH(1994,'AD Fleet'!$C$6:$C$61,0))*'Repair Costs'!F$29*$N165</x:f>
        <x:v>132.55302617987388</x:v>
      </x:c>
      <x:c r="G165" s="28" t="n">
        <x:f>INDEX('AD Fleet'!$E$6:$E$61,MATCH(1995,'AD Fleet'!$C$6:$C$61,0))*'Repair Costs'!F$29*$N165</x:f>
        <x:v>132.99245275431403</x:v>
      </x:c>
      <x:c r="H165" s="28" t="n">
        <x:f>INDEX('AD Fleet'!$E$6:$E$61,MATCH(1996,'AD Fleet'!$C$6:$C$61,0))*'Repair Costs'!F$29*$N165</x:f>
        <x:v>143.23109193876974</x:v>
      </x:c>
      <x:c r="I165" s="28" t="n">
        <x:f>'Fee Calculation'!M131</x:f>
        <x:v>394.54215708553676</x:v>
      </x:c>
      <x:c r="J165" s="33" t="n">
        <x:f>INDEX('Loss Calibration'!$E$8:$H$13,M165,3)</x:f>
        <x:v>0.4603185510969016</x:v>
      </x:c>
      <x:c r="K165" s="3" t="str">
        <x:v>Pickup</x:v>
      </x:c>
      <x:c r="L165" s="48" t="n">
        <x:v>31</x:v>
      </x:c>
      <x:c r="M165" s="48" t="n">
        <x:v>6</x:v>
      </x:c>
      <x:c r="N165" s="33" t="n">
        <x:f>IF(($L165/'Volume Build'!$D$23)&gt;=31,0,INDEX('AD Fleet'!$I$6:$I$37,INT(($L165/'Volume Build'!$D$23))+1)+(($L165/'Volume Build'!$D$23)-INT(($L165/'Volume Build'!$D$23)))*(INDEX('AD Fleet'!$I$6:$I$37,MIN(INT(($L165/'Volume Build'!$D$23))+2,32))-INDEX('AD Fleet'!$I$6:$I$37,INT(($L165/'Volume Build'!$D$23))+1)))</x:f>
        <x:v>0.11388808007279344</x:v>
      </x:c>
      <x:c r="O165" s="33" t="n">
        <x:f>IF(L165=0,'Volume Build'!$D$25,1)*EXP(-'Volume Build'!$D$24*MAX(L165-6,0))*'Vehicle Economics'!F$10</x:f>
        <x:v>0.10469017552872706</x:v>
      </x:c>
    </x:row>
    <x:row r="166" ht="18" customHeight="1">
      <x:c r="A166" s="2"/>
      <x:c r="B166" s="2"/>
      <x:c r="C166" s="2" t="str">
        <x:v>Pickup / 32</x:v>
      </x:c>
      <x:c r="D166" s="28" t="n">
        <x:f>INDEX('AD Fleet'!$E$6:$E$61,MATCH(1991,'AD Fleet'!$C$6:$C$61,0))*'Repair Costs'!F$29*$N166</x:f>
        <x:v>79.89875664602572</x:v>
      </x:c>
      <x:c r="E166" s="28" t="n">
        <x:f>INDEX('AD Fleet'!$E$6:$E$61,MATCH(1992,'AD Fleet'!$C$6:$C$61,0))*'Repair Costs'!F$29*$N166</x:f>
        <x:v>89.72618741253106</x:v>
      </x:c>
      <x:c r="F166" s="28" t="n">
        <x:f>INDEX('AD Fleet'!$E$6:$E$61,MATCH(1993,'AD Fleet'!$C$6:$C$61,0))*'Repair Costs'!F$29*$N166</x:f>
        <x:v>103.72106909579904</x:v>
      </x:c>
      <x:c r="G166" s="28" t="n">
        <x:f>INDEX('AD Fleet'!$E$6:$E$61,MATCH(1994,'AD Fleet'!$C$6:$C$61,0))*'Repair Costs'!F$29*$N166</x:f>
        <x:v>116.9406110736228</x:v>
      </x:c>
      <x:c r="H166" s="28" t="n">
        <x:f>INDEX('AD Fleet'!$E$6:$E$61,MATCH(1995,'AD Fleet'!$C$6:$C$61,0))*'Repair Costs'!F$29*$N166</x:f>
        <x:v>117.3282809263449</x:v>
      </x:c>
      <x:c r="I166" s="28" t="n">
        <x:f>'Fee Calculation'!M132</x:f>
        <x:v>366.1945685052201</x:v>
      </x:c>
      <x:c r="J166" s="33" t="n">
        <x:f>INDEX('Loss Calibration'!$E$8:$H$13,M166,3)</x:f>
        <x:v>0.4603185510969016</x:v>
      </x:c>
      <x:c r="K166" s="3" t="str">
        <x:v>Pickup</x:v>
      </x:c>
      <x:c r="L166" s="48" t="n">
        <x:v>32</x:v>
      </x:c>
      <x:c r="M166" s="48" t="n">
        <x:v>6</x:v>
      </x:c>
      <x:c r="N166" s="33" t="n">
        <x:f>IF(($L166/'Volume Build'!$D$23)&gt;=31,0,INDEX('AD Fleet'!$I$6:$I$37,INT(($L166/'Volume Build'!$D$23))+1)+(($L166/'Volume Build'!$D$23)-INT(($L166/'Volume Build'!$D$23)))*(INDEX('AD Fleet'!$I$6:$I$37,MIN(INT(($L166/'Volume Build'!$D$23))+2,32))-INDEX('AD Fleet'!$I$6:$I$37,INT(($L166/'Volume Build'!$D$23))+1)))</x:f>
        <x:v>0.10047406733393992</x:v>
      </x:c>
      <x:c r="O166" s="33" t="n">
        <x:f>IF(L166=0,'Volume Build'!$D$25,1)*EXP(-'Volume Build'!$D$24*MAX(L166-6,0))*'Vehicle Economics'!F$10</x:f>
        <x:v>0.09565378619805467</x:v>
      </x:c>
    </x:row>
    <x:row r="167" ht="18" customHeight="1">
      <x:c r="A167" s="2"/>
      <x:c r="B167" s="2"/>
      <x:c r="C167" s="2" t="str">
        <x:v>Pickup / 33</x:v>
      </x:c>
      <x:c r="D167" s="28" t="n">
        <x:f>INDEX('AD Fleet'!$E$6:$E$61,MATCH(1990,'AD Fleet'!$C$6:$C$61,0))*'Repair Costs'!F$29*$N167</x:f>
        <x:v>76.60380093246476</x:v>
      </x:c>
      <x:c r="E167" s="28" t="n">
        <x:f>INDEX('AD Fleet'!$E$6:$E$61,MATCH(1991,'AD Fleet'!$C$6:$C$61,0))*'Repair Costs'!F$29*$N167</x:f>
        <x:v>69.4285108715083</x:v>
      </x:c>
      <x:c r="F167" s="28" t="n">
        <x:f>INDEX('AD Fleet'!$E$6:$E$61,MATCH(1992,'AD Fleet'!$C$6:$C$61,0))*'Repair Costs'!F$29*$N167</x:f>
        <x:v>77.96811664828043</x:v>
      </x:c>
      <x:c r="G167" s="28" t="n">
        <x:f>INDEX('AD Fleet'!$E$6:$E$61,MATCH(1993,'AD Fleet'!$C$6:$C$61,0))*'Repair Costs'!F$29*$N167</x:f>
        <x:v>90.1290542633287</x:v>
      </x:c>
      <x:c r="H167" s="28" t="n">
        <x:f>INDEX('AD Fleet'!$E$6:$E$61,MATCH(1994,'AD Fleet'!$C$6:$C$61,0))*'Repair Costs'!F$29*$N167</x:f>
        <x:v>101.61625572241863</x:v>
      </x:c>
      <x:c r="I167" s="28" t="n">
        <x:f>'Fee Calculation'!M133</x:f>
        <x:v>356.7965918701047</x:v>
      </x:c>
      <x:c r="J167" s="33" t="n">
        <x:f>INDEX('Loss Calibration'!$E$8:$H$13,M167,3)</x:f>
        <x:v>0.4603185510969016</x:v>
      </x:c>
      <x:c r="K167" s="3" t="str">
        <x:v>Pickup</x:v>
      </x:c>
      <x:c r="L167" s="48" t="n">
        <x:v>33</x:v>
      </x:c>
      <x:c r="M167" s="48" t="n">
        <x:v>6</x:v>
      </x:c>
      <x:c r="N167" s="33" t="n">
        <x:f>IF(($L167/'Volume Build'!$D$23)&gt;=31,0,INDEX('AD Fleet'!$I$6:$I$37,INT(($L167/'Volume Build'!$D$23))+1)+(($L167/'Volume Build'!$D$23)-INT(($L167/'Volume Build'!$D$23)))*(INDEX('AD Fleet'!$I$6:$I$37,MIN(INT(($L167/'Volume Build'!$D$23))+2,32))-INDEX('AD Fleet'!$I$6:$I$37,INT(($L167/'Volume Build'!$D$23))+1)))</x:f>
        <x:v>0.08730755232029119</x:v>
      </x:c>
      <x:c r="O167" s="33" t="n">
        <x:f>IF(L167=0,'Volume Build'!$D$25,1)*EXP(-'Volume Build'!$D$24*MAX(L167-6,0))*'Vehicle Economics'!F$10</x:f>
        <x:v>0.08739737771776383</x:v>
      </x:c>
    </x:row>
    <x:row r="168" ht="18" customHeight="1">
      <x:c r="A168" s="2"/>
      <x:c r="B168" s="2"/>
      <x:c r="C168" s="2" t="str">
        <x:v>Pickup / 34</x:v>
      </x:c>
      <x:c r="D168" s="28" t="n">
        <x:f>INDEX('AD Fleet'!$E$6:$E$61,MATCH(1989,'AD Fleet'!$C$6:$C$61,0))*'Repair Costs'!F$29*$N168</x:f>
        <x:v>27.47475660093242</x:v>
      </x:c>
      <x:c r="E168" s="28" t="n">
        <x:f>INDEX('AD Fleet'!$E$6:$E$61,MATCH(1990,'AD Fleet'!$C$6:$C$61,0))*'Repair Costs'!F$29*$N168</x:f>
        <x:v>27.105247943826605</x:v>
      </x:c>
      <x:c r="F168" s="28" t="n">
        <x:f>INDEX('AD Fleet'!$E$6:$E$61,MATCH(1991,'AD Fleet'!$C$6:$C$61,0))*'Repair Costs'!F$29*$N168</x:f>
        <x:v>24.566365880486643</x:v>
      </x:c>
      <x:c r="G168" s="28" t="n">
        <x:f>INDEX('AD Fleet'!$E$6:$E$61,MATCH(1992,'AD Fleet'!$C$6:$C$61,0))*'Repair Costs'!F$29*$N168</x:f>
        <x:v>27.5879931248842</x:v>
      </x:c>
      <x:c r="H168" s="28" t="n">
        <x:f>INDEX('AD Fleet'!$E$6:$E$61,MATCH(1993,'AD Fleet'!$C$6:$C$61,0))*'Repair Costs'!F$29*$N168</x:f>
        <x:v>31.890981035051922</x:v>
      </x:c>
      <x:c r="I168" s="28" t="n">
        <x:f>'Fee Calculation'!M134</x:f>
        <x:v>350.07923159209423</x:v>
      </x:c>
      <x:c r="J168" s="33" t="n">
        <x:f>INDEX('Loss Calibration'!$E$8:$H$13,M168,3)</x:f>
        <x:v>0.4603185510969016</x:v>
      </x:c>
      <x:c r="K168" s="3" t="str">
        <x:v>Pickup</x:v>
      </x:c>
      <x:c r="L168" s="48" t="n">
        <x:v>34</x:v>
      </x:c>
      <x:c r="M168" s="48" t="n">
        <x:v>6</x:v>
      </x:c>
      <x:c r="N168" s="33" t="n">
        <x:f>IF(($L168/'Volume Build'!$D$23)&gt;=31,0,INDEX('AD Fleet'!$I$6:$I$37,INT(($L168/'Volume Build'!$D$23))+1)+(($L168/'Volume Build'!$D$23)-INT(($L168/'Volume Build'!$D$23)))*(INDEX('AD Fleet'!$I$6:$I$37,MIN(INT(($L168/'Volume Build'!$D$23))+2,32))-INDEX('AD Fleet'!$I$6:$I$37,INT(($L168/'Volume Build'!$D$23))+1)))</x:f>
        <x:v>0.03089262966333025</x:v>
      </x:c>
      <x:c r="O168" s="33" t="n">
        <x:f>IF(L168=0,'Volume Build'!$D$25,1)*EXP(-'Volume Build'!$D$24*MAX(L168-6,0))*'Vehicle Economics'!F$10</x:f>
        <x:v>0.0798536256173498</x:v>
      </x:c>
    </x:row>
    <x:row r="169" ht="18" customHeight="1">
      <x:c r="A169" s="2"/>
      <x:c r="B169" s="2"/>
      <x:c r="C169" s="2" t="str">
        <x:v>Pickup / 35</x:v>
      </x:c>
      <x:c r="D169" s="28" t="n">
        <x:f>INDEX('AD Fleet'!$E$6:$E$61,MATCH(1988,'AD Fleet'!$C$6:$C$61,0))*'Repair Costs'!F$29*$N169</x:f>
        <x:v>0</x:v>
      </x:c>
      <x:c r="E169" s="28" t="n">
        <x:f>INDEX('AD Fleet'!$E$6:$E$61,MATCH(1989,'AD Fleet'!$C$6:$C$61,0))*'Repair Costs'!F$29*$N169</x:f>
        <x:v>0</x:v>
      </x:c>
      <x:c r="F169" s="28" t="n">
        <x:f>INDEX('AD Fleet'!$E$6:$E$61,MATCH(1990,'AD Fleet'!$C$6:$C$61,0))*'Repair Costs'!F$29*$N169</x:f>
        <x:v>0</x:v>
      </x:c>
      <x:c r="G169" s="28" t="n">
        <x:f>INDEX('AD Fleet'!$E$6:$E$61,MATCH(1991,'AD Fleet'!$C$6:$C$61,0))*'Repair Costs'!F$29*$N169</x:f>
        <x:v>0</x:v>
      </x:c>
      <x:c r="H169" s="28" t="n">
        <x:f>INDEX('AD Fleet'!$E$6:$E$61,MATCH(1992,'AD Fleet'!$C$6:$C$61,0))*'Repair Costs'!F$29*$N169</x:f>
        <x:v>0</x:v>
      </x:c>
      <x:c r="I169" s="28" t="n">
        <x:f>'Fee Calculation'!M135</x:f>
        <x:v>313.5252997523018</x:v>
      </x:c>
      <x:c r="J169" s="33" t="n">
        <x:f>INDEX('Loss Calibration'!$E$8:$H$13,M169,3)</x:f>
        <x:v>0.4603185510969016</x:v>
      </x:c>
      <x:c r="K169" s="3" t="str">
        <x:v>Pickup</x:v>
      </x:c>
      <x:c r="L169" s="48" t="n">
        <x:v>35</x:v>
      </x:c>
      <x:c r="M169" s="48" t="n">
        <x:v>6</x:v>
      </x:c>
      <x:c r="N169" s="33" t="n">
        <x:f>IF(($L169/'Volume Build'!$D$23)&gt;=31,0,INDEX('AD Fleet'!$I$6:$I$37,INT(($L169/'Volume Build'!$D$23))+1)+(($L169/'Volume Build'!$D$23)-INT(($L169/'Volume Build'!$D$23)))*(INDEX('AD Fleet'!$I$6:$I$37,MIN(INT(($L169/'Volume Build'!$D$23))+2,32))-INDEX('AD Fleet'!$I$6:$I$37,INT(($L169/'Volume Build'!$D$23))+1)))</x:f>
        <x:v>0</x:v>
      </x:c>
      <x:c r="O169" s="33" t="n">
        <x:f>IF(L169=0,'Volume Build'!$D$25,1)*EXP(-'Volume Build'!$D$24*MAX(L169-6,0))*'Vehicle Economics'!F$10</x:f>
        <x:v>0.07296101657452587</x:v>
      </x:c>
    </x:row>
    <x:row r="170" ht="18" customHeight="1">
      <x:c r="A170" s="2"/>
      <x:c r="B170" s="2"/>
      <x:c r="C170" s="2" t="str">
        <x:v>Pickup / 36</x:v>
      </x:c>
      <x:c r="D170" s="28" t="n">
        <x:f>INDEX('AD Fleet'!$E$6:$E$61,MATCH(1987,'AD Fleet'!$C$6:$C$61,0))*'Repair Costs'!F$29*$N170</x:f>
        <x:v>0</x:v>
      </x:c>
      <x:c r="E170" s="28" t="n">
        <x:f>INDEX('AD Fleet'!$E$6:$E$61,MATCH(1988,'AD Fleet'!$C$6:$C$61,0))*'Repair Costs'!F$29*$N170</x:f>
        <x:v>0</x:v>
      </x:c>
      <x:c r="F170" s="28" t="n">
        <x:f>INDEX('AD Fleet'!$E$6:$E$61,MATCH(1989,'AD Fleet'!$C$6:$C$61,0))*'Repair Costs'!F$29*$N170</x:f>
        <x:v>0</x:v>
      </x:c>
      <x:c r="G170" s="28" t="n">
        <x:f>INDEX('AD Fleet'!$E$6:$E$61,MATCH(1990,'AD Fleet'!$C$6:$C$61,0))*'Repair Costs'!F$29*$N170</x:f>
        <x:v>0</x:v>
      </x:c>
      <x:c r="H170" s="28" t="n">
        <x:f>INDEX('AD Fleet'!$E$6:$E$61,MATCH(1991,'AD Fleet'!$C$6:$C$61,0))*'Repair Costs'!F$29*$N170</x:f>
        <x:v>0</x:v>
      </x:c>
      <x:c r="I170" s="28" t="n">
        <x:f>'Fee Calculation'!M136</x:f>
        <x:v>307.1192440785801</x:v>
      </x:c>
      <x:c r="J170" s="33" t="n">
        <x:f>INDEX('Loss Calibration'!$E$8:$H$13,M170,3)</x:f>
        <x:v>0.4603185510969016</x:v>
      </x:c>
      <x:c r="K170" s="3" t="str">
        <x:v>Pickup</x:v>
      </x:c>
      <x:c r="L170" s="48" t="n">
        <x:v>36</x:v>
      </x:c>
      <x:c r="M170" s="48" t="n">
        <x:v>6</x:v>
      </x:c>
      <x:c r="N170" s="33" t="n">
        <x:f>IF(($L170/'Volume Build'!$D$23)&gt;=31,0,INDEX('AD Fleet'!$I$6:$I$37,INT(($L170/'Volume Build'!$D$23))+1)+(($L170/'Volume Build'!$D$23)-INT(($L170/'Volume Build'!$D$23)))*(INDEX('AD Fleet'!$I$6:$I$37,MIN(INT(($L170/'Volume Build'!$D$23))+2,32))-INDEX('AD Fleet'!$I$6:$I$37,INT(($L170/'Volume Build'!$D$23))+1)))</x:f>
        <x:v>0</x:v>
      </x:c>
      <x:c r="O170" s="33" t="n">
        <x:f>IF(L170=0,'Volume Build'!$D$25,1)*EXP(-'Volume Build'!$D$24*MAX(L170-6,0))*'Vehicle Economics'!F$10</x:f>
        <x:v>0.0666633468228103</x:v>
      </x:c>
    </x:row>
    <x:row r="171" ht="18" customHeight="1">
      <x:c r="A171" s="2"/>
      <x:c r="B171" s="2"/>
      <x:c r="C171" s="2" t="str">
        <x:v>Pickup / 37</x:v>
      </x:c>
      <x:c r="D171" s="28" t="n">
        <x:f>INDEX('AD Fleet'!$E$6:$E$61,MATCH(1986,'AD Fleet'!$C$6:$C$61,0))*'Repair Costs'!F$29*$N171</x:f>
        <x:v>0</x:v>
      </x:c>
      <x:c r="E171" s="28" t="n">
        <x:f>INDEX('AD Fleet'!$E$6:$E$61,MATCH(1987,'AD Fleet'!$C$6:$C$61,0))*'Repair Costs'!F$29*$N171</x:f>
        <x:v>0</x:v>
      </x:c>
      <x:c r="F171" s="28" t="n">
        <x:f>INDEX('AD Fleet'!$E$6:$E$61,MATCH(1988,'AD Fleet'!$C$6:$C$61,0))*'Repair Costs'!F$29*$N171</x:f>
        <x:v>0</x:v>
      </x:c>
      <x:c r="G171" s="28" t="n">
        <x:f>INDEX('AD Fleet'!$E$6:$E$61,MATCH(1989,'AD Fleet'!$C$6:$C$61,0))*'Repair Costs'!F$29*$N171</x:f>
        <x:v>0</x:v>
      </x:c>
      <x:c r="H171" s="28" t="n">
        <x:f>INDEX('AD Fleet'!$E$6:$E$61,MATCH(1990,'AD Fleet'!$C$6:$C$61,0))*'Repair Costs'!F$29*$N171</x:f>
        <x:v>0</x:v>
      </x:c>
      <x:c r="I171" s="28" t="n">
        <x:f>'Fee Calculation'!M137</x:f>
        <x:v>297.096992293155</x:v>
      </x:c>
      <x:c r="J171" s="33" t="n">
        <x:f>INDEX('Loss Calibration'!$E$8:$H$13,M171,3)</x:f>
        <x:v>0.4603185510969016</x:v>
      </x:c>
      <x:c r="K171" s="3" t="str">
        <x:v>Pickup</x:v>
      </x:c>
      <x:c r="L171" s="48" t="n">
        <x:v>37</x:v>
      </x:c>
      <x:c r="M171" s="48" t="n">
        <x:v>6</x:v>
      </x:c>
      <x:c r="N171" s="33" t="n">
        <x:f>IF(($L171/'Volume Build'!$D$23)&gt;=31,0,INDEX('AD Fleet'!$I$6:$I$37,INT(($L171/'Volume Build'!$D$23))+1)+(($L171/'Volume Build'!$D$23)-INT(($L171/'Volume Build'!$D$23)))*(INDEX('AD Fleet'!$I$6:$I$37,MIN(INT(($L171/'Volume Build'!$D$23))+2,32))-INDEX('AD Fleet'!$I$6:$I$37,INT(($L171/'Volume Build'!$D$23))+1)))</x:f>
        <x:v>0</x:v>
      </x:c>
      <x:c r="O171" s="33" t="n">
        <x:f>IF(L171=0,'Volume Build'!$D$25,1)*EXP(-'Volume Build'!$D$24*MAX(L171-6,0))*'Vehicle Economics'!F$10</x:f>
        <x:v>0.06090926385433481</x:v>
      </x:c>
    </x:row>
    <x:row r="172" ht="18" customHeight="1">
      <x:c r="A172" s="2"/>
      <x:c r="B172" s="2"/>
      <x:c r="C172" s="2" t="str">
        <x:v>Pickup / 38</x:v>
      </x:c>
      <x:c r="D172" s="28" t="n">
        <x:f>INDEX('AD Fleet'!$E$6:$E$61,MATCH(1985,'AD Fleet'!$C$6:$C$61,0))*'Repair Costs'!F$29*$N172</x:f>
        <x:v>0</x:v>
      </x:c>
      <x:c r="E172" s="28" t="n">
        <x:f>INDEX('AD Fleet'!$E$6:$E$61,MATCH(1986,'AD Fleet'!$C$6:$C$61,0))*'Repair Costs'!F$29*$N172</x:f>
        <x:v>0</x:v>
      </x:c>
      <x:c r="F172" s="28" t="n">
        <x:f>INDEX('AD Fleet'!$E$6:$E$61,MATCH(1987,'AD Fleet'!$C$6:$C$61,0))*'Repair Costs'!F$29*$N172</x:f>
        <x:v>0</x:v>
      </x:c>
      <x:c r="G172" s="28" t="n">
        <x:f>INDEX('AD Fleet'!$E$6:$E$61,MATCH(1988,'AD Fleet'!$C$6:$C$61,0))*'Repair Costs'!F$29*$N172</x:f>
        <x:v>0</x:v>
      </x:c>
      <x:c r="H172" s="28" t="n">
        <x:f>INDEX('AD Fleet'!$E$6:$E$61,MATCH(1989,'AD Fleet'!$C$6:$C$61,0))*'Repair Costs'!F$29*$N172</x:f>
        <x:v>0</x:v>
      </x:c>
      <x:c r="I172" s="28" t="n">
        <x:f>'Fee Calculation'!M138</x:f>
        <x:v>289.69581127253923</x:v>
      </x:c>
      <x:c r="J172" s="33" t="n">
        <x:f>INDEX('Loss Calibration'!$E$8:$H$13,M172,3)</x:f>
        <x:v>0.4603185510969016</x:v>
      </x:c>
      <x:c r="K172" s="3" t="str">
        <x:v>Pickup</x:v>
      </x:c>
      <x:c r="L172" s="48" t="n">
        <x:v>38</x:v>
      </x:c>
      <x:c r="M172" s="48" t="n">
        <x:v>6</x:v>
      </x:c>
      <x:c r="N172" s="33" t="n">
        <x:f>IF(($L172/'Volume Build'!$D$23)&gt;=31,0,INDEX('AD Fleet'!$I$6:$I$37,INT(($L172/'Volume Build'!$D$23))+1)+(($L172/'Volume Build'!$D$23)-INT(($L172/'Volume Build'!$D$23)))*(INDEX('AD Fleet'!$I$6:$I$37,MIN(INT(($L172/'Volume Build'!$D$23))+2,32))-INDEX('AD Fleet'!$I$6:$I$37,INT(($L172/'Volume Build'!$D$23))+1)))</x:f>
        <x:v>0</x:v>
      </x:c>
      <x:c r="O172" s="33" t="n">
        <x:f>IF(L172=0,'Volume Build'!$D$25,1)*EXP(-'Volume Build'!$D$24*MAX(L172-6,0))*'Vehicle Economics'!F$10</x:f>
        <x:v>0.05565184768082394</x:v>
      </x:c>
    </x:row>
    <x:row r="173" ht="18" customHeight="1">
      <x:c r="A173" s="2"/>
      <x:c r="B173" s="2"/>
      <x:c r="C173" s="2" t="str">
        <x:v>Pickup / 39</x:v>
      </x:c>
      <x:c r="D173" s="28" t="n">
        <x:f>INDEX('AD Fleet'!$E$6:$E$61,MATCH(1984,'AD Fleet'!$C$6:$C$61,0))*'Repair Costs'!F$29*$N173</x:f>
        <x:v>0</x:v>
      </x:c>
      <x:c r="E173" s="28" t="n">
        <x:f>INDEX('AD Fleet'!$E$6:$E$61,MATCH(1985,'AD Fleet'!$C$6:$C$61,0))*'Repair Costs'!F$29*$N173</x:f>
        <x:v>0</x:v>
      </x:c>
      <x:c r="F173" s="28" t="n">
        <x:f>INDEX('AD Fleet'!$E$6:$E$61,MATCH(1986,'AD Fleet'!$C$6:$C$61,0))*'Repair Costs'!F$29*$N173</x:f>
        <x:v>0</x:v>
      </x:c>
      <x:c r="G173" s="28" t="n">
        <x:f>INDEX('AD Fleet'!$E$6:$E$61,MATCH(1987,'AD Fleet'!$C$6:$C$61,0))*'Repair Costs'!F$29*$N173</x:f>
        <x:v>0</x:v>
      </x:c>
      <x:c r="H173" s="28" t="n">
        <x:f>INDEX('AD Fleet'!$E$6:$E$61,MATCH(1988,'AD Fleet'!$C$6:$C$61,0))*'Repair Costs'!F$29*$N173</x:f>
        <x:v>0</x:v>
      </x:c>
      <x:c r="I173" s="28" t="n">
        <x:f>'Fee Calculation'!M139</x:f>
        <x:v>281.1541796101533</x:v>
      </x:c>
      <x:c r="J173" s="33" t="n">
        <x:f>INDEX('Loss Calibration'!$E$8:$H$13,M173,3)</x:f>
        <x:v>0.4603185510969016</x:v>
      </x:c>
      <x:c r="K173" s="3" t="str">
        <x:v>Pickup</x:v>
      </x:c>
      <x:c r="L173" s="48" t="n">
        <x:v>39</x:v>
      </x:c>
      <x:c r="M173" s="48" t="n">
        <x:v>6</x:v>
      </x:c>
      <x:c r="N173" s="33" t="n">
        <x:f>IF(($L173/'Volume Build'!$D$23)&gt;=31,0,INDEX('AD Fleet'!$I$6:$I$37,INT(($L173/'Volume Build'!$D$23))+1)+(($L173/'Volume Build'!$D$23)-INT(($L173/'Volume Build'!$D$23)))*(INDEX('AD Fleet'!$I$6:$I$37,MIN(INT(($L173/'Volume Build'!$D$23))+2,32))-INDEX('AD Fleet'!$I$6:$I$37,INT(($L173/'Volume Build'!$D$23))+1)))</x:f>
        <x:v>0</x:v>
      </x:c>
      <x:c r="O173" s="33" t="n">
        <x:f>IF(L173=0,'Volume Build'!$D$25,1)*EXP(-'Volume Build'!$D$24*MAX(L173-6,0))*'Vehicle Economics'!F$10</x:f>
        <x:v>0.05084822823826022</x:v>
      </x:c>
    </x:row>
    <x:row r="174" ht="18" customHeight="1">
      <x:c r="A174" s="2"/>
      <x:c r="B174" s="2"/>
      <x:c r="C174" s="2" t="str">
        <x:v>Pickup / 40</x:v>
      </x:c>
      <x:c r="D174" s="28" t="n">
        <x:f>INDEX('AD Fleet'!$E$6:$E$61,MATCH(1983,'AD Fleet'!$C$6:$C$61,0))*'Repair Costs'!F$29*$N174</x:f>
        <x:v>0</x:v>
      </x:c>
      <x:c r="E174" s="28" t="n">
        <x:f>INDEX('AD Fleet'!$E$6:$E$61,MATCH(1984,'AD Fleet'!$C$6:$C$61,0))*'Repair Costs'!F$29*$N174</x:f>
        <x:v>0</x:v>
      </x:c>
      <x:c r="F174" s="28" t="n">
        <x:f>INDEX('AD Fleet'!$E$6:$E$61,MATCH(1985,'AD Fleet'!$C$6:$C$61,0))*'Repair Costs'!F$29*$N174</x:f>
        <x:v>0</x:v>
      </x:c>
      <x:c r="G174" s="28" t="n">
        <x:f>INDEX('AD Fleet'!$E$6:$E$61,MATCH(1986,'AD Fleet'!$C$6:$C$61,0))*'Repair Costs'!F$29*$N174</x:f>
        <x:v>0</x:v>
      </x:c>
      <x:c r="H174" s="28" t="n">
        <x:f>INDEX('AD Fleet'!$E$6:$E$61,MATCH(1987,'AD Fleet'!$C$6:$C$61,0))*'Repair Costs'!F$29*$N174</x:f>
        <x:v>0</x:v>
      </x:c>
      <x:c r="I174" s="28" t="n">
        <x:f>'Fee Calculation'!M140</x:f>
        <x:v>278.3366723062155</x:v>
      </x:c>
      <x:c r="J174" s="33" t="n">
        <x:f>INDEX('Loss Calibration'!$E$8:$H$13,M174,3)</x:f>
        <x:v>0.4603185510969016</x:v>
      </x:c>
      <x:c r="K174" s="3" t="str">
        <x:v>Pickup</x:v>
      </x:c>
      <x:c r="L174" s="48" t="n">
        <x:v>40</x:v>
      </x:c>
      <x:c r="M174" s="48" t="n">
        <x:v>6</x:v>
      </x:c>
      <x:c r="N174" s="33" t="n">
        <x:f>IF(($L174/'Volume Build'!$D$23)&gt;=31,0,INDEX('AD Fleet'!$I$6:$I$37,INT(($L174/'Volume Build'!$D$23))+1)+(($L174/'Volume Build'!$D$23)-INT(($L174/'Volume Build'!$D$23)))*(INDEX('AD Fleet'!$I$6:$I$37,MIN(INT(($L174/'Volume Build'!$D$23))+2,32))-INDEX('AD Fleet'!$I$6:$I$37,INT(($L174/'Volume Build'!$D$23))+1)))</x:f>
        <x:v>0</x:v>
      </x:c>
      <x:c r="O174" s="33" t="n">
        <x:f>IF(L174=0,'Volume Build'!$D$25,1)*EXP(-'Volume Build'!$D$24*MAX(L174-6,0))*'Vehicle Economics'!F$10</x:f>
        <x:v>0.04645923581547334</x:v>
      </x:c>
    </x:row>
    <x:row r="175" ht="18" customHeight="1">
      <x:c r="A175" s="2"/>
      <x:c r="B175" s="2"/>
      <x:c r="C175" s="2" t="str">
        <x:v>Pickup / 41</x:v>
      </x:c>
      <x:c r="D175" s="28" t="n">
        <x:f>INDEX('AD Fleet'!$E$6:$E$61,MATCH(1982,'AD Fleet'!$C$6:$C$61,0))*'Repair Costs'!F$29*$N175</x:f>
        <x:v>0</x:v>
      </x:c>
      <x:c r="E175" s="28" t="n">
        <x:f>INDEX('AD Fleet'!$E$6:$E$61,MATCH(1983,'AD Fleet'!$C$6:$C$61,0))*'Repair Costs'!F$29*$N175</x:f>
        <x:v>0</x:v>
      </x:c>
      <x:c r="F175" s="28" t="n">
        <x:f>INDEX('AD Fleet'!$E$6:$E$61,MATCH(1984,'AD Fleet'!$C$6:$C$61,0))*'Repair Costs'!F$29*$N175</x:f>
        <x:v>0</x:v>
      </x:c>
      <x:c r="G175" s="28" t="n">
        <x:f>INDEX('AD Fleet'!$E$6:$E$61,MATCH(1985,'AD Fleet'!$C$6:$C$61,0))*'Repair Costs'!F$29*$N175</x:f>
        <x:v>0</x:v>
      </x:c>
      <x:c r="H175" s="28" t="n">
        <x:f>INDEX('AD Fleet'!$E$6:$E$61,MATCH(1986,'AD Fleet'!$C$6:$C$61,0))*'Repair Costs'!F$29*$N175</x:f>
        <x:v>0</x:v>
      </x:c>
      <x:c r="I175" s="28" t="n">
        <x:f>'Fee Calculation'!M141</x:f>
        <x:v>277.48385643084043</x:v>
      </x:c>
      <x:c r="J175" s="33" t="n">
        <x:f>INDEX('Loss Calibration'!$E$8:$H$13,M175,3)</x:f>
        <x:v>0.4603185510969016</x:v>
      </x:c>
      <x:c r="K175" s="3" t="str">
        <x:v>Pickup</x:v>
      </x:c>
      <x:c r="L175" s="48" t="n">
        <x:v>41</x:v>
      </x:c>
      <x:c r="M175" s="48" t="n">
        <x:v>6</x:v>
      </x:c>
      <x:c r="N175" s="33" t="n">
        <x:f>IF(($L175/'Volume Build'!$D$23)&gt;=31,0,INDEX('AD Fleet'!$I$6:$I$37,INT(($L175/'Volume Build'!$D$23))+1)+(($L175/'Volume Build'!$D$23)-INT(($L175/'Volume Build'!$D$23)))*(INDEX('AD Fleet'!$I$6:$I$37,MIN(INT(($L175/'Volume Build'!$D$23))+2,32))-INDEX('AD Fleet'!$I$6:$I$37,INT(($L175/'Volume Build'!$D$23))+1)))</x:f>
        <x:v>0</x:v>
      </x:c>
      <x:c r="O175" s="33" t="n">
        <x:f>IF(L175=0,'Volume Build'!$D$25,1)*EXP(-'Volume Build'!$D$24*MAX(L175-6,0))*'Vehicle Economics'!F$10</x:f>
        <x:v>0.0424490816561756</x:v>
      </x:c>
    </x:row>
    <x:row r="176" ht="18" customHeight="1">
      <x:c r="A176" s="2"/>
      <x:c r="B176" s="2"/>
      <x:c r="C176" s="2" t="str">
        <x:v>Pickup / 42</x:v>
      </x:c>
      <x:c r="D176" s="28" t="n">
        <x:f>INDEX('AD Fleet'!$E$6:$E$61,MATCH(1981,'AD Fleet'!$C$6:$C$61,0))*'Repair Costs'!F$29*$N176</x:f>
        <x:v>0</x:v>
      </x:c>
      <x:c r="E176" s="28" t="n">
        <x:f>INDEX('AD Fleet'!$E$6:$E$61,MATCH(1982,'AD Fleet'!$C$6:$C$61,0))*'Repair Costs'!F$29*$N176</x:f>
        <x:v>0</x:v>
      </x:c>
      <x:c r="F176" s="28" t="n">
        <x:f>INDEX('AD Fleet'!$E$6:$E$61,MATCH(1983,'AD Fleet'!$C$6:$C$61,0))*'Repair Costs'!F$29*$N176</x:f>
        <x:v>0</x:v>
      </x:c>
      <x:c r="G176" s="28" t="n">
        <x:f>INDEX('AD Fleet'!$E$6:$E$61,MATCH(1984,'AD Fleet'!$C$6:$C$61,0))*'Repair Costs'!F$29*$N176</x:f>
        <x:v>0</x:v>
      </x:c>
      <x:c r="H176" s="28" t="n">
        <x:f>INDEX('AD Fleet'!$E$6:$E$61,MATCH(1985,'AD Fleet'!$C$6:$C$61,0))*'Repair Costs'!F$29*$N176</x:f>
        <x:v>0</x:v>
      </x:c>
      <x:c r="I176" s="28" t="n">
        <x:f>'Fee Calculation'!M142</x:f>
        <x:v>231.08719671610592</x:v>
      </x:c>
      <x:c r="J176" s="33" t="n">
        <x:f>INDEX('Loss Calibration'!$E$8:$H$13,M176,3)</x:f>
        <x:v>0.4603185510969016</x:v>
      </x:c>
      <x:c r="K176" s="3" t="str">
        <x:v>Pickup</x:v>
      </x:c>
      <x:c r="L176" s="48" t="n">
        <x:v>42</x:v>
      </x:c>
      <x:c r="M176" s="48" t="n">
        <x:v>6</x:v>
      </x:c>
      <x:c r="N176" s="33" t="n">
        <x:f>IF(($L176/'Volume Build'!$D$23)&gt;=31,0,INDEX('AD Fleet'!$I$6:$I$37,INT(($L176/'Volume Build'!$D$23))+1)+(($L176/'Volume Build'!$D$23)-INT(($L176/'Volume Build'!$D$23)))*(INDEX('AD Fleet'!$I$6:$I$37,MIN(INT(($L176/'Volume Build'!$D$23))+2,32))-INDEX('AD Fleet'!$I$6:$I$37,INT(($L176/'Volume Build'!$D$23))+1)))</x:f>
        <x:v>0</x:v>
      </x:c>
      <x:c r="O176" s="33" t="n">
        <x:f>IF(L176=0,'Volume Build'!$D$25,1)*EXP(-'Volume Build'!$D$24*MAX(L176-6,0))*'Vehicle Economics'!F$10</x:f>
        <x:v>0.038785066130005715</x:v>
      </x:c>
    </x:row>
    <x:row r="177" ht="18" customHeight="1">
      <x:c r="A177" s="2"/>
      <x:c r="B177" s="2"/>
      <x:c r="C177" s="2" t="str">
        <x:v>Pickup / 43</x:v>
      </x:c>
      <x:c r="D177" s="28" t="n">
        <x:f>INDEX('AD Fleet'!$E$6:$E$61,MATCH(1980,'AD Fleet'!$C$6:$C$61,0))*'Repair Costs'!F$29*$N177</x:f>
        <x:v>0</x:v>
      </x:c>
      <x:c r="E177" s="28" t="n">
        <x:f>INDEX('AD Fleet'!$E$6:$E$61,MATCH(1981,'AD Fleet'!$C$6:$C$61,0))*'Repair Costs'!F$29*$N177</x:f>
        <x:v>0</x:v>
      </x:c>
      <x:c r="F177" s="28" t="n">
        <x:f>INDEX('AD Fleet'!$E$6:$E$61,MATCH(1982,'AD Fleet'!$C$6:$C$61,0))*'Repair Costs'!F$29*$N177</x:f>
        <x:v>0</x:v>
      </x:c>
      <x:c r="G177" s="28" t="n">
        <x:f>INDEX('AD Fleet'!$E$6:$E$61,MATCH(1983,'AD Fleet'!$C$6:$C$61,0))*'Repair Costs'!F$29*$N177</x:f>
        <x:v>0</x:v>
      </x:c>
      <x:c r="H177" s="28" t="n">
        <x:f>INDEX('AD Fleet'!$E$6:$E$61,MATCH(1984,'AD Fleet'!$C$6:$C$61,0))*'Repair Costs'!F$29*$N177</x:f>
        <x:v>0</x:v>
      </x:c>
      <x:c r="I177" s="28" t="n">
        <x:f>'Fee Calculation'!M143</x:f>
        <x:v>230.3889701322232</x:v>
      </x:c>
      <x:c r="J177" s="33" t="n">
        <x:f>INDEX('Loss Calibration'!$E$8:$H$13,M177,3)</x:f>
        <x:v>0.4603185510969016</x:v>
      </x:c>
      <x:c r="K177" s="3" t="str">
        <x:v>Pickup</x:v>
      </x:c>
      <x:c r="L177" s="48" t="n">
        <x:v>43</x:v>
      </x:c>
      <x:c r="M177" s="48" t="n">
        <x:v>6</x:v>
      </x:c>
      <x:c r="N177" s="33" t="n">
        <x:f>IF(($L177/'Volume Build'!$D$23)&gt;=31,0,INDEX('AD Fleet'!$I$6:$I$37,INT(($L177/'Volume Build'!$D$23))+1)+(($L177/'Volume Build'!$D$23)-INT(($L177/'Volume Build'!$D$23)))*(INDEX('AD Fleet'!$I$6:$I$37,MIN(INT(($L177/'Volume Build'!$D$23))+2,32))-INDEX('AD Fleet'!$I$6:$I$37,INT(($L177/'Volume Build'!$D$23))+1)))</x:f>
        <x:v>0</x:v>
      </x:c>
      <x:c r="O177" s="33" t="n">
        <x:f>IF(L177=0,'Volume Build'!$D$25,1)*EXP(-'Volume Build'!$D$24*MAX(L177-6,0))*'Vehicle Economics'!F$10</x:f>
        <x:v>0.0354373120929477</x:v>
      </x:c>
    </x:row>
    <x:row r="178" ht="18" customHeight="1">
      <x:c r="A178" s="2"/>
      <x:c r="B178" s="2"/>
      <x:c r="C178" s="2" t="str">
        <x:v>Pickup / 44</x:v>
      </x:c>
      <x:c r="D178" s="28" t="n">
        <x:f>INDEX('AD Fleet'!$E$6:$E$61,MATCH(1979,'AD Fleet'!$C$6:$C$61,0))*'Repair Costs'!F$29*$N178</x:f>
        <x:v>0</x:v>
      </x:c>
      <x:c r="E178" s="28" t="n">
        <x:f>INDEX('AD Fleet'!$E$6:$E$61,MATCH(1980,'AD Fleet'!$C$6:$C$61,0))*'Repair Costs'!F$29*$N178</x:f>
        <x:v>0</x:v>
      </x:c>
      <x:c r="F178" s="28" t="n">
        <x:f>INDEX('AD Fleet'!$E$6:$E$61,MATCH(1981,'AD Fleet'!$C$6:$C$61,0))*'Repair Costs'!F$29*$N178</x:f>
        <x:v>0</x:v>
      </x:c>
      <x:c r="G178" s="28" t="n">
        <x:f>INDEX('AD Fleet'!$E$6:$E$61,MATCH(1982,'AD Fleet'!$C$6:$C$61,0))*'Repair Costs'!F$29*$N178</x:f>
        <x:v>0</x:v>
      </x:c>
      <x:c r="H178" s="28" t="n">
        <x:f>INDEX('AD Fleet'!$E$6:$E$61,MATCH(1983,'AD Fleet'!$C$6:$C$61,0))*'Repair Costs'!F$29*$N178</x:f>
        <x:v>0</x:v>
      </x:c>
      <x:c r="I178" s="28" t="n">
        <x:f>'Fee Calculation'!M144</x:f>
        <x:v>229.75718859285868</x:v>
      </x:c>
      <x:c r="J178" s="33" t="n">
        <x:f>INDEX('Loss Calibration'!$E$8:$H$13,M178,3)</x:f>
        <x:v>0.4603185510969016</x:v>
      </x:c>
      <x:c r="K178" s="3" t="str">
        <x:v>Pickup</x:v>
      </x:c>
      <x:c r="L178" s="48" t="n">
        <x:v>44</x:v>
      </x:c>
      <x:c r="M178" s="48" t="n">
        <x:v>6</x:v>
      </x:c>
      <x:c r="N178" s="33" t="n">
        <x:f>IF(($L178/'Volume Build'!$D$23)&gt;=31,0,INDEX('AD Fleet'!$I$6:$I$37,INT(($L178/'Volume Build'!$D$23))+1)+(($L178/'Volume Build'!$D$23)-INT(($L178/'Volume Build'!$D$23)))*(INDEX('AD Fleet'!$I$6:$I$37,MIN(INT(($L178/'Volume Build'!$D$23))+2,32))-INDEX('AD Fleet'!$I$6:$I$37,INT(($L178/'Volume Build'!$D$23))+1)))</x:f>
        <x:v>0</x:v>
      </x:c>
      <x:c r="O178" s="33" t="n">
        <x:f>IF(L178=0,'Volume Build'!$D$25,1)*EXP(-'Volume Build'!$D$24*MAX(L178-6,0))*'Vehicle Economics'!F$10</x:f>
        <x:v>0.032378521262889814</x:v>
      </x:c>
    </x:row>
    <x:row r="179" ht="18" customHeight="1">
      <x:c r="A179" s="2"/>
      <x:c r="B179" s="2"/>
      <x:c r="C179" s="2" t="str">
        <x:v>Pickup / 45</x:v>
      </x:c>
      <x:c r="D179" s="28" t="n">
        <x:f>INDEX('AD Fleet'!$E$6:$E$61,MATCH(1978,'AD Fleet'!$C$6:$C$61,0))*'Repair Costs'!F$29*$N179</x:f>
        <x:v>0</x:v>
      </x:c>
      <x:c r="E179" s="28" t="n">
        <x:f>INDEX('AD Fleet'!$E$6:$E$61,MATCH(1979,'AD Fleet'!$C$6:$C$61,0))*'Repair Costs'!F$29*$N179</x:f>
        <x:v>0</x:v>
      </x:c>
      <x:c r="F179" s="28" t="n">
        <x:f>INDEX('AD Fleet'!$E$6:$E$61,MATCH(1980,'AD Fleet'!$C$6:$C$61,0))*'Repair Costs'!F$29*$N179</x:f>
        <x:v>0</x:v>
      </x:c>
      <x:c r="G179" s="28" t="n">
        <x:f>INDEX('AD Fleet'!$E$6:$E$61,MATCH(1981,'AD Fleet'!$C$6:$C$61,0))*'Repair Costs'!F$29*$N179</x:f>
        <x:v>0</x:v>
      </x:c>
      <x:c r="H179" s="28" t="n">
        <x:f>INDEX('AD Fleet'!$E$6:$E$61,MATCH(1982,'AD Fleet'!$C$6:$C$61,0))*'Repair Costs'!F$29*$N179</x:f>
        <x:v>0</x:v>
      </x:c>
      <x:c r="I179" s="28" t="n">
        <x:f>'Fee Calculation'!M145</x:f>
        <x:v>229.18552901601734</x:v>
      </x:c>
      <x:c r="J179" s="33" t="n">
        <x:f>INDEX('Loss Calibration'!$E$8:$H$13,M179,3)</x:f>
        <x:v>0.4603185510969016</x:v>
      </x:c>
      <x:c r="K179" s="3" t="str">
        <x:v>Pickup</x:v>
      </x:c>
      <x:c r="L179" s="48" t="n">
        <x:v>45</x:v>
      </x:c>
      <x:c r="M179" s="48" t="n">
        <x:v>6</x:v>
      </x:c>
      <x:c r="N179" s="33" t="n">
        <x:f>IF(($L179/'Volume Build'!$D$23)&gt;=31,0,INDEX('AD Fleet'!$I$6:$I$37,INT(($L179/'Volume Build'!$D$23))+1)+(($L179/'Volume Build'!$D$23)-INT(($L179/'Volume Build'!$D$23)))*(INDEX('AD Fleet'!$I$6:$I$37,MIN(INT(($L179/'Volume Build'!$D$23))+2,32))-INDEX('AD Fleet'!$I$6:$I$37,INT(($L179/'Volume Build'!$D$23))+1)))</x:f>
        <x:v>0</x:v>
      </x:c>
      <x:c r="O179" s="33" t="n">
        <x:f>IF(L179=0,'Volume Build'!$D$25,1)*EXP(-'Volume Build'!$D$24*MAX(L179-6,0))*'Vehicle Economics'!F$10</x:f>
        <x:v>0.02958375162375934</x:v>
      </x:c>
    </x:row>
    <x:row r="180" ht="18" customHeight="1">
      <x:c r="A180" s="2"/>
      <x:c r="B180" s="2"/>
      <x:c r="C180" s="2" t="str">
        <x:v>Van / 0</x:v>
      </x:c>
      <x:c r="D180" s="28" t="n">
        <x:f>INDEX('AD Fleet'!$E$6:$E$61,MATCH(2023,'AD Fleet'!$C$6:$C$61,0))*'Repair Costs'!G$29*$N180</x:f>
        <x:v>996.8492035398228</x:v>
      </x:c>
      <x:c r="E180" s="28" t="n">
        <x:f>INDEX('AD Fleet'!$E$6:$E$61,MATCH(2024,'AD Fleet'!$C$6:$C$61,0))*'Repair Costs'!G$29*$N180</x:f>
        <x:v>1036.1378761061947</x:v>
      </x:c>
      <x:c r="F180" s="28" t="n">
        <x:f>INDEX('AD Fleet'!$E$6:$E$61,MATCH(2025,'AD Fleet'!$C$6:$C$61,0))*'Repair Costs'!G$29*$N180</x:f>
        <x:v>1088.9442477876105</x:v>
      </x:c>
      <x:c r="G180" s="28" t="n">
        <x:f>G$26*G$27*'Repair Costs'!G$29*$N180</x:f>
        <x:v>1088.9442477876105</x:v>
      </x:c>
      <x:c r="H180" s="28" t="n">
        <x:f>H$26*H$27*'Repair Costs'!G$29*$N180</x:f>
        <x:v>1088.9442477876105</x:v>
      </x:c>
      <x:c r="I180" s="28" t="n">
        <x:f>'Fee Calculation'!M146</x:f>
        <x:v>1785.823273036976</x:v>
      </x:c>
      <x:c r="J180" s="33" t="n">
        <x:f>INDEX('Loss Calibration'!$E$8:$H$13,M180,4)</x:f>
        <x:v>0.08103838157626347</x:v>
      </x:c>
      <x:c r="K180" s="3" t="str">
        <x:v>Van</x:v>
      </x:c>
      <x:c r="L180" s="48" t="n">
        <x:v>0</x:v>
      </x:c>
      <x:c r="M180" s="48" t="n">
        <x:v>1</x:v>
      </x:c>
      <x:c r="N180" s="33" t="n">
        <x:f>IF(($L180/'Volume Build'!$D$23)&gt;=31,0,INDEX('AD Fleet'!$I$6:$I$37,INT(($L180/'Volume Build'!$D$23))+1)+(($L180/'Volume Build'!$D$23)-INT(($L180/'Volume Build'!$D$23)))*(INDEX('AD Fleet'!$I$6:$I$37,MIN(INT(($L180/'Volume Build'!$D$23))+2,32))-INDEX('AD Fleet'!$I$6:$I$37,INT(($L180/'Volume Build'!$D$23))+1)))</x:f>
        <x:v>1</x:v>
      </x:c>
      <x:c r="O180" s="33" t="n">
        <x:f>IF(L180=0,'Volume Build'!$D$25,1)*EXP(-'Volume Build'!$D$24*MAX(L180-6,0))*'Vehicle Economics'!G$10</x:f>
        <x:v>0.5</x:v>
      </x:c>
    </x:row>
    <x:row r="181" ht="18" customHeight="1">
      <x:c r="A181" s="2"/>
      <x:c r="B181" s="2"/>
      <x:c r="C181" s="2" t="str">
        <x:v>Van / 1</x:v>
      </x:c>
      <x:c r="D181" s="28" t="n">
        <x:f>INDEX('AD Fleet'!$E$6:$E$61,MATCH(2022,'AD Fleet'!$C$6:$C$61,0))*'Repair Costs'!G$29*$N181</x:f>
        <x:v>869.7388470612865</x:v>
      </x:c>
      <x:c r="E181" s="28" t="n">
        <x:f>INDEX('AD Fleet'!$E$6:$E$61,MATCH(2023,'AD Fleet'!$C$6:$C$61,0))*'Repair Costs'!G$29*$N181</x:f>
        <x:v>988.6857432742556</x:v>
      </x:c>
      <x:c r="F181" s="28" t="n">
        <x:f>INDEX('AD Fleet'!$E$6:$E$61,MATCH(2024,'AD Fleet'!$C$6:$C$61,0))*'Repair Costs'!G$29*$N181</x:f>
        <x:v>1027.6526705693832</x:v>
      </x:c>
      <x:c r="G181" s="28" t="n">
        <x:f>INDEX('AD Fleet'!$E$6:$E$61,MATCH(2025,'AD Fleet'!$C$6:$C$61,0))*'Repair Costs'!G$29*$N181</x:f>
        <x:v>1080.0265969868021</x:v>
      </x:c>
      <x:c r="H181" s="28" t="n">
        <x:f>G$26*G$27*'Repair Costs'!G$29*$N181</x:f>
        <x:v>1080.0265969868021</x:v>
      </x:c>
      <x:c r="I181" s="28" t="n">
        <x:f>'Fee Calculation'!M147</x:f>
        <x:v>1696.5220787640524</x:v>
      </x:c>
      <x:c r="J181" s="33" t="n">
        <x:f>INDEX('Loss Calibration'!$E$8:$H$13,M181,4)</x:f>
        <x:v>0.08946221754180095</x:v>
      </x:c>
      <x:c r="K181" s="3" t="str">
        <x:v>Van</x:v>
      </x:c>
      <x:c r="L181" s="48" t="n">
        <x:v>1</x:v>
      </x:c>
      <x:c r="M181" s="48" t="n">
        <x:v>2</x:v>
      </x:c>
      <x:c r="N181" s="33" t="n">
        <x:f>IF(($L181/'Volume Build'!$D$23)&gt;=31,0,INDEX('AD Fleet'!$I$6:$I$37,INT(($L181/'Volume Build'!$D$23))+1)+(($L181/'Volume Build'!$D$23)-INT(($L181/'Volume Build'!$D$23)))*(INDEX('AD Fleet'!$I$6:$I$37,MIN(INT(($L181/'Volume Build'!$D$23))+2,32))-INDEX('AD Fleet'!$I$6:$I$37,INT(($L181/'Volume Build'!$D$23))+1)))</x:f>
        <x:v>0.991810737033667</x:v>
      </x:c>
      <x:c r="O181" s="33" t="n">
        <x:f>IF(L181=0,'Volume Build'!$D$25,1)*EXP(-'Volume Build'!$D$24*MAX(L181-6,0))*'Vehicle Economics'!G$10</x:f>
        <x:v>1</x:v>
      </x:c>
    </x:row>
    <x:row r="182" ht="18" customHeight="1">
      <x:c r="A182" s="2"/>
      <x:c r="B182" s="2"/>
      <x:c r="C182" s="2" t="str">
        <x:v>Van / 2</x:v>
      </x:c>
      <x:c r="D182" s="28" t="n">
        <x:f>INDEX('AD Fleet'!$E$6:$E$61,MATCH(2021,'AD Fleet'!$C$6:$C$61,0))*'Repair Costs'!G$29*$N182</x:f>
        <x:v>918.0664976205237</x:v>
      </x:c>
      <x:c r="E182" s="28" t="n">
        <x:f>INDEX('AD Fleet'!$E$6:$E$61,MATCH(2022,'AD Fleet'!$C$6:$C$61,0))*'Repair Costs'!G$29*$N182</x:f>
        <x:v>862.5575171314226</x:v>
      </x:c>
      <x:c r="F182" s="28" t="n">
        <x:f>INDEX('AD Fleet'!$E$6:$E$61,MATCH(2023,'AD Fleet'!$C$6:$C$61,0))*'Repair Costs'!G$29*$N182</x:f>
        <x:v>980.5222830086883</x:v>
      </x:c>
      <x:c r="G182" s="28" t="n">
        <x:f>INDEX('AD Fleet'!$E$6:$E$61,MATCH(2024,'AD Fleet'!$C$6:$C$61,0))*'Repair Costs'!G$29*$N182</x:f>
        <x:v>1019.1674650325717</x:v>
      </x:c>
      <x:c r="H182" s="28" t="n">
        <x:f>INDEX('AD Fleet'!$E$6:$E$61,MATCH(2025,'AD Fleet'!$C$6:$C$61,0))*'Repair Costs'!G$29*$N182</x:f>
        <x:v>1071.1089461859935</x:v>
      </x:c>
      <x:c r="I182" s="28" t="n">
        <x:f>'Fee Calculation'!M148</x:f>
        <x:v>1618.5173908909721</x:v>
      </x:c>
      <x:c r="J182" s="33" t="n">
        <x:f>INDEX('Loss Calibration'!$E$8:$H$13,M182,4)</x:f>
        <x:v>0.08946221754180095</x:v>
      </x:c>
      <x:c r="K182" s="3" t="str">
        <x:v>Van</x:v>
      </x:c>
      <x:c r="L182" s="48" t="n">
        <x:v>2</x:v>
      </x:c>
      <x:c r="M182" s="48" t="n">
        <x:v>2</x:v>
      </x:c>
      <x:c r="N182" s="33" t="n">
        <x:f>IF(($L182/'Volume Build'!$D$23)&gt;=31,0,INDEX('AD Fleet'!$I$6:$I$37,INT(($L182/'Volume Build'!$D$23))+1)+(($L182/'Volume Build'!$D$23)-INT(($L182/'Volume Build'!$D$23)))*(INDEX('AD Fleet'!$I$6:$I$37,MIN(INT(($L182/'Volume Build'!$D$23))+2,32))-INDEX('AD Fleet'!$I$6:$I$37,INT(($L182/'Volume Build'!$D$23))+1)))</x:f>
        <x:v>0.9836214740673339</x:v>
      </x:c>
      <x:c r="O182" s="33" t="n">
        <x:f>IF(L182=0,'Volume Build'!$D$25,1)*EXP(-'Volume Build'!$D$24*MAX(L182-6,0))*'Vehicle Economics'!G$10</x:f>
        <x:v>1</x:v>
      </x:c>
    </x:row>
    <x:row r="183" ht="18" customHeight="1">
      <x:c r="A183" s="2"/>
      <x:c r="B183" s="2"/>
      <x:c r="C183" s="2" t="str">
        <x:v>Van / 3</x:v>
      </x:c>
      <x:c r="D183" s="28" t="n">
        <x:f>INDEX('AD Fleet'!$E$6:$E$61,MATCH(2020,'AD Fleet'!$C$6:$C$61,0))*'Repair Costs'!G$29*$N183</x:f>
        <x:v>869.9412028634235</x:v>
      </x:c>
      <x:c r="E183" s="28" t="n">
        <x:f>INDEX('AD Fleet'!$E$6:$E$61,MATCH(2021,'AD Fleet'!$C$6:$C$61,0))*'Repair Costs'!G$29*$N183</x:f>
        <x:v>910.4230207670688</x:v>
      </x:c>
      <x:c r="F183" s="28" t="n">
        <x:f>INDEX('AD Fleet'!$E$6:$E$61,MATCH(2022,'AD Fleet'!$C$6:$C$61,0))*'Repair Costs'!G$29*$N183</x:f>
        <x:v>855.3761872015588</x:v>
      </x:c>
      <x:c r="G183" s="28" t="n">
        <x:f>INDEX('AD Fleet'!$E$6:$E$61,MATCH(2023,'AD Fleet'!$C$6:$C$61,0))*'Repair Costs'!G$29*$N183</x:f>
        <x:v>972.3588227431211</x:v>
      </x:c>
      <x:c r="H183" s="28" t="n">
        <x:f>INDEX('AD Fleet'!$E$6:$E$61,MATCH(2024,'AD Fleet'!$C$6:$C$61,0))*'Repair Costs'!G$29*$N183</x:f>
        <x:v>1010.6822594957604</x:v>
      </x:c>
      <x:c r="I183" s="28" t="n">
        <x:f>'Fee Calculation'!M149</x:f>
        <x:v>1514.9754873446857</x:v>
      </x:c>
      <x:c r="J183" s="33" t="n">
        <x:f>INDEX('Loss Calibration'!$E$8:$H$13,M183,4)</x:f>
        <x:v>0.08946221754180095</x:v>
      </x:c>
      <x:c r="K183" s="3" t="str">
        <x:v>Van</x:v>
      </x:c>
      <x:c r="L183" s="48" t="n">
        <x:v>3</x:v>
      </x:c>
      <x:c r="M183" s="48" t="n">
        <x:v>2</x:v>
      </x:c>
      <x:c r="N183" s="33" t="n">
        <x:f>IF(($L183/'Volume Build'!$D$23)&gt;=31,0,INDEX('AD Fleet'!$I$6:$I$37,INT(($L183/'Volume Build'!$D$23))+1)+(($L183/'Volume Build'!$D$23)-INT(($L183/'Volume Build'!$D$23)))*(INDEX('AD Fleet'!$I$6:$I$37,MIN(INT(($L183/'Volume Build'!$D$23))+2,32))-INDEX('AD Fleet'!$I$6:$I$37,INT(($L183/'Volume Build'!$D$23))+1)))</x:f>
        <x:v>0.9754322111010009</x:v>
      </x:c>
      <x:c r="O183" s="33" t="n">
        <x:f>IF(L183=0,'Volume Build'!$D$25,1)*EXP(-'Volume Build'!$D$24*MAX(L183-6,0))*'Vehicle Economics'!G$10</x:f>
        <x:v>1</x:v>
      </x:c>
    </x:row>
    <x:row r="184" ht="18" customHeight="1">
      <x:c r="A184" s="2"/>
      <x:c r="B184" s="2"/>
      <x:c r="C184" s="2" t="str">
        <x:v>Van / 4</x:v>
      </x:c>
      <x:c r="D184" s="28" t="n">
        <x:f>INDEX('AD Fleet'!$E$6:$E$61,MATCH(2019,'AD Fleet'!$C$6:$C$61,0))*'Repair Costs'!G$29*$N184</x:f>
        <x:v>955.7946502902878</x:v>
      </x:c>
      <x:c r="E184" s="28" t="n">
        <x:f>INDEX('AD Fleet'!$E$6:$E$61,MATCH(2020,'AD Fleet'!$C$6:$C$61,0))*'Repair Costs'!G$29*$N184</x:f>
        <x:v>860.3556193856039</x:v>
      </x:c>
      <x:c r="F184" s="28" t="n">
        <x:f>INDEX('AD Fleet'!$E$6:$E$61,MATCH(2021,'AD Fleet'!$C$6:$C$61,0))*'Repair Costs'!G$29*$N184</x:f>
        <x:v>900.3913820345123</x:v>
      </x:c>
      <x:c r="G184" s="28" t="n">
        <x:f>INDEX('AD Fleet'!$E$6:$E$61,MATCH(2022,'AD Fleet'!$C$6:$C$61,0))*'Repair Costs'!G$29*$N184</x:f>
        <x:v>845.9510906313864</x:v>
      </x:c>
      <x:c r="H184" s="28" t="n">
        <x:f>INDEX('AD Fleet'!$E$6:$E$61,MATCH(2023,'AD Fleet'!$C$6:$C$61,0))*'Repair Costs'!G$29*$N184</x:f>
        <x:v>961.6447346701343</x:v>
      </x:c>
      <x:c r="I184" s="28" t="n">
        <x:f>'Fee Calculation'!M150</x:f>
        <x:v>1464.2313840702918</x:v>
      </x:c>
      <x:c r="J184" s="33" t="n">
        <x:f>INDEX('Loss Calibration'!$E$8:$H$13,M184,4)</x:f>
        <x:v>0.13163549539735725</x:v>
      </x:c>
      <x:c r="K184" s="3" t="str">
        <x:v>Van</x:v>
      </x:c>
      <x:c r="L184" s="48" t="n">
        <x:v>4</x:v>
      </x:c>
      <x:c r="M184" s="48" t="n">
        <x:v>3</x:v>
      </x:c>
      <x:c r="N184" s="33" t="n">
        <x:f>IF(($L184/'Volume Build'!$D$23)&gt;=31,0,INDEX('AD Fleet'!$I$6:$I$37,INT(($L184/'Volume Build'!$D$23))+1)+(($L184/'Volume Build'!$D$23)-INT(($L184/'Volume Build'!$D$23)))*(INDEX('AD Fleet'!$I$6:$I$37,MIN(INT(($L184/'Volume Build'!$D$23))+2,32))-INDEX('AD Fleet'!$I$6:$I$37,INT(($L184/'Volume Build'!$D$23))+1)))</x:f>
        <x:v>0.9646842584167424</x:v>
      </x:c>
      <x:c r="O184" s="33" t="n">
        <x:f>IF(L184=0,'Volume Build'!$D$25,1)*EXP(-'Volume Build'!$D$24*MAX(L184-6,0))*'Vehicle Economics'!G$10</x:f>
        <x:v>1</x:v>
      </x:c>
    </x:row>
    <x:row r="185" ht="18" customHeight="1">
      <x:c r="A185" s="2"/>
      <x:c r="B185" s="2"/>
      <x:c r="C185" s="2" t="str">
        <x:v>Van / 5</x:v>
      </x:c>
      <x:c r="D185" s="28" t="n">
        <x:f>INDEX('AD Fleet'!$E$6:$E$61,MATCH(2018,'AD Fleet'!$C$6:$C$61,0))*'Repair Costs'!G$29*$N185</x:f>
        <x:v>917.0079474882232</x:v>
      </x:c>
      <x:c r="E185" s="28" t="n">
        <x:f>INDEX('AD Fleet'!$E$6:$E$61,MATCH(2019,'AD Fleet'!$C$6:$C$61,0))*'Repair Costs'!G$29*$N185</x:f>
        <x:v>940.8075628431314</x:v>
      </x:c>
      <x:c r="F185" s="28" t="n">
        <x:f>INDEX('AD Fleet'!$E$6:$E$61,MATCH(2020,'AD Fleet'!$C$6:$C$61,0))*'Repair Costs'!G$29*$N185</x:f>
        <x:v>846.8650386426918</x:v>
      </x:c>
      <x:c r="G185" s="28" t="n">
        <x:f>INDEX('AD Fleet'!$E$6:$E$61,MATCH(2021,'AD Fleet'!$C$6:$C$61,0))*'Repair Costs'!G$29*$N185</x:f>
        <x:v>886.2730310109752</x:v>
      </x:c>
      <x:c r="H185" s="28" t="n">
        <x:f>INDEX('AD Fleet'!$E$6:$E$61,MATCH(2022,'AD Fleet'!$C$6:$C$61,0))*'Repair Costs'!G$29*$N185</x:f>
        <x:v>832.6863763253801</x:v>
      </x:c>
      <x:c r="I185" s="28" t="n">
        <x:f>'Fee Calculation'!M151</x:f>
        <x:v>1395.5198287260232</x:v>
      </x:c>
      <x:c r="J185" s="33" t="n">
        <x:f>INDEX('Loss Calibration'!$E$8:$H$13,M185,4)</x:f>
        <x:v>0.13163549539735725</x:v>
      </x:c>
      <x:c r="K185" s="3" t="str">
        <x:v>Van</x:v>
      </x:c>
      <x:c r="L185" s="48" t="n">
        <x:v>5</x:v>
      </x:c>
      <x:c r="M185" s="48" t="n">
        <x:v>3</x:v>
      </x:c>
      <x:c r="N185" s="33" t="n">
        <x:f>IF(($L185/'Volume Build'!$D$23)&gt;=31,0,INDEX('AD Fleet'!$I$6:$I$37,INT(($L185/'Volume Build'!$D$23))+1)+(($L185/'Volume Build'!$D$23)-INT(($L185/'Volume Build'!$D$23)))*(INDEX('AD Fleet'!$I$6:$I$37,MIN(INT(($L185/'Volume Build'!$D$23))+2,32))-INDEX('AD Fleet'!$I$6:$I$37,INT(($L185/'Volume Build'!$D$23))+1)))</x:f>
        <x:v>0.9495577797998179</x:v>
      </x:c>
      <x:c r="O185" s="33" t="n">
        <x:f>IF(L185=0,'Volume Build'!$D$25,1)*EXP(-'Volume Build'!$D$24*MAX(L185-6,0))*'Vehicle Economics'!G$10</x:f>
        <x:v>1</x:v>
      </x:c>
    </x:row>
    <x:row r="186" ht="18" customHeight="1">
      <x:c r="A186" s="2"/>
      <x:c r="B186" s="2"/>
      <x:c r="C186" s="2" t="str">
        <x:v>Van / 6</x:v>
      </x:c>
      <x:c r="D186" s="28" t="n">
        <x:f>INDEX('AD Fleet'!$E$6:$E$61,MATCH(2017,'AD Fleet'!$C$6:$C$61,0))*'Repair Costs'!G$29*$N186</x:f>
        <x:v>831.5178039794824</x:v>
      </x:c>
      <x:c r="E186" s="28" t="n">
        <x:f>INDEX('AD Fleet'!$E$6:$E$61,MATCH(2018,'AD Fleet'!$C$6:$C$61,0))*'Repair Costs'!G$29*$N186</x:f>
        <x:v>898.9808614228541</x:v>
      </x:c>
      <x:c r="F186" s="28" t="n">
        <x:f>INDEX('AD Fleet'!$E$6:$E$61,MATCH(2019,'AD Fleet'!$C$6:$C$61,0))*'Repair Costs'!G$29*$N186</x:f>
        <x:v>922.3126098246997</x:v>
      </x:c>
      <x:c r="G186" s="28" t="n">
        <x:f>INDEX('AD Fleet'!$E$6:$E$61,MATCH(2020,'AD Fleet'!$C$6:$C$61,0))*'Repair Costs'!G$29*$N186</x:f>
        <x:v>830.2168634778196</x:v>
      </x:c>
      <x:c r="H186" s="28" t="n">
        <x:f>INDEX('AD Fleet'!$E$6:$E$61,MATCH(2021,'AD Fleet'!$C$6:$C$61,0))*'Repair Costs'!G$29*$N186</x:f>
        <x:v>868.8501501611279</x:v>
      </x:c>
      <x:c r="I186" s="28" t="n">
        <x:f>'Fee Calculation'!M152</x:f>
        <x:v>1337.2784455754286</x:v>
      </x:c>
      <x:c r="J186" s="33" t="n">
        <x:f>INDEX('Loss Calibration'!$E$8:$H$13,M186,4)</x:f>
        <x:v>0.13163549539735725</x:v>
      </x:c>
      <x:c r="K186" s="3" t="str">
        <x:v>Van</x:v>
      </x:c>
      <x:c r="L186" s="48" t="n">
        <x:v>6</x:v>
      </x:c>
      <x:c r="M186" s="48" t="n">
        <x:v>3</x:v>
      </x:c>
      <x:c r="N186" s="33" t="n">
        <x:f>IF(($L186/'Volume Build'!$D$23)&gt;=31,0,INDEX('AD Fleet'!$I$6:$I$37,INT(($L186/'Volume Build'!$D$23))+1)+(($L186/'Volume Build'!$D$23)-INT(($L186/'Volume Build'!$D$23)))*(INDEX('AD Fleet'!$I$6:$I$37,MIN(INT(($L186/'Volume Build'!$D$23))+2,32))-INDEX('AD Fleet'!$I$6:$I$37,INT(($L186/'Volume Build'!$D$23))+1)))</x:f>
        <x:v>0.9308908098271156</x:v>
      </x:c>
      <x:c r="O186" s="33" t="n">
        <x:f>IF(L186=0,'Volume Build'!$D$25,1)*EXP(-'Volume Build'!$D$24*MAX(L186-6,0))*'Vehicle Economics'!G$10</x:f>
        <x:v>1</x:v>
      </x:c>
    </x:row>
    <x:row r="187" ht="18" customHeight="1">
      <x:c r="A187" s="2"/>
      <x:c r="B187" s="2"/>
      <x:c r="C187" s="2" t="str">
        <x:v>Van / 7</x:v>
      </x:c>
      <x:c r="D187" s="28" t="n">
        <x:f>INDEX('AD Fleet'!$E$6:$E$61,MATCH(2016,'AD Fleet'!$C$6:$C$61,0))*'Repair Costs'!G$29*$N187</x:f>
        <x:v>778.2470211149314</x:v>
      </x:c>
      <x:c r="E187" s="28" t="n">
        <x:f>INDEX('AD Fleet'!$E$6:$E$61,MATCH(2017,'AD Fleet'!$C$6:$C$61,0))*'Repair Costs'!G$29*$N187</x:f>
        <x:v>811.6566154557239</x:v>
      </x:c>
      <x:c r="F187" s="28" t="n">
        <x:f>INDEX('AD Fleet'!$E$6:$E$61,MATCH(2018,'AD Fleet'!$C$6:$C$61,0))*'Repair Costs'!G$29*$N187</x:f>
        <x:v>877.5082864731412</x:v>
      </x:c>
      <x:c r="G187" s="28" t="n">
        <x:f>INDEX('AD Fleet'!$E$6:$E$61,MATCH(2019,'AD Fleet'!$C$6:$C$61,0))*'Repair Costs'!G$29*$N187</x:f>
        <x:v>900.2827452398398</x:v>
      </x:c>
      <x:c r="H187" s="28" t="n">
        <x:f>INDEX('AD Fleet'!$E$6:$E$61,MATCH(2020,'AD Fleet'!$C$6:$C$61,0))*'Repair Costs'!G$29*$N187</x:f>
        <x:v>810.3867485215038</x:v>
      </x:c>
      <x:c r="I187" s="28" t="n">
        <x:f>'Fee Calculation'!M153</x:f>
        <x:v>1287.9745853636805</x:v>
      </x:c>
      <x:c r="J187" s="33" t="n">
        <x:f>INDEX('Loss Calibration'!$E$8:$H$13,M187,4)</x:f>
        <x:v>0.1944139583975364</x:v>
      </x:c>
      <x:c r="K187" s="3" t="str">
        <x:v>Van</x:v>
      </x:c>
      <x:c r="L187" s="48" t="n">
        <x:v>7</x:v>
      </x:c>
      <x:c r="M187" s="48" t="n">
        <x:v>4</x:v>
      </x:c>
      <x:c r="N187" s="33" t="n">
        <x:f>IF(($L187/'Volume Build'!$D$23)&gt;=31,0,INDEX('AD Fleet'!$I$6:$I$37,INT(($L187/'Volume Build'!$D$23))+1)+(($L187/'Volume Build'!$D$23)-INT(($L187/'Volume Build'!$D$23)))*(INDEX('AD Fleet'!$I$6:$I$37,MIN(INT(($L187/'Volume Build'!$D$23))+2,32))-INDEX('AD Fleet'!$I$6:$I$37,INT(($L187/'Volume Build'!$D$23))+1)))</x:f>
        <x:v>0.908656050955414</x:v>
      </x:c>
      <x:c r="O187" s="33" t="n">
        <x:f>IF(L187=0,'Volume Build'!$D$25,1)*EXP(-'Volume Build'!$D$24*MAX(L187-6,0))*'Vehicle Economics'!G$10</x:f>
        <x:v>0.9136844571609987</x:v>
      </x:c>
    </x:row>
    <x:row r="188" ht="18" customHeight="1">
      <x:c r="A188" s="2"/>
      <x:c r="B188" s="2"/>
      <x:c r="C188" s="2" t="str">
        <x:v>Van / 8</x:v>
      </x:c>
      <x:c r="D188" s="28" t="n">
        <x:f>INDEX('AD Fleet'!$E$6:$E$61,MATCH(2015,'AD Fleet'!$C$6:$C$61,0))*'Repair Costs'!G$29*$N188</x:f>
        <x:v>702.8149361012021</x:v>
      </x:c>
      <x:c r="E188" s="28" t="n">
        <x:f>INDEX('AD Fleet'!$E$6:$E$61,MATCH(2016,'AD Fleet'!$C$6:$C$61,0))*'Repair Costs'!G$29*$N188</x:f>
        <x:v>755.4688238221391</x:v>
      </x:c>
      <x:c r="F188" s="28" t="n">
        <x:f>INDEX('AD Fleet'!$E$6:$E$61,MATCH(2017,'AD Fleet'!$C$6:$C$61,0))*'Repair Costs'!G$29*$N188</x:f>
        <x:v>787.9005662589481</x:v>
      </x:c>
      <x:c r="G188" s="28" t="n">
        <x:f>INDEX('AD Fleet'!$E$6:$E$61,MATCH(2018,'AD Fleet'!$C$6:$C$61,0))*'Repair Costs'!G$29*$N188</x:f>
        <x:v>851.8248513515906</x:v>
      </x:c>
      <x:c r="H188" s="28" t="n">
        <x:f>INDEX('AD Fleet'!$E$6:$E$61,MATCH(2019,'AD Fleet'!$C$6:$C$61,0))*'Repair Costs'!G$29*$N188</x:f>
        <x:v>873.9327336959584</x:v>
      </x:c>
      <x:c r="I188" s="28" t="n">
        <x:f>'Fee Calculation'!M154</x:f>
        <x:v>1216.1024964688306</x:v>
      </x:c>
      <x:c r="J188" s="33" t="n">
        <x:f>INDEX('Loss Calibration'!$E$8:$H$13,M188,4)</x:f>
        <x:v>0.1944139583975364</x:v>
      </x:c>
      <x:c r="K188" s="3" t="str">
        <x:v>Van</x:v>
      </x:c>
      <x:c r="L188" s="48" t="n">
        <x:v>8</x:v>
      </x:c>
      <x:c r="M188" s="48" t="n">
        <x:v>4</x:v>
      </x:c>
      <x:c r="N188" s="33" t="n">
        <x:f>IF(($L188/'Volume Build'!$D$23)&gt;=31,0,INDEX('AD Fleet'!$I$6:$I$37,INT(($L188/'Volume Build'!$D$23))+1)+(($L188/'Volume Build'!$D$23)-INT(($L188/'Volume Build'!$D$23)))*(INDEX('AD Fleet'!$I$6:$I$37,MIN(INT(($L188/'Volume Build'!$D$23))+2,32))-INDEX('AD Fleet'!$I$6:$I$37,INT(($L188/'Volume Build'!$D$23))+1)))</x:f>
        <x:v>0.8820609645131938</x:v>
      </x:c>
      <x:c r="O188" s="33" t="n">
        <x:f>IF(L188=0,'Volume Build'!$D$25,1)*EXP(-'Volume Build'!$D$24*MAX(L188-6,0))*'Vehicle Economics'!G$10</x:f>
        <x:v>0.8348192872575889</x:v>
      </x:c>
    </x:row>
    <x:row r="189" ht="18" customHeight="1">
      <x:c r="A189" s="2"/>
      <x:c r="B189" s="2"/>
      <x:c r="C189" s="2" t="str">
        <x:v>Van / 9</x:v>
      </x:c>
      <x:c r="D189" s="28" t="n">
        <x:f>INDEX('AD Fleet'!$E$6:$E$61,MATCH(2014,'AD Fleet'!$C$6:$C$61,0))*'Repair Costs'!G$29*$N189</x:f>
        <x:v>601.4153366226736</x:v>
      </x:c>
      <x:c r="E189" s="28" t="n">
        <x:f>INDEX('AD Fleet'!$E$6:$E$61,MATCH(2015,'AD Fleet'!$C$6:$C$61,0))*'Repair Costs'!G$29*$N189</x:f>
        <x:v>679.011369941137</x:v>
      </x:c>
      <x:c r="F189" s="28" t="n">
        <x:f>INDEX('AD Fleet'!$E$6:$E$61,MATCH(2016,'AD Fleet'!$C$6:$C$61,0))*'Repair Costs'!G$29*$N189</x:f>
        <x:v>729.8819286012222</x:v>
      </x:c>
      <x:c r="G189" s="28" t="n">
        <x:f>INDEX('AD Fleet'!$E$6:$E$61,MATCH(2017,'AD Fleet'!$C$6:$C$61,0))*'Repair Costs'!G$29*$N189</x:f>
        <x:v>761.2152437179413</x:v>
      </x:c>
      <x:c r="H189" s="28" t="n">
        <x:f>INDEX('AD Fleet'!$E$6:$E$61,MATCH(2018,'AD Fleet'!$C$6:$C$61,0))*'Repair Costs'!G$29*$N189</x:f>
        <x:v>822.9744838303525</x:v>
      </x:c>
      <x:c r="I189" s="28" t="n">
        <x:f>'Fee Calculation'!M155</x:f>
        <x:v>1157.6807652536165</x:v>
      </x:c>
      <x:c r="J189" s="33" t="n">
        <x:f>INDEX('Loss Calibration'!$E$8:$H$13,M189,4)</x:f>
        <x:v>0.1944139583975364</x:v>
      </x:c>
      <x:c r="K189" s="3" t="str">
        <x:v>Van</x:v>
      </x:c>
      <x:c r="L189" s="48" t="n">
        <x:v>9</x:v>
      </x:c>
      <x:c r="M189" s="48" t="n">
        <x:v>4</x:v>
      </x:c>
      <x:c r="N189" s="33" t="n">
        <x:f>IF(($L189/'Volume Build'!$D$23)&gt;=31,0,INDEX('AD Fleet'!$I$6:$I$37,INT(($L189/'Volume Build'!$D$23))+1)+(($L189/'Volume Build'!$D$23)-INT(($L189/'Volume Build'!$D$23)))*(INDEX('AD Fleet'!$I$6:$I$37,MIN(INT(($L189/'Volume Build'!$D$23))+2,32))-INDEX('AD Fleet'!$I$6:$I$37,INT(($L189/'Volume Build'!$D$23))+1)))</x:f>
        <x:v>0.8521865332120109</x:v>
      </x:c>
      <x:c r="O189" s="33" t="n">
        <x:f>IF(L189=0,'Volume Build'!$D$25,1)*EXP(-'Volume Build'!$D$24*MAX(L189-6,0))*'Vehicle Economics'!G$10</x:f>
        <x:v>0.7627614073054819</x:v>
      </x:c>
    </x:row>
    <x:row r="190" ht="18" customHeight="1">
      <x:c r="A190" s="2"/>
      <x:c r="B190" s="2"/>
      <x:c r="C190" s="2" t="str">
        <x:v>Van / 10</x:v>
      </x:c>
      <x:c r="D190" s="28" t="n">
        <x:f>INDEX('AD Fleet'!$E$6:$E$61,MATCH(2013,'AD Fleet'!$C$6:$C$61,0))*'Repair Costs'!G$29*$N190</x:f>
        <x:v>524.1751403886074</x:v>
      </x:c>
      <x:c r="E190" s="28" t="n">
        <x:f>INDEX('AD Fleet'!$E$6:$E$61,MATCH(2014,'AD Fleet'!$C$6:$C$61,0))*'Repair Costs'!G$29*$N190</x:f>
        <x:v>578.0876499530544</x:v>
      </x:c>
      <x:c r="F190" s="28" t="n">
        <x:f>INDEX('AD Fleet'!$E$6:$E$61,MATCH(2015,'AD Fleet'!$C$6:$C$61,0))*'Repair Costs'!G$29*$N190</x:f>
        <x:v>652.6738898029582</x:v>
      </x:c>
      <x:c r="G190" s="28" t="n">
        <x:f>INDEX('AD Fleet'!$E$6:$E$61,MATCH(2016,'AD Fleet'!$C$6:$C$61,0))*'Repair Costs'!G$29*$N190</x:f>
        <x:v>701.5712821986197</x:v>
      </x:c>
      <x:c r="H190" s="28" t="n">
        <x:f>INDEX('AD Fleet'!$E$6:$E$61,MATCH(2017,'AD Fleet'!$C$6:$C$61,0))*'Repair Costs'!G$29*$N190</x:f>
        <x:v>731.6892412829038</x:v>
      </x:c>
      <x:c r="I190" s="28" t="n">
        <x:f>'Fee Calculation'!M156</x:f>
        <x:v>1121.25</x:v>
      </x:c>
      <x:c r="J190" s="33" t="n">
        <x:f>INDEX('Loss Calibration'!$E$8:$H$13,M190,4)</x:f>
        <x:v>0.26693293878713403</x:v>
      </x:c>
      <x:c r="K190" s="3" t="str">
        <x:v>Van</x:v>
      </x:c>
      <x:c r="L190" s="48" t="n">
        <x:v>10</x:v>
      </x:c>
      <x:c r="M190" s="48" t="n">
        <x:v>5</x:v>
      </x:c>
      <x:c r="N190" s="33" t="n">
        <x:f>IF(($L190/'Volume Build'!$D$23)&gt;=31,0,INDEX('AD Fleet'!$I$6:$I$37,INT(($L190/'Volume Build'!$D$23))+1)+(($L190/'Volume Build'!$D$23)-INT(($L190/'Volume Build'!$D$23)))*(INDEX('AD Fleet'!$I$6:$I$37,MIN(INT(($L190/'Volume Build'!$D$23))+2,32))-INDEX('AD Fleet'!$I$6:$I$37,INT(($L190/'Volume Build'!$D$23))+1)))</x:f>
        <x:v>0.8191319381255686</x:v>
      </x:c>
      <x:c r="O190" s="33" t="n">
        <x:f>IF(L190=0,'Volume Build'!$D$25,1)*EXP(-'Volume Build'!$D$24*MAX(L190-6,0))*'Vehicle Economics'!G$10</x:f>
        <x:v>0.6969232423772687</x:v>
      </x:c>
    </x:row>
    <x:row r="191" ht="18" customHeight="1">
      <x:c r="A191" s="2"/>
      <x:c r="B191" s="2"/>
      <x:c r="C191" s="2" t="str">
        <x:v>Van / 11</x:v>
      </x:c>
      <x:c r="D191" s="28" t="n">
        <x:f>INDEX('AD Fleet'!$E$6:$E$61,MATCH(2012,'AD Fleet'!$C$6:$C$61,0))*'Repair Costs'!G$29*$N191</x:f>
        <x:v>454.65339415816464</x:v>
      </x:c>
      <x:c r="E191" s="28" t="n">
        <x:f>INDEX('AD Fleet'!$E$6:$E$61,MATCH(2013,'AD Fleet'!$C$6:$C$61,0))*'Repair Costs'!G$29*$N191</x:f>
        <x:v>501.4432958509344</x:v>
      </x:c>
      <x:c r="F191" s="28" t="n">
        <x:f>INDEX('AD Fleet'!$E$6:$E$61,MATCH(2014,'AD Fleet'!$C$6:$C$61,0))*'Repair Costs'!G$29*$N191</x:f>
        <x:v>553.0177876582894</x:v>
      </x:c>
      <x:c r="G191" s="28" t="n">
        <x:f>INDEX('AD Fleet'!$E$6:$E$61,MATCH(2015,'AD Fleet'!$C$6:$C$61,0))*'Repair Costs'!G$29*$N191</x:f>
        <x:v>624.3694544079492</x:v>
      </x:c>
      <x:c r="H191" s="28" t="n">
        <x:f>INDEX('AD Fleet'!$E$6:$E$61,MATCH(2016,'AD Fleet'!$C$6:$C$61,0))*'Repair Costs'!G$29*$N191</x:f>
        <x:v>671.1463190704341</x:v>
      </x:c>
      <x:c r="I191" s="28" t="n">
        <x:f>'Fee Calculation'!M157</x:f>
        <x:v>1086.6207352464728</x:v>
      </x:c>
      <x:c r="J191" s="33" t="n">
        <x:f>INDEX('Loss Calibration'!$E$8:$H$13,M191,4)</x:f>
        <x:v>0.26693293878713403</x:v>
      </x:c>
      <x:c r="K191" s="3" t="str">
        <x:v>Van</x:v>
      </x:c>
      <x:c r="L191" s="48" t="n">
        <x:v>11</x:v>
      </x:c>
      <x:c r="M191" s="48" t="n">
        <x:v>5</x:v>
      </x:c>
      <x:c r="N191" s="33" t="n">
        <x:f>IF(($L191/'Volume Build'!$D$23)&gt;=31,0,INDEX('AD Fleet'!$I$6:$I$37,INT(($L191/'Volume Build'!$D$23))+1)+(($L191/'Volume Build'!$D$23)-INT(($L191/'Volume Build'!$D$23)))*(INDEX('AD Fleet'!$I$6:$I$37,MIN(INT(($L191/'Volume Build'!$D$23))+2,32))-INDEX('AD Fleet'!$I$6:$I$37,INT(($L191/'Volume Build'!$D$23))+1)))</x:f>
        <x:v>0.7836087352138308</x:v>
      </x:c>
      <x:c r="O191" s="33" t="n">
        <x:f>IF(L191=0,'Volume Build'!$D$25,1)*EXP(-'Volume Build'!$D$24*MAX(L191-6,0))*'Vehicle Economics'!G$10</x:f>
        <x:v>0.6367679343943579</x:v>
      </x:c>
    </x:row>
    <x:row r="192" ht="18" customHeight="1">
      <x:c r="A192" s="2"/>
      <x:c r="B192" s="2"/>
      <x:c r="C192" s="2" t="str">
        <x:v>Van / 12</x:v>
      </x:c>
      <x:c r="D192" s="28" t="n">
        <x:f>INDEX('AD Fleet'!$E$6:$E$61,MATCH(2011,'AD Fleet'!$C$6:$C$61,0))*'Repair Costs'!G$29*$N192</x:f>
        <x:v>399.3890361438797</x:v>
      </x:c>
      <x:c r="E192" s="28" t="n">
        <x:f>INDEX('AD Fleet'!$E$6:$E$61,MATCH(2012,'AD Fleet'!$C$6:$C$61,0))*'Repair Costs'!G$29*$N192</x:f>
        <x:v>431.952031213573</x:v>
      </x:c>
      <x:c r="F192" s="28" t="n">
        <x:f>INDEX('AD Fleet'!$E$6:$E$61,MATCH(2013,'AD Fleet'!$C$6:$C$61,0))*'Repair Costs'!G$29*$N192</x:f>
        <x:v>476.4056597054441</x:v>
      </x:c>
      <x:c r="G192" s="28" t="n">
        <x:f>INDEX('AD Fleet'!$E$6:$E$61,MATCH(2014,'AD Fleet'!$C$6:$C$61,0))*'Repair Costs'!G$29*$N192</x:f>
        <x:v>525.4049782660019</x:v>
      </x:c>
      <x:c r="H192" s="28" t="n">
        <x:f>INDEX('AD Fleet'!$E$6:$E$61,MATCH(2015,'AD Fleet'!$C$6:$C$61,0))*'Repair Costs'!G$29*$N192</x:f>
        <x:v>593.193974848897</x:v>
      </x:c>
      <x:c r="I192" s="28" t="n">
        <x:f>'Fee Calculation'!M158</x:f>
        <x:v>1036.1215355540367</x:v>
      </x:c>
      <x:c r="J192" s="33" t="n">
        <x:f>INDEX('Loss Calibration'!$E$8:$H$13,M192,4)</x:f>
        <x:v>0.26693293878713403</x:v>
      </x:c>
      <x:c r="K192" s="3" t="str">
        <x:v>Van</x:v>
      </x:c>
      <x:c r="L192" s="48" t="n">
        <x:v>12</x:v>
      </x:c>
      <x:c r="M192" s="48" t="n">
        <x:v>5</x:v>
      </x:c>
      <x:c r="N192" s="33" t="n">
        <x:f>IF(($L192/'Volume Build'!$D$23)&gt;=31,0,INDEX('AD Fleet'!$I$6:$I$37,INT(($L192/'Volume Build'!$D$23))+1)+(($L192/'Volume Build'!$D$23)-INT(($L192/'Volume Build'!$D$23)))*(INDEX('AD Fleet'!$I$6:$I$37,MIN(INT(($L192/'Volume Build'!$D$23))+2,32))-INDEX('AD Fleet'!$I$6:$I$37,INT(($L192/'Volume Build'!$D$23))+1)))</x:f>
        <x:v>0.7444822565969063</x:v>
      </x:c>
      <x:c r="O192" s="33" t="n">
        <x:f>IF(L192=0,'Volume Build'!$D$25,1)*EXP(-'Volume Build'!$D$24*MAX(L192-6,0))*'Vehicle Economics'!G$10</x:f>
        <x:v>0.5818049644746394</x:v>
      </x:c>
    </x:row>
    <x:row r="193" ht="18" customHeight="1">
      <x:c r="A193" s="2"/>
      <x:c r="B193" s="2"/>
      <x:c r="C193" s="2" t="str">
        <x:v>Van / 13</x:v>
      </x:c>
      <x:c r="D193" s="28" t="n">
        <x:f>INDEX('AD Fleet'!$E$6:$E$61,MATCH(2010,'AD Fleet'!$C$6:$C$61,0))*'Repair Costs'!G$29*$N193</x:f>
        <x:v>337.45713504634136</x:v>
      </x:c>
      <x:c r="E193" s="28" t="n">
        <x:f>INDEX('AD Fleet'!$E$6:$E$61,MATCH(2011,'AD Fleet'!$C$6:$C$61,0))*'Repair Costs'!G$29*$N193</x:f>
        <x:v>377.95433551821037</x:v>
      </x:c>
      <x:c r="F193" s="28" t="n">
        <x:f>INDEX('AD Fleet'!$E$6:$E$61,MATCH(2012,'AD Fleet'!$C$6:$C$61,0))*'Repair Costs'!G$29*$N193</x:f>
        <x:v>408.76971613775993</x:v>
      </x:c>
      <x:c r="G193" s="28" t="n">
        <x:f>INDEX('AD Fleet'!$E$6:$E$61,MATCH(2013,'AD Fleet'!$C$6:$C$61,0))*'Repair Costs'!G$29*$N193</x:f>
        <x:v>450.8375750360343</x:v>
      </x:c>
      <x:c r="H193" s="28" t="n">
        <x:f>INDEX('AD Fleet'!$E$6:$E$61,MATCH(2014,'AD Fleet'!$C$6:$C$61,0))*'Repair Costs'!G$29*$N193</x:f>
        <x:v>497.2071626096128</x:v>
      </x:c>
      <x:c r="I193" s="28" t="n">
        <x:f>'Fee Calculation'!M159</x:f>
        <x:v>979.5972797227092</x:v>
      </x:c>
      <x:c r="J193" s="33" t="n">
        <x:f>INDEX('Loss Calibration'!$E$8:$H$13,M193,4)</x:f>
        <x:v>0.3883456353743584</x:v>
      </x:c>
      <x:c r="K193" s="3" t="str">
        <x:v>Van</x:v>
      </x:c>
      <x:c r="L193" s="48" t="n">
        <x:v>13</x:v>
      </x:c>
      <x:c r="M193" s="48" t="n">
        <x:v>6</x:v>
      </x:c>
      <x:c r="N193" s="33" t="n">
        <x:f>IF(($L193/'Volume Build'!$D$23)&gt;=31,0,INDEX('AD Fleet'!$I$6:$I$37,INT(($L193/'Volume Build'!$D$23))+1)+(($L193/'Volume Build'!$D$23)-INT(($L193/'Volume Build'!$D$23)))*(INDEX('AD Fleet'!$I$6:$I$37,MIN(INT(($L193/'Volume Build'!$D$23))+2,32))-INDEX('AD Fleet'!$I$6:$I$37,INT(($L193/'Volume Build'!$D$23))+1)))</x:f>
        <x:v>0.7045268425841674</x:v>
      </x:c>
      <x:c r="O193" s="33" t="n">
        <x:f>IF(L193=0,'Volume Build'!$D$25,1)*EXP(-'Volume Build'!$D$24*MAX(L193-6,0))*'Vehicle Economics'!G$10</x:f>
        <x:v>0.5315861531395849</x:v>
      </x:c>
    </x:row>
    <x:row r="194" ht="18" customHeight="1">
      <x:c r="A194" s="2"/>
      <x:c r="B194" s="2"/>
      <x:c r="C194" s="2" t="str">
        <x:v>Van / 14</x:v>
      </x:c>
      <x:c r="D194" s="28" t="n">
        <x:f>INDEX('AD Fleet'!$E$6:$E$61,MATCH(2009,'AD Fleet'!$C$6:$C$61,0))*'Repair Costs'!G$29*$N194</x:f>
        <x:v>266.61091724254544</x:v>
      </x:c>
      <x:c r="E194" s="28" t="n">
        <x:f>INDEX('AD Fleet'!$E$6:$E$61,MATCH(2010,'AD Fleet'!$C$6:$C$61,0))*'Repair Costs'!G$29*$N194</x:f>
        <x:v>317.5725406459613</x:v>
      </x:c>
      <x:c r="F194" s="28" t="n">
        <x:f>INDEX('AD Fleet'!$E$6:$E$61,MATCH(2011,'AD Fleet'!$C$6:$C$61,0))*'Repair Costs'!G$29*$N194</x:f>
        <x:v>355.6834516543599</x:v>
      </x:c>
      <x:c r="G194" s="28" t="n">
        <x:f>INDEX('AD Fleet'!$E$6:$E$61,MATCH(2012,'AD Fleet'!$C$6:$C$61,0))*'Repair Costs'!G$29*$N194</x:f>
        <x:v>384.6830421148751</x:v>
      </x:c>
      <x:c r="H194" s="28" t="n">
        <x:f>INDEX('AD Fleet'!$E$6:$E$61,MATCH(2013,'AD Fleet'!$C$6:$C$61,0))*'Repair Costs'!G$29*$N194</x:f>
        <x:v>424.2720608150611</x:v>
      </x:c>
      <x:c r="I194" s="28" t="n">
        <x:f>'Fee Calculation'!M160</x:f>
        <x:v>955.6576082864151</x:v>
      </x:c>
      <x:c r="J194" s="33" t="n">
        <x:f>INDEX('Loss Calibration'!$E$8:$H$13,M194,4)</x:f>
        <x:v>0.3883456353743584</x:v>
      </x:c>
      <x:c r="K194" s="3" t="str">
        <x:v>Van</x:v>
      </x:c>
      <x:c r="L194" s="48" t="n">
        <x:v>14</x:v>
      </x:c>
      <x:c r="M194" s="48" t="n">
        <x:v>6</x:v>
      </x:c>
      <x:c r="N194" s="33" t="n">
        <x:f>IF(($L194/'Volume Build'!$D$23)&gt;=31,0,INDEX('AD Fleet'!$I$6:$I$37,INT(($L194/'Volume Build'!$D$23))+1)+(($L194/'Volume Build'!$D$23)-INT(($L194/'Volume Build'!$D$23)))*(INDEX('AD Fleet'!$I$6:$I$37,MIN(INT(($L194/'Volume Build'!$D$23))+2,32))-INDEX('AD Fleet'!$I$6:$I$37,INT(($L194/'Volume Build'!$D$23))+1)))</x:f>
        <x:v>0.6630127388535032</x:v>
      </x:c>
      <x:c r="O194" s="33" t="n">
        <x:f>IF(L194=0,'Volume Build'!$D$25,1)*EXP(-'Volume Build'!$D$24*MAX(L194-6,0))*'Vehicle Economics'!G$10</x:f>
        <x:v>0.4857020057656452</x:v>
      </x:c>
    </x:row>
    <x:row r="195" ht="18" customHeight="1">
      <x:c r="A195" s="2"/>
      <x:c r="B195" s="2"/>
      <x:c r="C195" s="2" t="str">
        <x:v>Van / 15</x:v>
      </x:c>
      <x:c r="D195" s="28" t="n">
        <x:f>INDEX('AD Fleet'!$E$6:$E$61,MATCH(2008,'AD Fleet'!$C$6:$C$61,0))*'Repair Costs'!G$29*$N195</x:f>
        <x:v>322.73972776860694</x:v>
      </x:c>
      <x:c r="E195" s="28" t="n">
        <x:f>INDEX('AD Fleet'!$E$6:$E$61,MATCH(2009,'AD Fleet'!$C$6:$C$61,0))*'Repair Costs'!G$29*$N195</x:f>
        <x:v>249.77967403673486</x:v>
      </x:c>
      <x:c r="F195" s="28" t="n">
        <x:f>INDEX('AD Fleet'!$E$6:$E$61,MATCH(2010,'AD Fleet'!$C$6:$C$61,0))*'Repair Costs'!G$29*$N195</x:f>
        <x:v>297.52407180461717</x:v>
      </x:c>
      <x:c r="G195" s="28" t="n">
        <x:f>INDEX('AD Fleet'!$E$6:$E$61,MATCH(2011,'AD Fleet'!$C$6:$C$61,0))*'Repair Costs'!G$29*$N195</x:f>
        <x:v>333.2290272782175</x:v>
      </x:c>
      <x:c r="H195" s="28" t="n">
        <x:f>INDEX('AD Fleet'!$E$6:$E$61,MATCH(2012,'AD Fleet'!$C$6:$C$61,0))*'Repair Costs'!G$29*$N195</x:f>
        <x:v>360.39786315089333</x:v>
      </x:c>
      <x:c r="I195" s="28" t="n">
        <x:f>'Fee Calculation'!M161</x:f>
        <x:v>904.175518748274</x:v>
      </x:c>
      <x:c r="J195" s="33" t="n">
        <x:f>INDEX('Loss Calibration'!$E$8:$H$13,M195,4)</x:f>
        <x:v>0.3883456353743584</x:v>
      </x:c>
      <x:c r="K195" s="3" t="str">
        <x:v>Van</x:v>
      </x:c>
      <x:c r="L195" s="48" t="n">
        <x:v>15</x:v>
      </x:c>
      <x:c r="M195" s="48" t="n">
        <x:v>6</x:v>
      </x:c>
      <x:c r="N195" s="33" t="n">
        <x:f>IF(($L195/'Volume Build'!$D$23)&gt;=31,0,INDEX('AD Fleet'!$I$6:$I$37,INT(($L195/'Volume Build'!$D$23))+1)+(($L195/'Volume Build'!$D$23)-INT(($L195/'Volume Build'!$D$23)))*(INDEX('AD Fleet'!$I$6:$I$37,MIN(INT(($L195/'Volume Build'!$D$23))+2,32))-INDEX('AD Fleet'!$I$6:$I$37,INT(($L195/'Volume Build'!$D$23))+1)))</x:f>
        <x:v>0.6211565059144677</x:v>
      </x:c>
      <x:c r="O195" s="33" t="n">
        <x:f>IF(L195=0,'Volume Build'!$D$25,1)*EXP(-'Volume Build'!$D$24*MAX(L195-6,0))*'Vehicle Economics'!G$10</x:f>
        <x:v>0.44377837347999183</x:v>
      </x:c>
    </x:row>
    <x:row r="196" ht="18" customHeight="1">
      <x:c r="A196" s="2"/>
      <x:c r="B196" s="2"/>
      <x:c r="C196" s="2" t="str">
        <x:v>Van / 16</x:v>
      </x:c>
      <x:c r="D196" s="28" t="n">
        <x:f>INDEX('AD Fleet'!$E$6:$E$61,MATCH(2007,'AD Fleet'!$C$6:$C$61,0))*'Repair Costs'!G$29*$N196</x:f>
        <x:v>397.89861087714485</x:v>
      </x:c>
      <x:c r="E196" s="28" t="n">
        <x:f>INDEX('AD Fleet'!$E$6:$E$61,MATCH(2008,'AD Fleet'!$C$6:$C$61,0))*'Repair Costs'!G$29*$N196</x:f>
        <x:v>299.2504182466763</x:v>
      </x:c>
      <x:c r="F196" s="28" t="n">
        <x:f>INDEX('AD Fleet'!$E$6:$E$61,MATCH(2009,'AD Fleet'!$C$6:$C$61,0))*'Repair Costs'!G$29*$N196</x:f>
        <x:v>231.6004677880937</x:v>
      </x:c>
      <x:c r="G196" s="28" t="n">
        <x:f>INDEX('AD Fleet'!$E$6:$E$61,MATCH(2010,'AD Fleet'!$C$6:$C$61,0))*'Repair Costs'!G$29*$N196</x:f>
        <x:v>275.8699821108489</x:v>
      </x:c>
      <x:c r="H196" s="28" t="n">
        <x:f>INDEX('AD Fleet'!$E$6:$E$61,MATCH(2011,'AD Fleet'!$C$6:$C$61,0))*'Repair Costs'!G$29*$N196</x:f>
        <x:v>308.97629639334224</x:v>
      </x:c>
      <x:c r="I196" s="28" t="n">
        <x:f>'Fee Calculation'!M162</x:f>
        <x:v>862.5360944969248</x:v>
      </x:c>
      <x:c r="J196" s="33" t="n">
        <x:f>INDEX('Loss Calibration'!$E$8:$H$13,M196,4)</x:f>
        <x:v>0.3883456353743584</x:v>
      </x:c>
      <x:c r="K196" s="3" t="str">
        <x:v>Van</x:v>
      </x:c>
      <x:c r="L196" s="48" t="n">
        <x:v>16</x:v>
      </x:c>
      <x:c r="M196" s="48" t="n">
        <x:v>6</x:v>
      </x:c>
      <x:c r="N196" s="33" t="n">
        <x:f>IF(($L196/'Volume Build'!$D$23)&gt;=31,0,INDEX('AD Fleet'!$I$6:$I$37,INT(($L196/'Volume Build'!$D$23))+1)+(($L196/'Volume Build'!$D$23)-INT(($L196/'Volume Build'!$D$23)))*(INDEX('AD Fleet'!$I$6:$I$37,MIN(INT(($L196/'Volume Build'!$D$23))+2,32))-INDEX('AD Fleet'!$I$6:$I$37,INT(($L196/'Volume Build'!$D$23))+1)))</x:f>
        <x:v>0.5759481346678799</x:v>
      </x:c>
      <x:c r="O196" s="33" t="n">
        <x:f>IF(L196=0,'Volume Build'!$D$25,1)*EXP(-'Volume Build'!$D$24*MAX(L196-6,0))*'Vehicle Economics'!G$10</x:f>
        <x:v>0.4054734022728572</x:v>
      </x:c>
    </x:row>
    <x:row r="197" ht="18" customHeight="1">
      <x:c r="A197" s="2"/>
      <x:c r="B197" s="2"/>
      <x:c r="C197" s="2" t="str">
        <x:v>Van / 17</x:v>
      </x:c>
      <x:c r="D197" s="28" t="n">
        <x:f>INDEX('AD Fleet'!$E$6:$E$61,MATCH(2006,'AD Fleet'!$C$6:$C$61,0))*'Repair Costs'!G$29*$N197</x:f>
        <x:v>377.37356308792374</x:v>
      </x:c>
      <x:c r="E197" s="28" t="n">
        <x:f>INDEX('AD Fleet'!$E$6:$E$61,MATCH(2007,'AD Fleet'!$C$6:$C$61,0))*'Repair Costs'!G$29*$N197</x:f>
        <x:v>365.5338746728723</x:v>
      </x:c>
      <x:c r="F197" s="28" t="n">
        <x:f>INDEX('AD Fleet'!$E$6:$E$61,MATCH(2008,'AD Fleet'!$C$6:$C$61,0))*'Repair Costs'!G$29*$N197</x:f>
        <x:v>274.9096425294112</x:v>
      </x:c>
      <x:c r="G197" s="28" t="n">
        <x:f>INDEX('AD Fleet'!$E$6:$E$61,MATCH(2009,'AD Fleet'!$C$6:$C$61,0))*'Repair Costs'!G$29*$N197</x:f>
        <x:v>212.7622817782859</x:v>
      </x:c>
      <x:c r="H197" s="28" t="n">
        <x:f>INDEX('AD Fleet'!$E$6:$E$61,MATCH(2010,'AD Fleet'!$C$6:$C$61,0))*'Repair Costs'!G$29*$N197</x:f>
        <x:v>253.4309512783141</x:v>
      </x:c>
      <x:c r="I197" s="28" t="n">
        <x:f>'Fee Calculation'!M163</x:f>
        <x:v>818.1353546824537</x:v>
      </x:c>
      <x:c r="J197" s="33" t="n">
        <x:f>INDEX('Loss Calibration'!$E$8:$H$13,M197,4)</x:f>
        <x:v>0.3883456353743584</x:v>
      </x:c>
      <x:c r="K197" s="3" t="str">
        <x:v>Van</x:v>
      </x:c>
      <x:c r="L197" s="48" t="n">
        <x:v>17</x:v>
      </x:c>
      <x:c r="M197" s="48" t="n">
        <x:v>6</x:v>
      </x:c>
      <x:c r="N197" s="33" t="n">
        <x:f>IF(($L197/'Volume Build'!$D$23)&gt;=31,0,INDEX('AD Fleet'!$I$6:$I$37,INT(($L197/'Volume Build'!$D$23))+1)+(($L197/'Volume Build'!$D$23)-INT(($L197/'Volume Build'!$D$23)))*(INDEX('AD Fleet'!$I$6:$I$37,MIN(INT(($L197/'Volume Build'!$D$23))+2,32))-INDEX('AD Fleet'!$I$6:$I$37,INT(($L197/'Volume Build'!$D$23))+1)))</x:f>
        <x:v>0.5291010009099181</x:v>
      </x:c>
      <x:c r="O197" s="33" t="n">
        <x:f>IF(L197=0,'Volume Build'!$D$25,1)*EXP(-'Volume Build'!$D$24*MAX(L197-6,0))*'Vehicle Economics'!G$10</x:f>
        <x:v>0.37047474544889886</x:v>
      </x:c>
    </x:row>
    <x:row r="198" ht="18" customHeight="1">
      <x:c r="A198" s="2"/>
      <x:c r="B198" s="2"/>
      <x:c r="C198" s="2" t="str">
        <x:v>Van / 18</x:v>
      </x:c>
      <x:c r="D198" s="28" t="n">
        <x:f>INDEX('AD Fleet'!$E$6:$E$61,MATCH(2005,'AD Fleet'!$C$6:$C$61,0))*'Repair Costs'!G$29*$N198</x:f>
        <x:v>366.532088563215</x:v>
      </x:c>
      <x:c r="E198" s="28" t="n">
        <x:f>INDEX('AD Fleet'!$E$6:$E$61,MATCH(2006,'AD Fleet'!$C$6:$C$61,0))*'Repair Costs'!G$29*$N198</x:f>
        <x:v>344.81524328955516</x:v>
      </x:c>
      <x:c r="F198" s="28" t="n">
        <x:f>INDEX('AD Fleet'!$E$6:$E$61,MATCH(2007,'AD Fleet'!$C$6:$C$61,0))*'Repair Costs'!G$29*$N198</x:f>
        <x:v>333.9970370328616</x:v>
      </x:c>
      <x:c r="G198" s="28" t="n">
        <x:f>INDEX('AD Fleet'!$E$6:$E$61,MATCH(2008,'AD Fleet'!$C$6:$C$61,0))*'Repair Costs'!G$29*$N198</x:f>
        <x:v>251.19151033199924</x:v>
      </x:c>
      <x:c r="H198" s="28" t="n">
        <x:f>INDEX('AD Fleet'!$E$6:$E$61,MATCH(2009,'AD Fleet'!$C$6:$C$61,0))*'Repair Costs'!G$29*$N198</x:f>
        <x:v>194.4059815793923</x:v>
      </x:c>
      <x:c r="I198" s="28" t="n">
        <x:f>'Fee Calculation'!M164</x:f>
        <x:v>809.6292135411</x:v>
      </x:c>
      <x:c r="J198" s="33" t="n">
        <x:f>INDEX('Loss Calibration'!$E$8:$H$13,M198,4)</x:f>
        <x:v>0.3883456353743584</x:v>
      </x:c>
      <x:c r="K198" s="3" t="str">
        <x:v>Van</x:v>
      </x:c>
      <x:c r="L198" s="48" t="n">
        <x:v>18</x:v>
      </x:c>
      <x:c r="M198" s="48" t="n">
        <x:v>6</x:v>
      </x:c>
      <x:c r="N198" s="33" t="n">
        <x:f>IF(($L198/'Volume Build'!$D$23)&gt;=31,0,INDEX('AD Fleet'!$I$6:$I$37,INT(($L198/'Volume Build'!$D$23))+1)+(($L198/'Volume Build'!$D$23)-INT(($L198/'Volume Build'!$D$23)))*(INDEX('AD Fleet'!$I$6:$I$37,MIN(INT(($L198/'Volume Build'!$D$23))+2,32))-INDEX('AD Fleet'!$I$6:$I$37,INT(($L198/'Volume Build'!$D$23))+1)))</x:f>
        <x:v>0.483452229299363</x:v>
      </x:c>
      <x:c r="O198" s="33" t="n">
        <x:f>IF(L198=0,'Volume Build'!$D$25,1)*EXP(-'Volume Build'!$D$24*MAX(L198-6,0))*'Vehicle Economics'!G$10</x:f>
        <x:v>0.33849701668733634</x:v>
      </x:c>
    </x:row>
    <x:row r="199" ht="18" customHeight="1">
      <x:c r="A199" s="2"/>
      <x:c r="B199" s="2"/>
      <x:c r="C199" s="2" t="str">
        <x:v>Van / 19</x:v>
      </x:c>
      <x:c r="D199" s="28" t="n">
        <x:f>INDEX('AD Fleet'!$E$6:$E$61,MATCH(2004,'AD Fleet'!$C$6:$C$61,0))*'Repair Costs'!G$29*$N199</x:f>
        <x:v>338.5061440730511</x:v>
      </x:c>
      <x:c r="E199" s="28" t="n">
        <x:f>INDEX('AD Fleet'!$E$6:$E$61,MATCH(2005,'AD Fleet'!$C$6:$C$61,0))*'Repair Costs'!G$29*$N199</x:f>
        <x:v>333.3850223775435</x:v>
      </x:c>
      <x:c r="F199" s="28" t="n">
        <x:f>INDEX('AD Fleet'!$E$6:$E$61,MATCH(2006,'AD Fleet'!$C$6:$C$61,0))*'Repair Costs'!G$29*$N199</x:f>
        <x:v>313.63212440915714</x:v>
      </x:c>
      <x:c r="G199" s="28" t="n">
        <x:f>INDEX('AD Fleet'!$E$6:$E$61,MATCH(2007,'AD Fleet'!$C$6:$C$61,0))*'Repair Costs'!G$29*$N199</x:f>
        <x:v>303.79225486564616</x:v>
      </x:c>
      <x:c r="H199" s="28" t="n">
        <x:f>INDEX('AD Fleet'!$E$6:$E$61,MATCH(2008,'AD Fleet'!$C$6:$C$61,0))*'Repair Costs'!G$29*$N199</x:f>
        <x:v>228.4751865010025</x:v>
      </x:c>
      <x:c r="I199" s="28" t="n">
        <x:f>'Fee Calculation'!M165</x:f>
        <x:v>751.9325387533079</x:v>
      </x:c>
      <x:c r="J199" s="33" t="n">
        <x:f>INDEX('Loss Calibration'!$E$8:$H$13,M199,4)</x:f>
        <x:v>0.3883456353743584</x:v>
      </x:c>
      <x:c r="K199" s="3" t="str">
        <x:v>Van</x:v>
      </x:c>
      <x:c r="L199" s="48" t="n">
        <x:v>19</x:v>
      </x:c>
      <x:c r="M199" s="48" t="n">
        <x:v>6</x:v>
      </x:c>
      <x:c r="N199" s="33" t="n">
        <x:f>IF(($L199/'Volume Build'!$D$23)&gt;=31,0,INDEX('AD Fleet'!$I$6:$I$37,INT(($L199/'Volume Build'!$D$23))+1)+(($L199/'Volume Build'!$D$23)-INT(($L199/'Volume Build'!$D$23)))*(INDEX('AD Fleet'!$I$6:$I$37,MIN(INT(($L199/'Volume Build'!$D$23))+2,32))-INDEX('AD Fleet'!$I$6:$I$37,INT(($L199/'Volume Build'!$D$23))+1)))</x:f>
        <x:v>0.4397315741583258</x:v>
      </x:c>
      <x:c r="O199" s="33" t="n">
        <x:f>IF(L199=0,'Volume Build'!$D$25,1)*EXP(-'Volume Build'!$D$24*MAX(L199-6,0))*'Vehicle Economics'!G$10</x:f>
        <x:v>0.3092794629425864</x:v>
      </x:c>
    </x:row>
    <x:row r="200" ht="18" customHeight="1">
      <x:c r="A200" s="2"/>
      <x:c r="B200" s="2"/>
      <x:c r="C200" s="2" t="str">
        <x:v>Van / 20</x:v>
      </x:c>
      <x:c r="D200" s="28" t="n">
        <x:f>INDEX('AD Fleet'!$E$6:$E$61,MATCH(2003,'AD Fleet'!$C$6:$C$61,0))*'Repair Costs'!G$29*$N200</x:f>
        <x:v>296.2687576541827</x:v>
      </x:c>
      <x:c r="E200" s="28" t="n">
        <x:f>INDEX('AD Fleet'!$E$6:$E$61,MATCH(2004,'AD Fleet'!$C$6:$C$61,0))*'Repair Costs'!G$29*$N200</x:f>
        <x:v>306.74324047122474</x:v>
      </x:c>
      <x:c r="F200" s="28" t="n">
        <x:f>INDEX('AD Fleet'!$E$6:$E$61,MATCH(2005,'AD Fleet'!$C$6:$C$61,0))*'Repair Costs'!G$29*$N200</x:f>
        <x:v>302.10264681810486</x:v>
      </x:c>
      <x:c r="G200" s="28" t="n">
        <x:f>INDEX('AD Fleet'!$E$6:$E$61,MATCH(2006,'AD Fleet'!$C$6:$C$61,0))*'Repair Costs'!G$29*$N200</x:f>
        <x:v>284.203214156071</x:v>
      </x:c>
      <x:c r="H200" s="28" t="n">
        <x:f>INDEX('AD Fleet'!$E$6:$E$61,MATCH(2007,'AD Fleet'!$C$6:$C$61,0))*'Repair Costs'!G$29*$N200</x:f>
        <x:v>275.28664492257633</x:v>
      </x:c>
      <x:c r="I200" s="28" t="n">
        <x:f>'Fee Calculation'!M166</x:f>
        <x:v>706.2182994108596</x:v>
      </x:c>
      <x:c r="J200" s="33" t="n">
        <x:f>INDEX('Loss Calibration'!$E$8:$H$13,M200,4)</x:f>
        <x:v>0.3883456353743584</x:v>
      </x:c>
      <x:c r="K200" s="3" t="str">
        <x:v>Van</x:v>
      </x:c>
      <x:c r="L200" s="48" t="n">
        <x:v>20</x:v>
      </x:c>
      <x:c r="M200" s="48" t="n">
        <x:v>6</x:v>
      </x:c>
      <x:c r="N200" s="33" t="n">
        <x:f>IF(($L200/'Volume Build'!$D$23)&gt;=31,0,INDEX('AD Fleet'!$I$6:$I$37,INT(($L200/'Volume Build'!$D$23))+1)+(($L200/'Volume Build'!$D$23)-INT(($L200/'Volume Build'!$D$23)))*(INDEX('AD Fleet'!$I$6:$I$37,MIN(INT(($L200/'Volume Build'!$D$23))+2,32))-INDEX('AD Fleet'!$I$6:$I$37,INT(($L200/'Volume Build'!$D$23))+1)))</x:f>
        <x:v>0.3984704276615104</x:v>
      </x:c>
      <x:c r="O200" s="33" t="n">
        <x:f>IF(L200=0,'Volume Build'!$D$25,1)*EXP(-'Volume Build'!$D$24*MAX(L200-6,0))*'Vehicle Economics'!G$10</x:f>
        <x:v>0.28258383820974226</x:v>
      </x:c>
    </x:row>
    <x:row r="201" ht="18" customHeight="1">
      <x:c r="A201" s="2"/>
      <x:c r="B201" s="2"/>
      <x:c r="C201" s="2" t="str">
        <x:v>Van / 21</x:v>
      </x:c>
      <x:c r="D201" s="28" t="n">
        <x:f>INDEX('AD Fleet'!$E$6:$E$61,MATCH(2002,'AD Fleet'!$C$6:$C$61,0))*'Repair Costs'!G$29*$N201</x:f>
        <x:v>258.2937542190406</x:v>
      </x:c>
      <x:c r="E201" s="28" t="n">
        <x:f>INDEX('AD Fleet'!$E$6:$E$61,MATCH(2003,'AD Fleet'!$C$6:$C$61,0))*'Repair Costs'!G$29*$N201</x:f>
        <x:v>267.4191561693252</x:v>
      </x:c>
      <x:c r="F201" s="28" t="n">
        <x:f>INDEX('AD Fleet'!$E$6:$E$61,MATCH(2004,'AD Fleet'!$C$6:$C$61,0))*'Repair Costs'!G$29*$N201</x:f>
        <x:v>276.87367097683324</x:v>
      </x:c>
      <x:c r="G201" s="28" t="n">
        <x:f>INDEX('AD Fleet'!$E$6:$E$61,MATCH(2005,'AD Fleet'!$C$6:$C$61,0))*'Repair Costs'!G$29*$N201</x:f>
        <x:v>272.6849618848993</x:v>
      </x:c>
      <x:c r="H201" s="28" t="n">
        <x:f>INDEX('AD Fleet'!$E$6:$E$61,MATCH(2006,'AD Fleet'!$C$6:$C$61,0))*'Repair Costs'!G$29*$N201</x:f>
        <x:v>256.52851253029695</x:v>
      </x:c>
      <x:c r="I201" s="28" t="n">
        <x:f>'Fee Calculation'!M167</x:f>
        <x:v>662.4167950656544</x:v>
      </x:c>
      <x:c r="J201" s="33" t="n">
        <x:f>INDEX('Loss Calibration'!$E$8:$H$13,M201,4)</x:f>
        <x:v>0.3883456353743584</x:v>
      </x:c>
      <x:c r="K201" s="3" t="str">
        <x:v>Van</x:v>
      </x:c>
      <x:c r="L201" s="48" t="n">
        <x:v>21</x:v>
      </x:c>
      <x:c r="M201" s="48" t="n">
        <x:v>6</x:v>
      </x:c>
      <x:c r="N201" s="33" t="n">
        <x:f>IF(($L201/'Volume Build'!$D$23)&gt;=31,0,INDEX('AD Fleet'!$I$6:$I$37,INT(($L201/'Volume Build'!$D$23))+1)+(($L201/'Volume Build'!$D$23)-INT(($L201/'Volume Build'!$D$23)))*(INDEX('AD Fleet'!$I$6:$I$37,MIN(INT(($L201/'Volume Build'!$D$23))+2,32))-INDEX('AD Fleet'!$I$6:$I$37,INT(($L201/'Volume Build'!$D$23))+1)))</x:f>
        <x:v>0.35966878980891714</x:v>
      </x:c>
      <x:c r="O201" s="33" t="n">
        <x:f>IF(L201=0,'Volume Build'!$D$25,1)*EXP(-'Volume Build'!$D$24*MAX(L201-6,0))*'Vehicle Economics'!G$10</x:f>
        <x:v>0.25819246081713987</x:v>
      </x:c>
    </x:row>
    <x:row r="202" ht="18" customHeight="1">
      <x:c r="A202" s="2"/>
      <x:c r="B202" s="2"/>
      <x:c r="C202" s="2" t="str">
        <x:v>Van / 22</x:v>
      </x:c>
      <x:c r="D202" s="28" t="n">
        <x:f>INDEX('AD Fleet'!$E$6:$E$61,MATCH(2001,'AD Fleet'!$C$6:$C$61,0))*'Repair Costs'!G$29*$N202</x:f>
        <x:v>231.2665443822621</x:v>
      </x:c>
      <x:c r="E202" s="28" t="n">
        <x:f>INDEX('AD Fleet'!$E$6:$E$61,MATCH(2002,'AD Fleet'!$C$6:$C$61,0))*'Repair Costs'!G$29*$N202</x:f>
        <x:v>232.2079643698615</x:v>
      </x:c>
      <x:c r="F202" s="28" t="n">
        <x:f>INDEX('AD Fleet'!$E$6:$E$61,MATCH(2003,'AD Fleet'!$C$6:$C$61,0))*'Repair Costs'!G$29*$N202</x:f>
        <x:v>240.4117671189415</x:v>
      </x:c>
      <x:c r="G202" s="28" t="n">
        <x:f>INDEX('AD Fleet'!$E$6:$E$61,MATCH(2004,'AD Fleet'!$C$6:$C$61,0))*'Repair Costs'!G$29*$N202</x:f>
        <x:v>248.911444721267</x:v>
      </x:c>
      <x:c r="H202" s="28" t="n">
        <x:f>INDEX('AD Fleet'!$E$6:$E$61,MATCH(2005,'AD Fleet'!$C$6:$C$61,0))*'Repair Costs'!G$29*$N202</x:f>
        <x:v>245.14576477086962</x:v>
      </x:c>
      <x:c r="I202" s="28" t="n">
        <x:f>'Fee Calculation'!M168</x:f>
        <x:v>639.2149581441963</x:v>
      </x:c>
      <x:c r="J202" s="33" t="n">
        <x:f>INDEX('Loss Calibration'!$E$8:$H$13,M202,4)</x:f>
        <x:v>0.3883456353743584</x:v>
      </x:c>
      <x:c r="K202" s="3" t="str">
        <x:v>Van</x:v>
      </x:c>
      <x:c r="L202" s="48" t="n">
        <x:v>22</x:v>
      </x:c>
      <x:c r="M202" s="48" t="n">
        <x:v>6</x:v>
      </x:c>
      <x:c r="N202" s="33" t="n">
        <x:f>IF(($L202/'Volume Build'!$D$23)&gt;=31,0,INDEX('AD Fleet'!$I$6:$I$37,INT(($L202/'Volume Build'!$D$23))+1)+(($L202/'Volume Build'!$D$23)-INT(($L202/'Volume Build'!$D$23)))*(INDEX('AD Fleet'!$I$6:$I$37,MIN(INT(($L202/'Volume Build'!$D$23))+2,32))-INDEX('AD Fleet'!$I$6:$I$37,INT(($L202/'Volume Build'!$D$23))+1)))</x:f>
        <x:v>0.32334485896269327</x:v>
      </x:c>
      <x:c r="O202" s="33" t="n">
        <x:f>IF(L202=0,'Volume Build'!$D$25,1)*EXP(-'Volume Build'!$D$24*MAX(L202-6,0))*'Vehicle Economics'!G$10</x:f>
        <x:v>0.23590643840477085</x:v>
      </x:c>
    </x:row>
    <x:row r="203" ht="18" customHeight="1">
      <x:c r="A203" s="2"/>
      <x:c r="B203" s="2"/>
      <x:c r="C203" s="2" t="str">
        <x:v>Van / 23</x:v>
      </x:c>
      <x:c r="D203" s="28" t="n">
        <x:f>INDEX('AD Fleet'!$E$6:$E$61,MATCH(2000,'AD Fleet'!$C$6:$C$61,0))*'Repair Costs'!G$29*$N203</x:f>
        <x:v>202.7130256017135</x:v>
      </x:c>
      <x:c r="E203" s="28" t="n">
        <x:f>INDEX('AD Fleet'!$E$6:$E$61,MATCH(2001,'AD Fleet'!$C$6:$C$61,0))*'Repair Costs'!G$29*$N203</x:f>
        <x:v>207.83765730068356</x:v>
      </x:c>
      <x:c r="F203" s="28" t="n">
        <x:f>INDEX('AD Fleet'!$E$6:$E$61,MATCH(2002,'AD Fleet'!$C$6:$C$61,0))*'Repair Costs'!G$29*$N203</x:f>
        <x:v>208.68370498683433</x:v>
      </x:c>
      <x:c r="G203" s="28" t="n">
        <x:f>INDEX('AD Fleet'!$E$6:$E$61,MATCH(2003,'AD Fleet'!$C$6:$C$61,0))*'Repair Costs'!G$29*$N203</x:f>
        <x:v>216.05640625186206</x:v>
      </x:c>
      <x:c r="H203" s="28" t="n">
        <x:f>INDEX('AD Fleet'!$E$6:$E$61,MATCH(2004,'AD Fleet'!$C$6:$C$61,0))*'Repair Costs'!G$29*$N203</x:f>
        <x:v>223.69500821825144</x:v>
      </x:c>
      <x:c r="I203" s="28" t="n">
        <x:f>'Fee Calculation'!M169</x:f>
        <x:v>616.5557227461222</x:v>
      </x:c>
      <x:c r="J203" s="33" t="n">
        <x:f>INDEX('Loss Calibration'!$E$8:$H$13,M203,4)</x:f>
        <x:v>0.3883456353743584</x:v>
      </x:c>
      <x:c r="K203" s="3" t="str">
        <x:v>Van</x:v>
      </x:c>
      <x:c r="L203" s="48" t="n">
        <x:v>23</x:v>
      </x:c>
      <x:c r="M203" s="48" t="n">
        <x:v>6</x:v>
      </x:c>
      <x:c r="N203" s="33" t="n">
        <x:f>IF(($L203/'Volume Build'!$D$23)&gt;=31,0,INDEX('AD Fleet'!$I$6:$I$37,INT(($L203/'Volume Build'!$D$23))+1)+(($L203/'Volume Build'!$D$23)-INT(($L203/'Volume Build'!$D$23)))*(INDEX('AD Fleet'!$I$6:$I$37,MIN(INT(($L203/'Volume Build'!$D$23))+2,32))-INDEX('AD Fleet'!$I$6:$I$37,INT(($L203/'Volume Build'!$D$23))+1)))</x:f>
        <x:v>0.2905878070973612</x:v>
      </x:c>
      <x:c r="O203" s="33" t="n">
        <x:f>IF(L203=0,'Volume Build'!$D$25,1)*EXP(-'Volume Build'!$D$24*MAX(L203-6,0))*'Vehicle Economics'!G$10</x:f>
        <x:v>0.2155440461146476</x:v>
      </x:c>
    </x:row>
    <x:row r="204" ht="18" customHeight="1">
      <x:c r="A204" s="2"/>
      <x:c r="B204" s="2"/>
      <x:c r="C204" s="2" t="str">
        <x:v>Van / 24</x:v>
      </x:c>
      <x:c r="D204" s="28" t="n">
        <x:f>INDEX('AD Fleet'!$E$6:$E$61,MATCH(1999,'AD Fleet'!$C$6:$C$61,0))*'Repair Costs'!G$29*$N204</x:f>
        <x:v>174.8370091700419</x:v>
      </x:c>
      <x:c r="E204" s="28" t="n">
        <x:f>INDEX('AD Fleet'!$E$6:$E$61,MATCH(2000,'AD Fleet'!$C$6:$C$61,0))*'Repair Costs'!G$29*$N204</x:f>
        <x:v>181.61565203765284</x:v>
      </x:c>
      <x:c r="F204" s="28" t="n">
        <x:f>INDEX('AD Fleet'!$E$6:$E$61,MATCH(2001,'AD Fleet'!$C$6:$C$61,0))*'Repair Costs'!G$29*$N204</x:f>
        <x:v>186.20693730261615</x:v>
      </x:c>
      <x:c r="G204" s="28" t="n">
        <x:f>INDEX('AD Fleet'!$E$6:$E$61,MATCH(2002,'AD Fleet'!$C$6:$C$61,0))*'Repair Costs'!G$29*$N204</x:f>
        <x:v>186.96493251145446</x:v>
      </x:c>
      <x:c r="H204" s="28" t="n">
        <x:f>INDEX('AD Fleet'!$E$6:$E$61,MATCH(2003,'AD Fleet'!$C$6:$C$61,0))*'Repair Costs'!G$29*$N204</x:f>
        <x:v>193.57031933133092</x:v>
      </x:c>
      <x:c r="I204" s="28" t="n">
        <x:f>'Fee Calculation'!M170</x:f>
        <x:v>583.1374535094892</x:v>
      </x:c>
      <x:c r="J204" s="33" t="n">
        <x:f>INDEX('Loss Calibration'!$E$8:$H$13,M204,4)</x:f>
        <x:v>0.3883456353743584</x:v>
      </x:c>
      <x:c r="K204" s="3" t="str">
        <x:v>Van</x:v>
      </x:c>
      <x:c r="L204" s="48" t="n">
        <x:v>24</x:v>
      </x:c>
      <x:c r="M204" s="48" t="n">
        <x:v>6</x:v>
      </x:c>
      <x:c r="N204" s="33" t="n">
        <x:f>IF(($L204/'Volume Build'!$D$23)&gt;=31,0,INDEX('AD Fleet'!$I$6:$I$37,INT(($L204/'Volume Build'!$D$23))+1)+(($L204/'Volume Build'!$D$23)-INT(($L204/'Volume Build'!$D$23)))*(INDEX('AD Fleet'!$I$6:$I$37,MIN(INT(($L204/'Volume Build'!$D$23))+2,32))-INDEX('AD Fleet'!$I$6:$I$37,INT(($L204/'Volume Build'!$D$23))+1)))</x:f>
        <x:v>0.2603448589626933</x:v>
      </x:c>
      <x:c r="O204" s="33" t="n">
        <x:f>IF(L204=0,'Volume Build'!$D$25,1)*EXP(-'Volume Build'!$D$24*MAX(L204-6,0))*'Vehicle Economics'!G$10</x:f>
        <x:v>0.19693924476854713</x:v>
      </x:c>
    </x:row>
    <x:row r="205" ht="18" customHeight="1">
      <x:c r="A205" s="2"/>
      <x:c r="B205" s="2"/>
      <x:c r="C205" s="2" t="str">
        <x:v>Van / 25</x:v>
      </x:c>
      <x:c r="D205" s="28" t="n">
        <x:f>INDEX('AD Fleet'!$E$6:$E$61,MATCH(1998,'AD Fleet'!$C$6:$C$61,0))*'Repair Costs'!G$29*$N205</x:f>
        <x:v>141.2051197065715</x:v>
      </x:c>
      <x:c r="E205" s="28" t="n">
        <x:f>INDEX('AD Fleet'!$E$6:$E$61,MATCH(1999,'AD Fleet'!$C$6:$C$61,0))*'Repair Costs'!G$29*$N205</x:f>
        <x:v>156.17878221552976</x:v>
      </x:c>
      <x:c r="F205" s="28" t="n">
        <x:f>INDEX('AD Fleet'!$E$6:$E$61,MATCH(2000,'AD Fleet'!$C$6:$C$61,0))*'Repair Costs'!G$29*$N205</x:f>
        <x:v>162.23402299757618</x:v>
      </x:c>
      <x:c r="G205" s="28" t="n">
        <x:f>INDEX('AD Fleet'!$E$6:$E$61,MATCH(2001,'AD Fleet'!$C$6:$C$61,0))*'Repair Costs'!G$29*$N205</x:f>
        <x:v>166.33533624292392</x:v>
      </x:c>
      <x:c r="H205" s="28" t="n">
        <x:f>INDEX('AD Fleet'!$E$6:$E$61,MATCH(2002,'AD Fleet'!$C$6:$C$61,0))*'Repair Costs'!G$29*$N205</x:f>
        <x:v>167.01243984475022</x:v>
      </x:c>
      <x:c r="I205" s="28" t="n">
        <x:f>'Fee Calculation'!M171</x:f>
        <x:v>572.6634288267173</x:v>
      </x:c>
      <x:c r="J205" s="33" t="n">
        <x:f>INDEX('Loss Calibration'!$E$8:$H$13,M205,4)</x:f>
        <x:v>0.3883456353743584</x:v>
      </x:c>
      <x:c r="K205" s="3" t="str">
        <x:v>Van</x:v>
      </x:c>
      <x:c r="L205" s="48" t="n">
        <x:v>25</x:v>
      </x:c>
      <x:c r="M205" s="48" t="n">
        <x:v>6</x:v>
      </x:c>
      <x:c r="N205" s="33" t="n">
        <x:f>IF(($L205/'Volume Build'!$D$23)&gt;=31,0,INDEX('AD Fleet'!$I$6:$I$37,INT(($L205/'Volume Build'!$D$23))+1)+(($L205/'Volume Build'!$D$23)-INT(($L205/'Volume Build'!$D$23)))*(INDEX('AD Fleet'!$I$6:$I$37,MIN(INT(($L205/'Volume Build'!$D$23))+2,32))-INDEX('AD Fleet'!$I$6:$I$37,INT(($L205/'Volume Build'!$D$23))+1)))</x:f>
        <x:v>0.23256141947224745</x:v>
      </x:c>
      <x:c r="O205" s="33" t="n">
        <x:f>IF(L205=0,'Volume Build'!$D$25,1)*EXP(-'Volume Build'!$D$24*MAX(L205-6,0))*'Vehicle Economics'!G$10</x:f>
        <x:v>0.17994032695004702</x:v>
      </x:c>
    </x:row>
    <x:row r="206" ht="18" customHeight="1">
      <x:c r="A206" s="2"/>
      <x:c r="B206" s="2"/>
      <x:c r="C206" s="2" t="str">
        <x:v>Van / 26</x:v>
      </x:c>
      <x:c r="D206" s="28" t="n">
        <x:f>INDEX('AD Fleet'!$E$6:$E$61,MATCH(1997,'AD Fleet'!$C$6:$C$61,0))*'Repair Costs'!G$29*$N206</x:f>
        <x:v>117.1750104052759</x:v>
      </x:c>
      <x:c r="E206" s="28" t="n">
        <x:f>INDEX('AD Fleet'!$E$6:$E$61,MATCH(1998,'AD Fleet'!$C$6:$C$61,0))*'Repair Costs'!G$29*$N206</x:f>
        <x:v>125.82910121349255</x:v>
      </x:c>
      <x:c r="F206" s="28" t="n">
        <x:f>INDEX('AD Fleet'!$E$6:$E$61,MATCH(1999,'AD Fleet'!$C$6:$C$61,0))*'Repair Costs'!G$29*$N206</x:f>
        <x:v>139.17226114488633</x:v>
      </x:c>
      <x:c r="G206" s="28" t="n">
        <x:f>INDEX('AD Fleet'!$E$6:$E$61,MATCH(2000,'AD Fleet'!$C$6:$C$61,0))*'Repair Costs'!G$29*$N206</x:f>
        <x:v>144.56813848148357</x:v>
      </x:c>
      <x:c r="H206" s="28" t="n">
        <x:f>INDEX('AD Fleet'!$E$6:$E$61,MATCH(2001,'AD Fleet'!$C$6:$C$61,0))*'Repair Costs'!G$29*$N206</x:f>
        <x:v>148.2228541216069</x:v>
      </x:c>
      <x:c r="I206" s="28" t="n">
        <x:f>'Fee Calculation'!M172</x:f>
        <x:v>511.341373239038</x:v>
      </x:c>
      <x:c r="J206" s="33" t="n">
        <x:f>INDEX('Loss Calibration'!$E$8:$H$13,M206,4)</x:f>
        <x:v>0.3883456353743584</x:v>
      </x:c>
      <x:c r="K206" s="3" t="str">
        <x:v>Van</x:v>
      </x:c>
      <x:c r="L206" s="48" t="n">
        <x:v>26</x:v>
      </x:c>
      <x:c r="M206" s="48" t="n">
        <x:v>6</x:v>
      </x:c>
      <x:c r="N206" s="33" t="n">
        <x:f>IF(($L206/'Volume Build'!$D$23)&gt;=31,0,INDEX('AD Fleet'!$I$6:$I$37,INT(($L206/'Volume Build'!$D$23))+1)+(($L206/'Volume Build'!$D$23)-INT(($L206/'Volume Build'!$D$23)))*(INDEX('AD Fleet'!$I$6:$I$37,MIN(INT(($L206/'Volume Build'!$D$23))+2,32))-INDEX('AD Fleet'!$I$6:$I$37,INT(($L206/'Volume Build'!$D$23))+1)))</x:f>
        <x:v>0.20723748862602367</x:v>
      </x:c>
      <x:c r="O206" s="33" t="n">
        <x:f>IF(L206=0,'Volume Build'!$D$25,1)*EXP(-'Volume Build'!$D$24*MAX(L206-6,0))*'Vehicle Economics'!G$10</x:f>
        <x:v>0.16440867995072633</x:v>
      </x:c>
    </x:row>
    <x:row r="207" ht="18" customHeight="1">
      <x:c r="A207" s="2"/>
      <x:c r="B207" s="2"/>
      <x:c r="C207" s="2" t="str">
        <x:v>Van / 27</x:v>
      </x:c>
      <x:c r="D207" s="28" t="n">
        <x:f>INDEX('AD Fleet'!$E$6:$E$61,MATCH(1996,'AD Fleet'!$C$6:$C$61,0))*'Repair Costs'!G$29*$N207</x:f>
        <x:v>99.98339281567311</x:v>
      </x:c>
      <x:c r="E207" s="28" t="n">
        <x:f>INDEX('AD Fleet'!$E$6:$E$61,MATCH(1997,'AD Fleet'!$C$6:$C$61,0))*'Repair Costs'!G$29*$N207</x:f>
        <x:v>104.24714234823287</x:v>
      </x:c>
      <x:c r="F207" s="28" t="n">
        <x:f>INDEX('AD Fleet'!$E$6:$E$61,MATCH(1998,'AD Fleet'!$C$6:$C$61,0))*'Repair Costs'!G$29*$N207</x:f>
        <x:v>111.94643107249549</x:v>
      </x:c>
      <x:c r="G207" s="28" t="n">
        <x:f>INDEX('AD Fleet'!$E$6:$E$61,MATCH(1999,'AD Fleet'!$C$6:$C$61,0))*'Repair Costs'!G$29*$N207</x:f>
        <x:v>123.81744595811152</x:v>
      </x:c>
      <x:c r="H207" s="28" t="n">
        <x:f>INDEX('AD Fleet'!$E$6:$E$61,MATCH(2000,'AD Fleet'!$C$6:$C$61,0))*'Repair Costs'!G$29*$N207</x:f>
        <x:v>128.61799848937486</x:v>
      </x:c>
      <x:c r="I207" s="28" t="n">
        <x:f>'Fee Calculation'!M173</x:f>
        <x:v>489.13303432949226</x:v>
      </x:c>
      <x:c r="J207" s="33" t="n">
        <x:f>INDEX('Loss Calibration'!$E$8:$H$13,M207,4)</x:f>
        <x:v>0.3883456353743584</x:v>
      </x:c>
      <x:c r="K207" s="3" t="str">
        <x:v>Van</x:v>
      </x:c>
      <x:c r="L207" s="48" t="n">
        <x:v>27</x:v>
      </x:c>
      <x:c r="M207" s="48" t="n">
        <x:v>6</x:v>
      </x:c>
      <x:c r="N207" s="33" t="n">
        <x:f>IF(($L207/'Volume Build'!$D$23)&gt;=31,0,INDEX('AD Fleet'!$I$6:$I$37,INT(($L207/'Volume Build'!$D$23))+1)+(($L207/'Volume Build'!$D$23)-INT(($L207/'Volume Build'!$D$23)))*(INDEX('AD Fleet'!$I$6:$I$37,MIN(INT(($L207/'Volume Build'!$D$23))+2,32))-INDEX('AD Fleet'!$I$6:$I$37,INT(($L207/'Volume Build'!$D$23))+1)))</x:f>
        <x:v>0.18437306642402182</x:v>
      </x:c>
      <x:c r="O207" s="33" t="n">
        <x:f>IF(L207=0,'Volume Build'!$D$25,1)*EXP(-'Volume Build'!$D$24*MAX(L207-6,0))*'Vehicle Economics'!G$10</x:f>
        <x:v>0.15021765549333577</x:v>
      </x:c>
    </x:row>
    <x:row r="208" ht="18" customHeight="1">
      <x:c r="A208" s="2"/>
      <x:c r="B208" s="2"/>
      <x:c r="C208" s="2" t="str">
        <x:v>Van / 28</x:v>
      </x:c>
      <x:c r="D208" s="28" t="n">
        <x:f>INDEX('AD Fleet'!$E$6:$E$61,MATCH(1995,'AD Fleet'!$C$6:$C$61,0))*'Repair Costs'!G$29*$N208</x:f>
        <x:v>82.56188279127441</x:v>
      </x:c>
      <x:c r="E208" s="28" t="n">
        <x:f>INDEX('AD Fleet'!$E$6:$E$61,MATCH(1996,'AD Fleet'!$C$6:$C$61,0))*'Repair Costs'!G$29*$N208</x:f>
        <x:v>88.91804294008227</x:v>
      </x:c>
      <x:c r="F208" s="28" t="n">
        <x:f>INDEX('AD Fleet'!$E$6:$E$61,MATCH(1997,'AD Fleet'!$C$6:$C$61,0))*'Repair Costs'!G$29*$N208</x:f>
        <x:v>92.70991530353415</x:v>
      </x:c>
      <x:c r="G208" s="28" t="n">
        <x:f>INDEX('AD Fleet'!$E$6:$E$61,MATCH(1998,'AD Fleet'!$C$6:$C$61,0))*'Repair Costs'!G$29*$N208</x:f>
        <x:v>99.55710928358037</x:v>
      </x:c>
      <x:c r="H208" s="28" t="n">
        <x:f>INDEX('AD Fleet'!$E$6:$E$61,MATCH(1999,'AD Fleet'!$C$6:$C$61,0))*'Repair Costs'!G$29*$N208</x:f>
        <x:v>110.11433665520542</x:v>
      </x:c>
      <x:c r="I208" s="28" t="n">
        <x:f>'Fee Calculation'!M174</x:f>
        <x:v>461.00379987988555</x:v>
      </x:c>
      <x:c r="J208" s="33" t="n">
        <x:f>INDEX('Loss Calibration'!$E$8:$H$13,M208,4)</x:f>
        <x:v>0.3883456353743584</x:v>
      </x:c>
      <x:c r="K208" s="3" t="str">
        <x:v>Van</x:v>
      </x:c>
      <x:c r="L208" s="48" t="n">
        <x:v>28</x:v>
      </x:c>
      <x:c r="M208" s="48" t="n">
        <x:v>6</x:v>
      </x:c>
      <x:c r="N208" s="33" t="n">
        <x:f>IF(($L208/'Volume Build'!$D$23)&gt;=31,0,INDEX('AD Fleet'!$I$6:$I$37,INT(($L208/'Volume Build'!$D$23))+1)+(($L208/'Volume Build'!$D$23)-INT(($L208/'Volume Build'!$D$23)))*(INDEX('AD Fleet'!$I$6:$I$37,MIN(INT(($L208/'Volume Build'!$D$23))+2,32))-INDEX('AD Fleet'!$I$6:$I$37,INT(($L208/'Volume Build'!$D$23))+1)))</x:f>
        <x:v>0.163968152866242</x:v>
      </x:c>
      <x:c r="O208" s="33" t="n">
        <x:f>IF(L208=0,'Volume Build'!$D$25,1)*EXP(-'Volume Build'!$D$24*MAX(L208-6,0))*'Vehicle Economics'!G$10</x:f>
        <x:v>0.1372515370154264</x:v>
      </x:c>
    </x:row>
    <x:row r="209" ht="18" customHeight="1">
      <x:c r="A209" s="2"/>
      <x:c r="B209" s="2"/>
      <x:c r="C209" s="2" t="str">
        <x:v>Van / 29</x:v>
      </x:c>
      <x:c r="D209" s="28" t="n">
        <x:f>INDEX('AD Fleet'!$E$6:$E$61,MATCH(1994,'AD Fleet'!$C$6:$C$61,0))*'Repair Costs'!G$29*$N209</x:f>
        <x:v>72.89393491589297</x:v>
      </x:c>
      <x:c r="E209" s="28" t="n">
        <x:f>INDEX('AD Fleet'!$E$6:$E$61,MATCH(1995,'AD Fleet'!$C$6:$C$61,0))*'Repair Costs'!G$29*$N209</x:f>
        <x:v>73.13558562007296</x:v>
      </x:c>
      <x:c r="F209" s="28" t="n">
        <x:f>INDEX('AD Fleet'!$E$6:$E$61,MATCH(1996,'AD Fleet'!$C$6:$C$61,0))*'Repair Costs'!G$29*$N209</x:f>
        <x:v>78.76604702746666</x:v>
      </x:c>
      <x:c r="G209" s="28" t="n">
        <x:f>INDEX('AD Fleet'!$E$6:$E$61,MATCH(1997,'AD Fleet'!$C$6:$C$61,0))*'Repair Costs'!G$29*$N209</x:f>
        <x:v>82.12499181556845</x:v>
      </x:c>
      <x:c r="H209" s="28" t="n">
        <x:f>INDEX('AD Fleet'!$E$6:$E$61,MATCH(1998,'AD Fleet'!$C$6:$C$61,0))*'Repair Costs'!G$29*$N209</x:f>
        <x:v>88.19042449048612</x:v>
      </x:c>
      <x:c r="I209" s="28" t="n">
        <x:f>'Fee Calculation'!M175</x:f>
        <x:v>441.2973514600743</x:v>
      </x:c>
      <x:c r="J209" s="33" t="n">
        <x:f>INDEX('Loss Calibration'!$E$8:$H$13,M209,4)</x:f>
        <x:v>0.3883456353743584</x:v>
      </x:c>
      <x:c r="K209" s="3" t="str">
        <x:v>Van</x:v>
      </x:c>
      <x:c r="L209" s="48" t="n">
        <x:v>29</x:v>
      </x:c>
      <x:c r="M209" s="48" t="n">
        <x:v>6</x:v>
      </x:c>
      <x:c r="N209" s="33" t="n">
        <x:f>IF(($L209/'Volume Build'!$D$23)&gt;=31,0,INDEX('AD Fleet'!$I$6:$I$37,INT(($L209/'Volume Build'!$D$23))+1)+(($L209/'Volume Build'!$D$23)-INT(($L209/'Volume Build'!$D$23)))*(INDEX('AD Fleet'!$I$6:$I$37,MIN(INT(($L209/'Volume Build'!$D$23))+2,32))-INDEX('AD Fleet'!$I$6:$I$37,INT(($L209/'Volume Build'!$D$23))+1)))</x:f>
        <x:v>0.14524749772520476</x:v>
      </x:c>
      <x:c r="O209" s="33" t="n">
        <x:f>IF(L209=0,'Volume Build'!$D$25,1)*EXP(-'Volume Build'!$D$24*MAX(L209-6,0))*'Vehicle Economics'!G$10</x:f>
        <x:v>0.12540459609245258</x:v>
      </x:c>
    </x:row>
    <x:row r="210" ht="18" customHeight="1">
      <x:c r="A210" s="2"/>
      <x:c r="B210" s="2"/>
      <x:c r="C210" s="2" t="str">
        <x:v>Van / 30</x:v>
      </x:c>
      <x:c r="D210" s="28" t="n">
        <x:f>INDEX('AD Fleet'!$E$6:$E$61,MATCH(1993,'AD Fleet'!$C$6:$C$61,0))*'Repair Costs'!G$29*$N210</x:f>
        <x:v>57.08283426606649</x:v>
      </x:c>
      <x:c r="E210" s="28" t="n">
        <x:f>INDEX('AD Fleet'!$E$6:$E$61,MATCH(1994,'AD Fleet'!$C$6:$C$61,0))*'Repair Costs'!G$29*$N210</x:f>
        <x:v>64.3582020420817</x:v>
      </x:c>
      <x:c r="F210" s="28" t="n">
        <x:f>INDEX('AD Fleet'!$E$6:$E$61,MATCH(1995,'AD Fleet'!$C$6:$C$61,0))*'Repair Costs'!G$29*$N210</x:f>
        <x:v>64.57155593580647</x:v>
      </x:c>
      <x:c r="G210" s="28" t="n">
        <x:f>INDEX('AD Fleet'!$E$6:$E$61,MATCH(1996,'AD Fleet'!$C$6:$C$61,0))*'Repair Costs'!G$29*$N210</x:f>
        <x:v>69.542701659594</x:v>
      </x:c>
      <x:c r="H210" s="28" t="n">
        <x:f>INDEX('AD Fleet'!$E$6:$E$61,MATCH(1997,'AD Fleet'!$C$6:$C$61,0))*'Repair Costs'!G$29*$N210</x:f>
        <x:v>72.50832078236851</x:v>
      </x:c>
      <x:c r="I210" s="28" t="n">
        <x:f>'Fee Calculation'!M176</x:f>
        <x:v>419.98535098259026</x:v>
      </x:c>
      <x:c r="J210" s="33" t="n">
        <x:f>INDEX('Loss Calibration'!$E$8:$H$13,M210,4)</x:f>
        <x:v>0.3883456353743584</x:v>
      </x:c>
      <x:c r="K210" s="3" t="str">
        <x:v>Van</x:v>
      </x:c>
      <x:c r="L210" s="48" t="n">
        <x:v>30</x:v>
      </x:c>
      <x:c r="M210" s="48" t="n">
        <x:v>6</x:v>
      </x:c>
      <x:c r="N210" s="33" t="n">
        <x:f>IF(($L210/'Volume Build'!$D$23)&gt;=31,0,INDEX('AD Fleet'!$I$6:$I$37,INT(($L210/'Volume Build'!$D$23))+1)+(($L210/'Volume Build'!$D$23)-INT(($L210/'Volume Build'!$D$23)))*(INDEX('AD Fleet'!$I$6:$I$37,MIN(INT(($L210/'Volume Build'!$D$23))+2,32))-INDEX('AD Fleet'!$I$6:$I$37,INT(($L210/'Volume Build'!$D$23))+1)))</x:f>
        <x:v>0.1282393084622384</x:v>
      </x:c>
      <x:c r="O210" s="33" t="n">
        <x:f>IF(L210=0,'Volume Build'!$D$25,1)*EXP(-'Volume Build'!$D$24*MAX(L210-6,0))*'Vehicle Economics'!G$10</x:f>
        <x:v>0.11458023030622685</x:v>
      </x:c>
    </x:row>
    <x:row r="211" ht="18" customHeight="1">
      <x:c r="A211" s="2"/>
      <x:c r="B211" s="2"/>
      <x:c r="C211" s="2" t="str">
        <x:v>Van / 31</x:v>
      </x:c>
      <x:c r="D211" s="28" t="n">
        <x:f>INDEX('AD Fleet'!$E$6:$E$61,MATCH(1992,'AD Fleet'!$C$6:$C$61,0))*'Repair Costs'!G$29*$N211</x:f>
        <x:v>43.854570557304704</x:v>
      </x:c>
      <x:c r="E211" s="28" t="n">
        <x:f>INDEX('AD Fleet'!$E$6:$E$61,MATCH(1993,'AD Fleet'!$C$6:$C$61,0))*'Repair Costs'!G$29*$N211</x:f>
        <x:v>50.69470880365898</x:v>
      </x:c>
      <x:c r="F211" s="28" t="n">
        <x:f>INDEX('AD Fleet'!$E$6:$E$61,MATCH(1994,'AD Fleet'!$C$6:$C$61,0))*'Repair Costs'!G$29*$N211</x:f>
        <x:v>57.15589202251442</x:v>
      </x:c>
      <x:c r="G211" s="28" t="n">
        <x:f>INDEX('AD Fleet'!$E$6:$E$61,MATCH(1995,'AD Fleet'!$C$6:$C$61,0))*'Repair Costs'!G$29*$N211</x:f>
        <x:v>57.345369536263846</x:v>
      </x:c>
      <x:c r="H211" s="28" t="n">
        <x:f>INDEX('AD Fleet'!$E$6:$E$61,MATCH(1996,'AD Fleet'!$C$6:$C$61,0))*'Repair Costs'!G$29*$N211</x:f>
        <x:v>61.76019560662548</x:v>
      </x:c>
      <x:c r="I211" s="28" t="n">
        <x:f>'Fee Calculation'!M177</x:f>
        <x:v>394.54215708553676</x:v>
      </x:c>
      <x:c r="J211" s="33" t="n">
        <x:f>INDEX('Loss Calibration'!$E$8:$H$13,M211,4)</x:f>
        <x:v>0.3883456353743584</x:v>
      </x:c>
      <x:c r="K211" s="3" t="str">
        <x:v>Van</x:v>
      </x:c>
      <x:c r="L211" s="48" t="n">
        <x:v>31</x:v>
      </x:c>
      <x:c r="M211" s="48" t="n">
        <x:v>6</x:v>
      </x:c>
      <x:c r="N211" s="33" t="n">
        <x:f>IF(($L211/'Volume Build'!$D$23)&gt;=31,0,INDEX('AD Fleet'!$I$6:$I$37,INT(($L211/'Volume Build'!$D$23))+1)+(($L211/'Volume Build'!$D$23)-INT(($L211/'Volume Build'!$D$23)))*(INDEX('AD Fleet'!$I$6:$I$37,MIN(INT(($L211/'Volume Build'!$D$23))+2,32))-INDEX('AD Fleet'!$I$6:$I$37,INT(($L211/'Volume Build'!$D$23))+1)))</x:f>
        <x:v>0.11388808007279344</x:v>
      </x:c>
      <x:c r="O211" s="33" t="n">
        <x:f>IF(L211=0,'Volume Build'!$D$25,1)*EXP(-'Volume Build'!$D$24*MAX(L211-6,0))*'Vehicle Economics'!G$10</x:f>
        <x:v>0.10469017552872706</x:v>
      </x:c>
    </x:row>
    <x:row r="212" ht="18" customHeight="1">
      <x:c r="A212" s="2"/>
      <x:c r="B212" s="2"/>
      <x:c r="C212" s="2" t="str">
        <x:v>Van / 32</x:v>
      </x:c>
      <x:c r="D212" s="28" t="n">
        <x:f>INDEX('AD Fleet'!$E$6:$E$61,MATCH(1991,'AD Fleet'!$C$6:$C$61,0))*'Repair Costs'!G$29*$N212</x:f>
        <x:v>34.45175745287347</x:v>
      </x:c>
      <x:c r="E212" s="28" t="n">
        <x:f>INDEX('AD Fleet'!$E$6:$E$61,MATCH(1992,'AD Fleet'!$C$6:$C$61,0))*'Repair Costs'!G$29*$N212</x:f>
        <x:v>38.68927347145835</x:v>
      </x:c>
      <x:c r="F212" s="28" t="n">
        <x:f>INDEX('AD Fleet'!$E$6:$E$61,MATCH(1993,'AD Fleet'!$C$6:$C$61,0))*'Repair Costs'!G$29*$N212</x:f>
        <x:v>44.72376373855555</x:v>
      </x:c>
      <x:c r="G212" s="28" t="n">
        <x:f>INDEX('AD Fleet'!$E$6:$E$61,MATCH(1994,'AD Fleet'!$C$6:$C$61,0))*'Repair Costs'!G$29*$N212</x:f>
        <x:v>50.42393321523185</x:v>
      </x:c>
      <x:c r="H212" s="28" t="n">
        <x:f>INDEX('AD Fleet'!$E$6:$E$61,MATCH(1995,'AD Fleet'!$C$6:$C$61,0))*'Repair Costs'!G$29*$N212</x:f>
        <x:v>50.59109361044229</x:v>
      </x:c>
      <x:c r="I212" s="28" t="n">
        <x:f>'Fee Calculation'!M178</x:f>
        <x:v>366.1945685052201</x:v>
      </x:c>
      <x:c r="J212" s="33" t="n">
        <x:f>INDEX('Loss Calibration'!$E$8:$H$13,M212,4)</x:f>
        <x:v>0.3883456353743584</x:v>
      </x:c>
      <x:c r="K212" s="3" t="str">
        <x:v>Van</x:v>
      </x:c>
      <x:c r="L212" s="48" t="n">
        <x:v>32</x:v>
      </x:c>
      <x:c r="M212" s="48" t="n">
        <x:v>6</x:v>
      </x:c>
      <x:c r="N212" s="33" t="n">
        <x:f>IF(($L212/'Volume Build'!$D$23)&gt;=31,0,INDEX('AD Fleet'!$I$6:$I$37,INT(($L212/'Volume Build'!$D$23))+1)+(($L212/'Volume Build'!$D$23)-INT(($L212/'Volume Build'!$D$23)))*(INDEX('AD Fleet'!$I$6:$I$37,MIN(INT(($L212/'Volume Build'!$D$23))+2,32))-INDEX('AD Fleet'!$I$6:$I$37,INT(($L212/'Volume Build'!$D$23))+1)))</x:f>
        <x:v>0.10047406733393992</x:v>
      </x:c>
      <x:c r="O212" s="33" t="n">
        <x:f>IF(L212=0,'Volume Build'!$D$25,1)*EXP(-'Volume Build'!$D$24*MAX(L212-6,0))*'Vehicle Economics'!G$10</x:f>
        <x:v>0.09565378619805467</x:v>
      </x:c>
    </x:row>
    <x:row r="213" ht="18" customHeight="1">
      <x:c r="A213" s="2"/>
      <x:c r="B213" s="2"/>
      <x:c r="C213" s="2" t="str">
        <x:v>Van / 33</x:v>
      </x:c>
      <x:c r="D213" s="28" t="n">
        <x:f>INDEX('AD Fleet'!$E$6:$E$61,MATCH(1990,'AD Fleet'!$C$6:$C$61,0))*'Repair Costs'!G$29*$N213</x:f>
        <x:v>33.030996732347184</x:v>
      </x:c>
      <x:c r="E213" s="28" t="n">
        <x:f>INDEX('AD Fleet'!$E$6:$E$61,MATCH(1991,'AD Fleet'!$C$6:$C$61,0))*'Repair Costs'!G$29*$N213</x:f>
        <x:v>29.937064320742106</x:v>
      </x:c>
      <x:c r="F213" s="28" t="n">
        <x:f>INDEX('AD Fleet'!$E$6:$E$61,MATCH(1992,'AD Fleet'!$C$6:$C$61,0))*'Repair Costs'!G$29*$N213</x:f>
        <x:v>33.61927965568055</x:v>
      </x:c>
      <x:c r="G213" s="28" t="n">
        <x:f>INDEX('AD Fleet'!$E$6:$E$61,MATCH(1993,'AD Fleet'!$C$6:$C$61,0))*'Repair Costs'!G$29*$N213</x:f>
        <x:v>38.86298670070136</x:v>
      </x:c>
      <x:c r="H213" s="28" t="n">
        <x:f>INDEX('AD Fleet'!$E$6:$E$61,MATCH(1994,'AD Fleet'!$C$6:$C$61,0))*'Repair Costs'!G$29*$N213</x:f>
        <x:v>43.81618366012546</x:v>
      </x:c>
      <x:c r="I213" s="28" t="n">
        <x:f>'Fee Calculation'!M179</x:f>
        <x:v>356.7965918701047</x:v>
      </x:c>
      <x:c r="J213" s="33" t="n">
        <x:f>INDEX('Loss Calibration'!$E$8:$H$13,M213,4)</x:f>
        <x:v>0.3883456353743584</x:v>
      </x:c>
      <x:c r="K213" s="3" t="str">
        <x:v>Van</x:v>
      </x:c>
      <x:c r="L213" s="48" t="n">
        <x:v>33</x:v>
      </x:c>
      <x:c r="M213" s="48" t="n">
        <x:v>6</x:v>
      </x:c>
      <x:c r="N213" s="33" t="n">
        <x:f>IF(($L213/'Volume Build'!$D$23)&gt;=31,0,INDEX('AD Fleet'!$I$6:$I$37,INT(($L213/'Volume Build'!$D$23))+1)+(($L213/'Volume Build'!$D$23)-INT(($L213/'Volume Build'!$D$23)))*(INDEX('AD Fleet'!$I$6:$I$37,MIN(INT(($L213/'Volume Build'!$D$23))+2,32))-INDEX('AD Fleet'!$I$6:$I$37,INT(($L213/'Volume Build'!$D$23))+1)))</x:f>
        <x:v>0.08730755232029119</x:v>
      </x:c>
      <x:c r="O213" s="33" t="n">
        <x:f>IF(L213=0,'Volume Build'!$D$25,1)*EXP(-'Volume Build'!$D$24*MAX(L213-6,0))*'Vehicle Economics'!G$10</x:f>
        <x:v>0.08739737771776383</x:v>
      </x:c>
    </x:row>
    <x:row r="214" ht="18" customHeight="1">
      <x:c r="A214" s="2"/>
      <x:c r="B214" s="2"/>
      <x:c r="C214" s="2" t="str">
        <x:v>Van / 34</x:v>
      </x:c>
      <x:c r="D214" s="28" t="n">
        <x:f>INDEX('AD Fleet'!$E$6:$E$61,MATCH(1989,'AD Fleet'!$C$6:$C$61,0))*'Repair Costs'!G$29*$N214</x:f>
        <x:v>11.846913396732326</x:v>
      </x:c>
      <x:c r="E214" s="28" t="n">
        <x:f>INDEX('AD Fleet'!$E$6:$E$61,MATCH(1990,'AD Fleet'!$C$6:$C$61,0))*'Repair Costs'!G$29*$N214</x:f>
        <x:v>11.687583975778441</x:v>
      </x:c>
      <x:c r="F214" s="28" t="n">
        <x:f>INDEX('AD Fleet'!$E$6:$E$61,MATCH(1991,'AD Fleet'!$C$6:$C$61,0))*'Repair Costs'!G$29*$N214</x:f>
        <x:v>10.592836664063046</x:v>
      </x:c>
      <x:c r="G214" s="28" t="n">
        <x:f>INDEX('AD Fleet'!$E$6:$E$61,MATCH(1992,'AD Fleet'!$C$6:$C$61,0))*'Repair Costs'!G$29*$N214</x:f>
        <x:v>11.895740154766582</x:v>
      </x:c>
      <x:c r="H214" s="28" t="n">
        <x:f>INDEX('AD Fleet'!$E$6:$E$61,MATCH(1993,'AD Fleet'!$C$6:$C$61,0))*'Repair Costs'!G$29*$N214</x:f>
        <x:v>13.75115696006826</x:v>
      </x:c>
      <x:c r="I214" s="28" t="n">
        <x:f>'Fee Calculation'!M180</x:f>
        <x:v>350.07923159209423</x:v>
      </x:c>
      <x:c r="J214" s="33" t="n">
        <x:f>INDEX('Loss Calibration'!$E$8:$H$13,M214,4)</x:f>
        <x:v>0.3883456353743584</x:v>
      </x:c>
      <x:c r="K214" s="3" t="str">
        <x:v>Van</x:v>
      </x:c>
      <x:c r="L214" s="48" t="n">
        <x:v>34</x:v>
      </x:c>
      <x:c r="M214" s="48" t="n">
        <x:v>6</x:v>
      </x:c>
      <x:c r="N214" s="33" t="n">
        <x:f>IF(($L214/'Volume Build'!$D$23)&gt;=31,0,INDEX('AD Fleet'!$I$6:$I$37,INT(($L214/'Volume Build'!$D$23))+1)+(($L214/'Volume Build'!$D$23)-INT(($L214/'Volume Build'!$D$23)))*(INDEX('AD Fleet'!$I$6:$I$37,MIN(INT(($L214/'Volume Build'!$D$23))+2,32))-INDEX('AD Fleet'!$I$6:$I$37,INT(($L214/'Volume Build'!$D$23))+1)))</x:f>
        <x:v>0.03089262966333025</x:v>
      </x:c>
      <x:c r="O214" s="33" t="n">
        <x:f>IF(L214=0,'Volume Build'!$D$25,1)*EXP(-'Volume Build'!$D$24*MAX(L214-6,0))*'Vehicle Economics'!G$10</x:f>
        <x:v>0.0798536256173498</x:v>
      </x:c>
    </x:row>
    <x:row r="215" ht="18" customHeight="1">
      <x:c r="A215" s="2"/>
      <x:c r="B215" s="2"/>
      <x:c r="C215" s="2" t="str">
        <x:v>Van / 35</x:v>
      </x:c>
      <x:c r="D215" s="28" t="n">
        <x:f>INDEX('AD Fleet'!$E$6:$E$61,MATCH(1988,'AD Fleet'!$C$6:$C$61,0))*'Repair Costs'!G$29*$N215</x:f>
        <x:v>0</x:v>
      </x:c>
      <x:c r="E215" s="28" t="n">
        <x:f>INDEX('AD Fleet'!$E$6:$E$61,MATCH(1989,'AD Fleet'!$C$6:$C$61,0))*'Repair Costs'!G$29*$N215</x:f>
        <x:v>0</x:v>
      </x:c>
      <x:c r="F215" s="28" t="n">
        <x:f>INDEX('AD Fleet'!$E$6:$E$61,MATCH(1990,'AD Fleet'!$C$6:$C$61,0))*'Repair Costs'!G$29*$N215</x:f>
        <x:v>0</x:v>
      </x:c>
      <x:c r="G215" s="28" t="n">
        <x:f>INDEX('AD Fleet'!$E$6:$E$61,MATCH(1991,'AD Fleet'!$C$6:$C$61,0))*'Repair Costs'!G$29*$N215</x:f>
        <x:v>0</x:v>
      </x:c>
      <x:c r="H215" s="28" t="n">
        <x:f>INDEX('AD Fleet'!$E$6:$E$61,MATCH(1992,'AD Fleet'!$C$6:$C$61,0))*'Repair Costs'!G$29*$N215</x:f>
        <x:v>0</x:v>
      </x:c>
      <x:c r="I215" s="28" t="n">
        <x:f>'Fee Calculation'!M181</x:f>
        <x:v>313.5252997523018</x:v>
      </x:c>
      <x:c r="J215" s="33" t="n">
        <x:f>INDEX('Loss Calibration'!$E$8:$H$13,M215,4)</x:f>
        <x:v>0.3883456353743584</x:v>
      </x:c>
      <x:c r="K215" s="3" t="str">
        <x:v>Van</x:v>
      </x:c>
      <x:c r="L215" s="48" t="n">
        <x:v>35</x:v>
      </x:c>
      <x:c r="M215" s="48" t="n">
        <x:v>6</x:v>
      </x:c>
      <x:c r="N215" s="33" t="n">
        <x:f>IF(($L215/'Volume Build'!$D$23)&gt;=31,0,INDEX('AD Fleet'!$I$6:$I$37,INT(($L215/'Volume Build'!$D$23))+1)+(($L215/'Volume Build'!$D$23)-INT(($L215/'Volume Build'!$D$23)))*(INDEX('AD Fleet'!$I$6:$I$37,MIN(INT(($L215/'Volume Build'!$D$23))+2,32))-INDEX('AD Fleet'!$I$6:$I$37,INT(($L215/'Volume Build'!$D$23))+1)))</x:f>
        <x:v>0</x:v>
      </x:c>
      <x:c r="O215" s="33" t="n">
        <x:f>IF(L215=0,'Volume Build'!$D$25,1)*EXP(-'Volume Build'!$D$24*MAX(L215-6,0))*'Vehicle Economics'!G$10</x:f>
        <x:v>0.07296101657452587</x:v>
      </x:c>
    </x:row>
    <x:row r="216" ht="18" customHeight="1">
      <x:c r="A216" s="2"/>
      <x:c r="B216" s="2"/>
      <x:c r="C216" s="2" t="str">
        <x:v>Van / 36</x:v>
      </x:c>
      <x:c r="D216" s="28" t="n">
        <x:f>INDEX('AD Fleet'!$E$6:$E$61,MATCH(1987,'AD Fleet'!$C$6:$C$61,0))*'Repair Costs'!G$29*$N216</x:f>
        <x:v>0</x:v>
      </x:c>
      <x:c r="E216" s="28" t="n">
        <x:f>INDEX('AD Fleet'!$E$6:$E$61,MATCH(1988,'AD Fleet'!$C$6:$C$61,0))*'Repair Costs'!G$29*$N216</x:f>
        <x:v>0</x:v>
      </x:c>
      <x:c r="F216" s="28" t="n">
        <x:f>INDEX('AD Fleet'!$E$6:$E$61,MATCH(1989,'AD Fleet'!$C$6:$C$61,0))*'Repair Costs'!G$29*$N216</x:f>
        <x:v>0</x:v>
      </x:c>
      <x:c r="G216" s="28" t="n">
        <x:f>INDEX('AD Fleet'!$E$6:$E$61,MATCH(1990,'AD Fleet'!$C$6:$C$61,0))*'Repair Costs'!G$29*$N216</x:f>
        <x:v>0</x:v>
      </x:c>
      <x:c r="H216" s="28" t="n">
        <x:f>INDEX('AD Fleet'!$E$6:$E$61,MATCH(1991,'AD Fleet'!$C$6:$C$61,0))*'Repair Costs'!G$29*$N216</x:f>
        <x:v>0</x:v>
      </x:c>
      <x:c r="I216" s="28" t="n">
        <x:f>'Fee Calculation'!M182</x:f>
        <x:v>307.1192440785801</x:v>
      </x:c>
      <x:c r="J216" s="33" t="n">
        <x:f>INDEX('Loss Calibration'!$E$8:$H$13,M216,4)</x:f>
        <x:v>0.3883456353743584</x:v>
      </x:c>
      <x:c r="K216" s="3" t="str">
        <x:v>Van</x:v>
      </x:c>
      <x:c r="L216" s="48" t="n">
        <x:v>36</x:v>
      </x:c>
      <x:c r="M216" s="48" t="n">
        <x:v>6</x:v>
      </x:c>
      <x:c r="N216" s="33" t="n">
        <x:f>IF(($L216/'Volume Build'!$D$23)&gt;=31,0,INDEX('AD Fleet'!$I$6:$I$37,INT(($L216/'Volume Build'!$D$23))+1)+(($L216/'Volume Build'!$D$23)-INT(($L216/'Volume Build'!$D$23)))*(INDEX('AD Fleet'!$I$6:$I$37,MIN(INT(($L216/'Volume Build'!$D$23))+2,32))-INDEX('AD Fleet'!$I$6:$I$37,INT(($L216/'Volume Build'!$D$23))+1)))</x:f>
        <x:v>0</x:v>
      </x:c>
      <x:c r="O216" s="33" t="n">
        <x:f>IF(L216=0,'Volume Build'!$D$25,1)*EXP(-'Volume Build'!$D$24*MAX(L216-6,0))*'Vehicle Economics'!G$10</x:f>
        <x:v>0.0666633468228103</x:v>
      </x:c>
    </x:row>
    <x:row r="217" ht="18" customHeight="1">
      <x:c r="A217" s="2"/>
      <x:c r="B217" s="2"/>
      <x:c r="C217" s="2" t="str">
        <x:v>Van / 37</x:v>
      </x:c>
      <x:c r="D217" s="28" t="n">
        <x:f>INDEX('AD Fleet'!$E$6:$E$61,MATCH(1986,'AD Fleet'!$C$6:$C$61,0))*'Repair Costs'!G$29*$N217</x:f>
        <x:v>0</x:v>
      </x:c>
      <x:c r="E217" s="28" t="n">
        <x:f>INDEX('AD Fleet'!$E$6:$E$61,MATCH(1987,'AD Fleet'!$C$6:$C$61,0))*'Repair Costs'!G$29*$N217</x:f>
        <x:v>0</x:v>
      </x:c>
      <x:c r="F217" s="28" t="n">
        <x:f>INDEX('AD Fleet'!$E$6:$E$61,MATCH(1988,'AD Fleet'!$C$6:$C$61,0))*'Repair Costs'!G$29*$N217</x:f>
        <x:v>0</x:v>
      </x:c>
      <x:c r="G217" s="28" t="n">
        <x:f>INDEX('AD Fleet'!$E$6:$E$61,MATCH(1989,'AD Fleet'!$C$6:$C$61,0))*'Repair Costs'!G$29*$N217</x:f>
        <x:v>0</x:v>
      </x:c>
      <x:c r="H217" s="28" t="n">
        <x:f>INDEX('AD Fleet'!$E$6:$E$61,MATCH(1990,'AD Fleet'!$C$6:$C$61,0))*'Repair Costs'!G$29*$N217</x:f>
        <x:v>0</x:v>
      </x:c>
      <x:c r="I217" s="28" t="n">
        <x:f>'Fee Calculation'!M183</x:f>
        <x:v>297.096992293155</x:v>
      </x:c>
      <x:c r="J217" s="33" t="n">
        <x:f>INDEX('Loss Calibration'!$E$8:$H$13,M217,4)</x:f>
        <x:v>0.3883456353743584</x:v>
      </x:c>
      <x:c r="K217" s="3" t="str">
        <x:v>Van</x:v>
      </x:c>
      <x:c r="L217" s="48" t="n">
        <x:v>37</x:v>
      </x:c>
      <x:c r="M217" s="48" t="n">
        <x:v>6</x:v>
      </x:c>
      <x:c r="N217" s="33" t="n">
        <x:f>IF(($L217/'Volume Build'!$D$23)&gt;=31,0,INDEX('AD Fleet'!$I$6:$I$37,INT(($L217/'Volume Build'!$D$23))+1)+(($L217/'Volume Build'!$D$23)-INT(($L217/'Volume Build'!$D$23)))*(INDEX('AD Fleet'!$I$6:$I$37,MIN(INT(($L217/'Volume Build'!$D$23))+2,32))-INDEX('AD Fleet'!$I$6:$I$37,INT(($L217/'Volume Build'!$D$23))+1)))</x:f>
        <x:v>0</x:v>
      </x:c>
      <x:c r="O217" s="33" t="n">
        <x:f>IF(L217=0,'Volume Build'!$D$25,1)*EXP(-'Volume Build'!$D$24*MAX(L217-6,0))*'Vehicle Economics'!G$10</x:f>
        <x:v>0.06090926385433481</x:v>
      </x:c>
    </x:row>
    <x:row r="218" ht="18" customHeight="1">
      <x:c r="A218" s="2"/>
      <x:c r="B218" s="2"/>
      <x:c r="C218" s="2" t="str">
        <x:v>Van / 38</x:v>
      </x:c>
      <x:c r="D218" s="28" t="n">
        <x:f>INDEX('AD Fleet'!$E$6:$E$61,MATCH(1985,'AD Fleet'!$C$6:$C$61,0))*'Repair Costs'!G$29*$N218</x:f>
        <x:v>0</x:v>
      </x:c>
      <x:c r="E218" s="28" t="n">
        <x:f>INDEX('AD Fleet'!$E$6:$E$61,MATCH(1986,'AD Fleet'!$C$6:$C$61,0))*'Repair Costs'!G$29*$N218</x:f>
        <x:v>0</x:v>
      </x:c>
      <x:c r="F218" s="28" t="n">
        <x:f>INDEX('AD Fleet'!$E$6:$E$61,MATCH(1987,'AD Fleet'!$C$6:$C$61,0))*'Repair Costs'!G$29*$N218</x:f>
        <x:v>0</x:v>
      </x:c>
      <x:c r="G218" s="28" t="n">
        <x:f>INDEX('AD Fleet'!$E$6:$E$61,MATCH(1988,'AD Fleet'!$C$6:$C$61,0))*'Repair Costs'!G$29*$N218</x:f>
        <x:v>0</x:v>
      </x:c>
      <x:c r="H218" s="28" t="n">
        <x:f>INDEX('AD Fleet'!$E$6:$E$61,MATCH(1989,'AD Fleet'!$C$6:$C$61,0))*'Repair Costs'!G$29*$N218</x:f>
        <x:v>0</x:v>
      </x:c>
      <x:c r="I218" s="28" t="n">
        <x:f>'Fee Calculation'!M184</x:f>
        <x:v>289.69581127253923</x:v>
      </x:c>
      <x:c r="J218" s="33" t="n">
        <x:f>INDEX('Loss Calibration'!$E$8:$H$13,M218,4)</x:f>
        <x:v>0.3883456353743584</x:v>
      </x:c>
      <x:c r="K218" s="3" t="str">
        <x:v>Van</x:v>
      </x:c>
      <x:c r="L218" s="48" t="n">
        <x:v>38</x:v>
      </x:c>
      <x:c r="M218" s="48" t="n">
        <x:v>6</x:v>
      </x:c>
      <x:c r="N218" s="33" t="n">
        <x:f>IF(($L218/'Volume Build'!$D$23)&gt;=31,0,INDEX('AD Fleet'!$I$6:$I$37,INT(($L218/'Volume Build'!$D$23))+1)+(($L218/'Volume Build'!$D$23)-INT(($L218/'Volume Build'!$D$23)))*(INDEX('AD Fleet'!$I$6:$I$37,MIN(INT(($L218/'Volume Build'!$D$23))+2,32))-INDEX('AD Fleet'!$I$6:$I$37,INT(($L218/'Volume Build'!$D$23))+1)))</x:f>
        <x:v>0</x:v>
      </x:c>
      <x:c r="O218" s="33" t="n">
        <x:f>IF(L218=0,'Volume Build'!$D$25,1)*EXP(-'Volume Build'!$D$24*MAX(L218-6,0))*'Vehicle Economics'!G$10</x:f>
        <x:v>0.05565184768082394</x:v>
      </x:c>
    </x:row>
    <x:row r="219" ht="18" customHeight="1">
      <x:c r="A219" s="2"/>
      <x:c r="B219" s="2"/>
      <x:c r="C219" s="2" t="str">
        <x:v>Van / 39</x:v>
      </x:c>
      <x:c r="D219" s="28" t="n">
        <x:f>INDEX('AD Fleet'!$E$6:$E$61,MATCH(1984,'AD Fleet'!$C$6:$C$61,0))*'Repair Costs'!G$29*$N219</x:f>
        <x:v>0</x:v>
      </x:c>
      <x:c r="E219" s="28" t="n">
        <x:f>INDEX('AD Fleet'!$E$6:$E$61,MATCH(1985,'AD Fleet'!$C$6:$C$61,0))*'Repair Costs'!G$29*$N219</x:f>
        <x:v>0</x:v>
      </x:c>
      <x:c r="F219" s="28" t="n">
        <x:f>INDEX('AD Fleet'!$E$6:$E$61,MATCH(1986,'AD Fleet'!$C$6:$C$61,0))*'Repair Costs'!G$29*$N219</x:f>
        <x:v>0</x:v>
      </x:c>
      <x:c r="G219" s="28" t="n">
        <x:f>INDEX('AD Fleet'!$E$6:$E$61,MATCH(1987,'AD Fleet'!$C$6:$C$61,0))*'Repair Costs'!G$29*$N219</x:f>
        <x:v>0</x:v>
      </x:c>
      <x:c r="H219" s="28" t="n">
        <x:f>INDEX('AD Fleet'!$E$6:$E$61,MATCH(1988,'AD Fleet'!$C$6:$C$61,0))*'Repair Costs'!G$29*$N219</x:f>
        <x:v>0</x:v>
      </x:c>
      <x:c r="I219" s="28" t="n">
        <x:f>'Fee Calculation'!M185</x:f>
        <x:v>281.1541796101533</x:v>
      </x:c>
      <x:c r="J219" s="33" t="n">
        <x:f>INDEX('Loss Calibration'!$E$8:$H$13,M219,4)</x:f>
        <x:v>0.3883456353743584</x:v>
      </x:c>
      <x:c r="K219" s="3" t="str">
        <x:v>Van</x:v>
      </x:c>
      <x:c r="L219" s="48" t="n">
        <x:v>39</x:v>
      </x:c>
      <x:c r="M219" s="48" t="n">
        <x:v>6</x:v>
      </x:c>
      <x:c r="N219" s="33" t="n">
        <x:f>IF(($L219/'Volume Build'!$D$23)&gt;=31,0,INDEX('AD Fleet'!$I$6:$I$37,INT(($L219/'Volume Build'!$D$23))+1)+(($L219/'Volume Build'!$D$23)-INT(($L219/'Volume Build'!$D$23)))*(INDEX('AD Fleet'!$I$6:$I$37,MIN(INT(($L219/'Volume Build'!$D$23))+2,32))-INDEX('AD Fleet'!$I$6:$I$37,INT(($L219/'Volume Build'!$D$23))+1)))</x:f>
        <x:v>0</x:v>
      </x:c>
      <x:c r="O219" s="33" t="n">
        <x:f>IF(L219=0,'Volume Build'!$D$25,1)*EXP(-'Volume Build'!$D$24*MAX(L219-6,0))*'Vehicle Economics'!G$10</x:f>
        <x:v>0.05084822823826022</x:v>
      </x:c>
    </x:row>
    <x:row r="220" ht="18" customHeight="1">
      <x:c r="A220" s="2"/>
      <x:c r="B220" s="2"/>
      <x:c r="C220" s="2" t="str">
        <x:v>Van / 40</x:v>
      </x:c>
      <x:c r="D220" s="28" t="n">
        <x:f>INDEX('AD Fleet'!$E$6:$E$61,MATCH(1983,'AD Fleet'!$C$6:$C$61,0))*'Repair Costs'!G$29*$N220</x:f>
        <x:v>0</x:v>
      </x:c>
      <x:c r="E220" s="28" t="n">
        <x:f>INDEX('AD Fleet'!$E$6:$E$61,MATCH(1984,'AD Fleet'!$C$6:$C$61,0))*'Repair Costs'!G$29*$N220</x:f>
        <x:v>0</x:v>
      </x:c>
      <x:c r="F220" s="28" t="n">
        <x:f>INDEX('AD Fleet'!$E$6:$E$61,MATCH(1985,'AD Fleet'!$C$6:$C$61,0))*'Repair Costs'!G$29*$N220</x:f>
        <x:v>0</x:v>
      </x:c>
      <x:c r="G220" s="28" t="n">
        <x:f>INDEX('AD Fleet'!$E$6:$E$61,MATCH(1986,'AD Fleet'!$C$6:$C$61,0))*'Repair Costs'!G$29*$N220</x:f>
        <x:v>0</x:v>
      </x:c>
      <x:c r="H220" s="28" t="n">
        <x:f>INDEX('AD Fleet'!$E$6:$E$61,MATCH(1987,'AD Fleet'!$C$6:$C$61,0))*'Repair Costs'!G$29*$N220</x:f>
        <x:v>0</x:v>
      </x:c>
      <x:c r="I220" s="28" t="n">
        <x:f>'Fee Calculation'!M186</x:f>
        <x:v>278.3366723062155</x:v>
      </x:c>
      <x:c r="J220" s="33" t="n">
        <x:f>INDEX('Loss Calibration'!$E$8:$H$13,M220,4)</x:f>
        <x:v>0.3883456353743584</x:v>
      </x:c>
      <x:c r="K220" s="3" t="str">
        <x:v>Van</x:v>
      </x:c>
      <x:c r="L220" s="48" t="n">
        <x:v>40</x:v>
      </x:c>
      <x:c r="M220" s="48" t="n">
        <x:v>6</x:v>
      </x:c>
      <x:c r="N220" s="33" t="n">
        <x:f>IF(($L220/'Volume Build'!$D$23)&gt;=31,0,INDEX('AD Fleet'!$I$6:$I$37,INT(($L220/'Volume Build'!$D$23))+1)+(($L220/'Volume Build'!$D$23)-INT(($L220/'Volume Build'!$D$23)))*(INDEX('AD Fleet'!$I$6:$I$37,MIN(INT(($L220/'Volume Build'!$D$23))+2,32))-INDEX('AD Fleet'!$I$6:$I$37,INT(($L220/'Volume Build'!$D$23))+1)))</x:f>
        <x:v>0</x:v>
      </x:c>
      <x:c r="O220" s="33" t="n">
        <x:f>IF(L220=0,'Volume Build'!$D$25,1)*EXP(-'Volume Build'!$D$24*MAX(L220-6,0))*'Vehicle Economics'!G$10</x:f>
        <x:v>0.04645923581547334</x:v>
      </x:c>
    </x:row>
    <x:row r="221" ht="18" customHeight="1">
      <x:c r="A221" s="2"/>
      <x:c r="B221" s="2"/>
      <x:c r="C221" s="2" t="str">
        <x:v>Van / 41</x:v>
      </x:c>
      <x:c r="D221" s="28" t="n">
        <x:f>INDEX('AD Fleet'!$E$6:$E$61,MATCH(1982,'AD Fleet'!$C$6:$C$61,0))*'Repair Costs'!G$29*$N221</x:f>
        <x:v>0</x:v>
      </x:c>
      <x:c r="E221" s="28" t="n">
        <x:f>INDEX('AD Fleet'!$E$6:$E$61,MATCH(1983,'AD Fleet'!$C$6:$C$61,0))*'Repair Costs'!G$29*$N221</x:f>
        <x:v>0</x:v>
      </x:c>
      <x:c r="F221" s="28" t="n">
        <x:f>INDEX('AD Fleet'!$E$6:$E$61,MATCH(1984,'AD Fleet'!$C$6:$C$61,0))*'Repair Costs'!G$29*$N221</x:f>
        <x:v>0</x:v>
      </x:c>
      <x:c r="G221" s="28" t="n">
        <x:f>INDEX('AD Fleet'!$E$6:$E$61,MATCH(1985,'AD Fleet'!$C$6:$C$61,0))*'Repair Costs'!G$29*$N221</x:f>
        <x:v>0</x:v>
      </x:c>
      <x:c r="H221" s="28" t="n">
        <x:f>INDEX('AD Fleet'!$E$6:$E$61,MATCH(1986,'AD Fleet'!$C$6:$C$61,0))*'Repair Costs'!G$29*$N221</x:f>
        <x:v>0</x:v>
      </x:c>
      <x:c r="I221" s="28" t="n">
        <x:f>'Fee Calculation'!M187</x:f>
        <x:v>277.48385643084043</x:v>
      </x:c>
      <x:c r="J221" s="33" t="n">
        <x:f>INDEX('Loss Calibration'!$E$8:$H$13,M221,4)</x:f>
        <x:v>0.3883456353743584</x:v>
      </x:c>
      <x:c r="K221" s="3" t="str">
        <x:v>Van</x:v>
      </x:c>
      <x:c r="L221" s="48" t="n">
        <x:v>41</x:v>
      </x:c>
      <x:c r="M221" s="48" t="n">
        <x:v>6</x:v>
      </x:c>
      <x:c r="N221" s="33" t="n">
        <x:f>IF(($L221/'Volume Build'!$D$23)&gt;=31,0,INDEX('AD Fleet'!$I$6:$I$37,INT(($L221/'Volume Build'!$D$23))+1)+(($L221/'Volume Build'!$D$23)-INT(($L221/'Volume Build'!$D$23)))*(INDEX('AD Fleet'!$I$6:$I$37,MIN(INT(($L221/'Volume Build'!$D$23))+2,32))-INDEX('AD Fleet'!$I$6:$I$37,INT(($L221/'Volume Build'!$D$23))+1)))</x:f>
        <x:v>0</x:v>
      </x:c>
      <x:c r="O221" s="33" t="n">
        <x:f>IF(L221=0,'Volume Build'!$D$25,1)*EXP(-'Volume Build'!$D$24*MAX(L221-6,0))*'Vehicle Economics'!G$10</x:f>
        <x:v>0.0424490816561756</x:v>
      </x:c>
    </x:row>
    <x:row r="222" ht="18" customHeight="1">
      <x:c r="A222" s="2"/>
      <x:c r="B222" s="2"/>
      <x:c r="C222" s="2" t="str">
        <x:v>Van / 42</x:v>
      </x:c>
      <x:c r="D222" s="28" t="n">
        <x:f>INDEX('AD Fleet'!$E$6:$E$61,MATCH(1981,'AD Fleet'!$C$6:$C$61,0))*'Repair Costs'!G$29*$N222</x:f>
        <x:v>0</x:v>
      </x:c>
      <x:c r="E222" s="28" t="n">
        <x:f>INDEX('AD Fleet'!$E$6:$E$61,MATCH(1982,'AD Fleet'!$C$6:$C$61,0))*'Repair Costs'!G$29*$N222</x:f>
        <x:v>0</x:v>
      </x:c>
      <x:c r="F222" s="28" t="n">
        <x:f>INDEX('AD Fleet'!$E$6:$E$61,MATCH(1983,'AD Fleet'!$C$6:$C$61,0))*'Repair Costs'!G$29*$N222</x:f>
        <x:v>0</x:v>
      </x:c>
      <x:c r="G222" s="28" t="n">
        <x:f>INDEX('AD Fleet'!$E$6:$E$61,MATCH(1984,'AD Fleet'!$C$6:$C$61,0))*'Repair Costs'!G$29*$N222</x:f>
        <x:v>0</x:v>
      </x:c>
      <x:c r="H222" s="28" t="n">
        <x:f>INDEX('AD Fleet'!$E$6:$E$61,MATCH(1985,'AD Fleet'!$C$6:$C$61,0))*'Repair Costs'!G$29*$N222</x:f>
        <x:v>0</x:v>
      </x:c>
      <x:c r="I222" s="28" t="n">
        <x:f>'Fee Calculation'!M188</x:f>
        <x:v>231.08719671610592</x:v>
      </x:c>
      <x:c r="J222" s="33" t="n">
        <x:f>INDEX('Loss Calibration'!$E$8:$H$13,M222,4)</x:f>
        <x:v>0.3883456353743584</x:v>
      </x:c>
      <x:c r="K222" s="3" t="str">
        <x:v>Van</x:v>
      </x:c>
      <x:c r="L222" s="48" t="n">
        <x:v>42</x:v>
      </x:c>
      <x:c r="M222" s="48" t="n">
        <x:v>6</x:v>
      </x:c>
      <x:c r="N222" s="33" t="n">
        <x:f>IF(($L222/'Volume Build'!$D$23)&gt;=31,0,INDEX('AD Fleet'!$I$6:$I$37,INT(($L222/'Volume Build'!$D$23))+1)+(($L222/'Volume Build'!$D$23)-INT(($L222/'Volume Build'!$D$23)))*(INDEX('AD Fleet'!$I$6:$I$37,MIN(INT(($L222/'Volume Build'!$D$23))+2,32))-INDEX('AD Fleet'!$I$6:$I$37,INT(($L222/'Volume Build'!$D$23))+1)))</x:f>
        <x:v>0</x:v>
      </x:c>
      <x:c r="O222" s="33" t="n">
        <x:f>IF(L222=0,'Volume Build'!$D$25,1)*EXP(-'Volume Build'!$D$24*MAX(L222-6,0))*'Vehicle Economics'!G$10</x:f>
        <x:v>0.038785066130005715</x:v>
      </x:c>
    </x:row>
    <x:row r="223" ht="18" customHeight="1">
      <x:c r="A223" s="2"/>
      <x:c r="B223" s="2"/>
      <x:c r="C223" s="2" t="str">
        <x:v>Van / 43</x:v>
      </x:c>
      <x:c r="D223" s="28" t="n">
        <x:f>INDEX('AD Fleet'!$E$6:$E$61,MATCH(1980,'AD Fleet'!$C$6:$C$61,0))*'Repair Costs'!G$29*$N223</x:f>
        <x:v>0</x:v>
      </x:c>
      <x:c r="E223" s="28" t="n">
        <x:f>INDEX('AD Fleet'!$E$6:$E$61,MATCH(1981,'AD Fleet'!$C$6:$C$61,0))*'Repair Costs'!G$29*$N223</x:f>
        <x:v>0</x:v>
      </x:c>
      <x:c r="F223" s="28" t="n">
        <x:f>INDEX('AD Fleet'!$E$6:$E$61,MATCH(1982,'AD Fleet'!$C$6:$C$61,0))*'Repair Costs'!G$29*$N223</x:f>
        <x:v>0</x:v>
      </x:c>
      <x:c r="G223" s="28" t="n">
        <x:f>INDEX('AD Fleet'!$E$6:$E$61,MATCH(1983,'AD Fleet'!$C$6:$C$61,0))*'Repair Costs'!G$29*$N223</x:f>
        <x:v>0</x:v>
      </x:c>
      <x:c r="H223" s="28" t="n">
        <x:f>INDEX('AD Fleet'!$E$6:$E$61,MATCH(1984,'AD Fleet'!$C$6:$C$61,0))*'Repair Costs'!G$29*$N223</x:f>
        <x:v>0</x:v>
      </x:c>
      <x:c r="I223" s="28" t="n">
        <x:f>'Fee Calculation'!M189</x:f>
        <x:v>230.3889701322232</x:v>
      </x:c>
      <x:c r="J223" s="33" t="n">
        <x:f>INDEX('Loss Calibration'!$E$8:$H$13,M223,4)</x:f>
        <x:v>0.3883456353743584</x:v>
      </x:c>
      <x:c r="K223" s="3" t="str">
        <x:v>Van</x:v>
      </x:c>
      <x:c r="L223" s="48" t="n">
        <x:v>43</x:v>
      </x:c>
      <x:c r="M223" s="48" t="n">
        <x:v>6</x:v>
      </x:c>
      <x:c r="N223" s="33" t="n">
        <x:f>IF(($L223/'Volume Build'!$D$23)&gt;=31,0,INDEX('AD Fleet'!$I$6:$I$37,INT(($L223/'Volume Build'!$D$23))+1)+(($L223/'Volume Build'!$D$23)-INT(($L223/'Volume Build'!$D$23)))*(INDEX('AD Fleet'!$I$6:$I$37,MIN(INT(($L223/'Volume Build'!$D$23))+2,32))-INDEX('AD Fleet'!$I$6:$I$37,INT(($L223/'Volume Build'!$D$23))+1)))</x:f>
        <x:v>0</x:v>
      </x:c>
      <x:c r="O223" s="33" t="n">
        <x:f>IF(L223=0,'Volume Build'!$D$25,1)*EXP(-'Volume Build'!$D$24*MAX(L223-6,0))*'Vehicle Economics'!G$10</x:f>
        <x:v>0.0354373120929477</x:v>
      </x:c>
    </x:row>
    <x:row r="224" ht="18" customHeight="1">
      <x:c r="A224" s="2"/>
      <x:c r="B224" s="2"/>
      <x:c r="C224" s="2" t="str">
        <x:v>Van / 44</x:v>
      </x:c>
      <x:c r="D224" s="28" t="n">
        <x:f>INDEX('AD Fleet'!$E$6:$E$61,MATCH(1979,'AD Fleet'!$C$6:$C$61,0))*'Repair Costs'!G$29*$N224</x:f>
        <x:v>0</x:v>
      </x:c>
      <x:c r="E224" s="28" t="n">
        <x:f>INDEX('AD Fleet'!$E$6:$E$61,MATCH(1980,'AD Fleet'!$C$6:$C$61,0))*'Repair Costs'!G$29*$N224</x:f>
        <x:v>0</x:v>
      </x:c>
      <x:c r="F224" s="28" t="n">
        <x:f>INDEX('AD Fleet'!$E$6:$E$61,MATCH(1981,'AD Fleet'!$C$6:$C$61,0))*'Repair Costs'!G$29*$N224</x:f>
        <x:v>0</x:v>
      </x:c>
      <x:c r="G224" s="28" t="n">
        <x:f>INDEX('AD Fleet'!$E$6:$E$61,MATCH(1982,'AD Fleet'!$C$6:$C$61,0))*'Repair Costs'!G$29*$N224</x:f>
        <x:v>0</x:v>
      </x:c>
      <x:c r="H224" s="28" t="n">
        <x:f>INDEX('AD Fleet'!$E$6:$E$61,MATCH(1983,'AD Fleet'!$C$6:$C$61,0))*'Repair Costs'!G$29*$N224</x:f>
        <x:v>0</x:v>
      </x:c>
      <x:c r="I224" s="28" t="n">
        <x:f>'Fee Calculation'!M190</x:f>
        <x:v>229.75718859285868</x:v>
      </x:c>
      <x:c r="J224" s="33" t="n">
        <x:f>INDEX('Loss Calibration'!$E$8:$H$13,M224,4)</x:f>
        <x:v>0.3883456353743584</x:v>
      </x:c>
      <x:c r="K224" s="3" t="str">
        <x:v>Van</x:v>
      </x:c>
      <x:c r="L224" s="48" t="n">
        <x:v>44</x:v>
      </x:c>
      <x:c r="M224" s="48" t="n">
        <x:v>6</x:v>
      </x:c>
      <x:c r="N224" s="33" t="n">
        <x:f>IF(($L224/'Volume Build'!$D$23)&gt;=31,0,INDEX('AD Fleet'!$I$6:$I$37,INT(($L224/'Volume Build'!$D$23))+1)+(($L224/'Volume Build'!$D$23)-INT(($L224/'Volume Build'!$D$23)))*(INDEX('AD Fleet'!$I$6:$I$37,MIN(INT(($L224/'Volume Build'!$D$23))+2,32))-INDEX('AD Fleet'!$I$6:$I$37,INT(($L224/'Volume Build'!$D$23))+1)))</x:f>
        <x:v>0</x:v>
      </x:c>
      <x:c r="O224" s="33" t="n">
        <x:f>IF(L224=0,'Volume Build'!$D$25,1)*EXP(-'Volume Build'!$D$24*MAX(L224-6,0))*'Vehicle Economics'!G$10</x:f>
        <x:v>0.032378521262889814</x:v>
      </x:c>
    </x:row>
    <x:row r="225" ht="18" customHeight="1">
      <x:c r="A225" s="2"/>
      <x:c r="B225" s="2"/>
      <x:c r="C225" s="2" t="str">
        <x:v>Van / 45</x:v>
      </x:c>
      <x:c r="D225" s="28" t="n">
        <x:f>INDEX('AD Fleet'!$E$6:$E$61,MATCH(1978,'AD Fleet'!$C$6:$C$61,0))*'Repair Costs'!G$29*$N225</x:f>
        <x:v>0</x:v>
      </x:c>
      <x:c r="E225" s="28" t="n">
        <x:f>INDEX('AD Fleet'!$E$6:$E$61,MATCH(1979,'AD Fleet'!$C$6:$C$61,0))*'Repair Costs'!G$29*$N225</x:f>
        <x:v>0</x:v>
      </x:c>
      <x:c r="F225" s="28" t="n">
        <x:f>INDEX('AD Fleet'!$E$6:$E$61,MATCH(1980,'AD Fleet'!$C$6:$C$61,0))*'Repair Costs'!G$29*$N225</x:f>
        <x:v>0</x:v>
      </x:c>
      <x:c r="G225" s="28" t="n">
        <x:f>INDEX('AD Fleet'!$E$6:$E$61,MATCH(1981,'AD Fleet'!$C$6:$C$61,0))*'Repair Costs'!G$29*$N225</x:f>
        <x:v>0</x:v>
      </x:c>
      <x:c r="H225" s="28" t="n">
        <x:f>INDEX('AD Fleet'!$E$6:$E$61,MATCH(1982,'AD Fleet'!$C$6:$C$61,0))*'Repair Costs'!G$29*$N225</x:f>
        <x:v>0</x:v>
      </x:c>
      <x:c r="I225" s="28" t="n">
        <x:f>'Fee Calculation'!M191</x:f>
        <x:v>229.18552901601734</x:v>
      </x:c>
      <x:c r="J225" s="33" t="n">
        <x:f>INDEX('Loss Calibration'!$E$8:$H$13,M225,4)</x:f>
        <x:v>0.3883456353743584</x:v>
      </x:c>
      <x:c r="K225" s="3" t="str">
        <x:v>Van</x:v>
      </x:c>
      <x:c r="L225" s="48" t="n">
        <x:v>45</x:v>
      </x:c>
      <x:c r="M225" s="48" t="n">
        <x:v>6</x:v>
      </x:c>
      <x:c r="N225" s="33" t="n">
        <x:f>IF(($L225/'Volume Build'!$D$23)&gt;=31,0,INDEX('AD Fleet'!$I$6:$I$37,INT(($L225/'Volume Build'!$D$23))+1)+(($L225/'Volume Build'!$D$23)-INT(($L225/'Volume Build'!$D$23)))*(INDEX('AD Fleet'!$I$6:$I$37,MIN(INT(($L225/'Volume Build'!$D$23))+2,32))-INDEX('AD Fleet'!$I$6:$I$37,INT(($L225/'Volume Build'!$D$23))+1)))</x:f>
        <x:v>0</x:v>
      </x:c>
      <x:c r="O225" s="33" t="n">
        <x:f>IF(L225=0,'Volume Build'!$D$25,1)*EXP(-'Volume Build'!$D$24*MAX(L225-6,0))*'Vehicle Economics'!G$10</x:f>
        <x:v>0.02958375162375934</x:v>
      </x:c>
    </x:row>
    <x:row r="226" ht="18" customHeight="1">
      <x:c r="A226" s="2"/>
      <x:c r="B226" s="2"/>
      <x:c r="C226" s="2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</x:row>
    <x:row r="227" ht="18" customHeight="1">
      <x:c r="A227" s="2"/>
      <x:c r="B227" s="2"/>
      <x:c r="C227" s="2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</x:row>
    <x:row r="228" ht="18" customHeight="1">
      <x:c r="A228" s="2"/>
      <x:c r="B228" s="2"/>
      <x:c r="C228" s="2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</x:row>
    <x:row r="229" ht="18" customHeight="1">
      <x:c r="A229" s="2"/>
      <x:c r="B229" s="2"/>
      <x:c r="C229" s="2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</x:row>
    <x:row r="230" ht="18" customHeight="1">
      <x:c r="A230" s="2"/>
      <x:c r="B230" s="2"/>
      <x:c r="C230" s="2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</x:row>
  </x:sheetData>
  <x:mergeCells>
    <x:mergeCell ref="C2:K2"/>
    <x:mergeCell ref="C3:K3"/>
    <x:mergeCell ref="C35:O3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4" t="str">
        <x:v>Repair-cost calculation</x:v>
      </x:c>
      <x:c r="D2" s="4"/>
      <x:c r="E2" s="4"/>
      <x:c r="F2" s="4"/>
      <x:c r="G2" s="4"/>
      <x:c r="H2" s="4"/>
      <x:c r="I2" s="4"/>
      <x:c r="J2" s="4"/>
      <x:c r="K2" s="4"/>
      <x:c r="L2" s="2"/>
      <x:c r="M2" s="2"/>
    </x:row>
    <x:row r="3" ht="28" customHeight="1">
      <x:c r="A3" s="2"/>
      <x:c r="B3" s="2"/>
      <x:c r="C3" s="6" t="str">
        <x:v>Live reconstruction of the authorized working case. Population and scope transfers remain assumptions.</x:v>
      </x:c>
      <x:c r="D3" s="6"/>
      <x:c r="E3" s="6"/>
      <x:c r="F3" s="6"/>
      <x:c r="G3" s="6"/>
      <x:c r="H3" s="6"/>
      <x:c r="I3" s="6"/>
      <x:c r="J3" s="6"/>
      <x:c r="K3" s="6"/>
      <x:c r="L3" s="2"/>
      <x:c r="M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9" customHeight="1">
      <x:c r="A5" s="2"/>
      <x:c r="B5" s="2"/>
      <x:c r="C5" s="10" t="str">
        <x:v>Input / calculation</x:v>
      </x:c>
      <x:c r="D5" s="10" t="str">
        <x:v>Car</x:v>
      </x:c>
      <x:c r="E5" s="10" t="str">
        <x:v>SUV / crossover</x:v>
      </x:c>
      <x:c r="F5" s="10" t="str">
        <x:v>Pickup</x:v>
      </x:c>
      <x:c r="G5" s="10" t="str">
        <x:v>Van</x:v>
      </x:c>
      <x:c r="H5" s="2"/>
      <x:c r="I5" s="2"/>
      <x:c r="J5" s="2"/>
      <x:c r="K5" s="2"/>
      <x:c r="L5" s="2"/>
      <x:c r="M5" s="2"/>
    </x:row>
    <x:row r="6" ht="18" customHeight="1">
      <x:c r="A6" s="2"/>
      <x:c r="B6" s="2"/>
      <x:c r="C6" s="105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18" customHeight="1">
      <x:c r="A7" s="2"/>
      <x:c r="B7" s="2"/>
      <x:c r="C7" s="105" t="str">
        <x:v>Front impact weight</x:v>
      </x:c>
      <x:c r="D7" s="33" t="n">
        <x:f>'AD Repair'!F8</x:f>
        <x:v>0.5601009251398218</x:v>
      </x:c>
      <x:c r="E7" s="33" t="n">
        <x:f>'AD Repair'!F13</x:f>
        <x:v>0.548968528955254</x:v>
      </x:c>
      <x:c r="F7" s="33" t="n">
        <x:f>'AD Repair'!F18</x:f>
        <x:v>0.5734089038492839</x:v>
      </x:c>
      <x:c r="G7" s="33" t="n">
        <x:f>'AD Repair'!F23</x:f>
        <x:v>0.5063098300079454</x:v>
      </x:c>
      <x:c r="H7" s="3"/>
      <x:c r="I7" s="3"/>
      <x:c r="J7" s="3"/>
      <x:c r="K7" s="3"/>
      <x:c r="L7" s="3"/>
      <x:c r="M7" s="3"/>
    </x:row>
    <x:row r="8" ht="18" customHeight="1">
      <x:c r="A8" s="2"/>
      <x:c r="B8" s="2"/>
      <x:c r="C8" s="105" t="str">
        <x:v>Rear impact weight</x:v>
      </x:c>
      <x:c r="D8" s="33" t="n">
        <x:f>'AD Repair'!G8</x:f>
        <x:v>0.24450049382216563</x:v>
      </x:c>
      <x:c r="E8" s="33" t="n">
        <x:f>'AD Repair'!G13</x:f>
        <x:v>0.28002817537478014</x:v>
      </x:c>
      <x:c r="F8" s="33" t="n">
        <x:f>'AD Repair'!G18</x:f>
        <x:v>0.21300608127086687</x:v>
      </x:c>
      <x:c r="G8" s="33" t="n">
        <x:f>'AD Repair'!G23</x:f>
        <x:v>0.34558315967998227</x:v>
      </x:c>
      <x:c r="H8" s="3"/>
      <x:c r="I8" s="3"/>
      <x:c r="J8" s="3"/>
      <x:c r="K8" s="3"/>
      <x:c r="L8" s="3"/>
      <x:c r="M8" s="3"/>
    </x:row>
    <x:row r="9" ht="18" customHeight="1">
      <x:c r="A9" s="2"/>
      <x:c r="B9" s="2"/>
      <x:c r="C9" s="105" t="str">
        <x:v>Other impact weight</x:v>
      </x:c>
      <x:c r="D9" s="34" t="n">
        <x:f>1-SUM(D7:D8)</x:f>
        <x:v>0.19539858103801255</x:v>
      </x:c>
      <x:c r="E9" s="34" t="n">
        <x:f>1-SUM(E7:E8)</x:f>
        <x:v>0.17100329566996586</x:v>
      </x:c>
      <x:c r="F9" s="34" t="n">
        <x:f>1-SUM(F7:F8)</x:f>
        <x:v>0.21358501487984927</x:v>
      </x:c>
      <x:c r="G9" s="34" t="n">
        <x:f>1-SUM(G7:G8)</x:f>
        <x:v>0.1481070103120723</x:v>
      </x:c>
      <x:c r="H9" s="3"/>
      <x:c r="I9" s="3"/>
      <x:c r="J9" s="3"/>
      <x:c r="K9" s="3"/>
      <x:c r="L9" s="3"/>
      <x:c r="M9" s="3"/>
    </x:row>
    <x:row r="10" ht="18" customHeight="1">
      <x:c r="A10" s="2"/>
      <x:c r="B10" s="2"/>
      <x:c r="C10" s="105" t="str">
        <x:v>Weight sum</x:v>
      </x:c>
      <x:c r="D10" s="34" t="n">
        <x:f>SUM(D7:D9)</x:f>
        <x:v>1</x:v>
      </x:c>
      <x:c r="E10" s="34" t="n">
        <x:f>SUM(E7:E9)</x:f>
        <x:v>1</x:v>
      </x:c>
      <x:c r="F10" s="34" t="n">
        <x:f>SUM(F7:F9)</x:f>
        <x:v>1</x:v>
      </x:c>
      <x:c r="G10" s="34" t="n">
        <x:f>SUM(G7:G9)</x:f>
        <x:v>1</x:v>
      </x:c>
      <x:c r="H10" s="3"/>
      <x:c r="I10" s="3"/>
      <x:c r="J10" s="3"/>
      <x:c r="K10" s="3"/>
      <x:c r="L10" s="3"/>
      <x:c r="M10" s="3"/>
    </x:row>
    <x:row r="11" ht="18" customHeight="1">
      <x:c r="A11" s="2"/>
      <x:c r="B11" s="2"/>
      <x:c r="C11" s="105"/>
      <x:c r="D11" s="3"/>
      <x:c r="E11" s="3"/>
      <x:c r="F11" s="3"/>
      <x:c r="G11" s="3"/>
      <x:c r="H11" s="3"/>
      <x:c r="I11" s="3"/>
      <x:c r="J11" s="3"/>
      <x:c r="K11" s="3"/>
      <x:c r="L11" s="3"/>
      <x:c r="M11" s="3"/>
    </x:row>
    <x:row r="12" ht="18" customHeight="1">
      <x:c r="A12" s="2"/>
      <x:c r="B12" s="2"/>
      <x:c r="C12" s="105" t="str">
        <x:v>Front cost / same-scope car</x:v>
      </x:c>
      <x:c r="D12" s="35" t="n">
        <x:f>'AD Repair'!D31/'AD Repair'!$D$31</x:f>
        <x:v>1</x:v>
      </x:c>
      <x:c r="E12" s="35" t="n">
        <x:f>'AD Repair'!E31/'AD Repair'!$D$31</x:f>
        <x:v>0.9940333210974872</x:v>
      </x:c>
      <x:c r="F12" s="35" t="n">
        <x:f>'AD Repair'!F31/'AD Repair'!$D$31</x:f>
        <x:v>1.4259875739627685</x:v>
      </x:c>
      <x:c r="G12" s="35" t="n">
        <x:f>'AD Repair'!E31/'AD Repair'!$D$31</x:f>
        <x:v>0.9940333210974872</x:v>
      </x:c>
      <x:c r="H12" s="3"/>
      <x:c r="I12" s="3"/>
      <x:c r="J12" s="3"/>
      <x:c r="K12" s="3"/>
      <x:c r="L12" s="3"/>
      <x:c r="M12" s="3"/>
    </x:row>
    <x:row r="13" ht="18" customHeight="1">
      <x:c r="A13" s="2"/>
      <x:c r="B13" s="2"/>
      <x:c r="C13" s="105" t="str">
        <x:v>Rear cost / same-scope car</x:v>
      </x:c>
      <x:c r="D13" s="35" t="n">
        <x:f>'AD Repair'!D33/'AD Repair'!$D$33</x:f>
        <x:v>1</x:v>
      </x:c>
      <x:c r="E13" s="35" t="n">
        <x:f>'AD Repair'!E33/'AD Repair'!$D$33</x:f>
        <x:v>1.0284641256252127</x:v>
      </x:c>
      <x:c r="F13" s="35" t="n">
        <x:f>'AD Repair'!F33/'AD Repair'!$D$33</x:f>
        <x:v>0.9107308715191443</x:v>
      </x:c>
      <x:c r="G13" s="35" t="n">
        <x:f>'AD Repair'!E33/'AD Repair'!$D$33</x:f>
        <x:v>1.0284641256252127</x:v>
      </x:c>
      <x:c r="H13" s="3"/>
      <x:c r="I13" s="3"/>
      <x:c r="J13" s="3"/>
      <x:c r="K13" s="3"/>
      <x:c r="L13" s="3"/>
      <x:c r="M13" s="3"/>
    </x:row>
    <x:row r="14" ht="18" customHeight="1">
      <x:c r="A14" s="2"/>
      <x:c r="B14" s="2"/>
      <x:c r="C14" s="105" t="str">
        <x:v>Other cost / same-scope car</x:v>
      </x:c>
      <x:c r="D14" s="32" t="n">
        <x:v>1</x:v>
      </x:c>
      <x:c r="E14" s="32" t="n">
        <x:v>1.1</x:v>
      </x:c>
      <x:c r="F14" s="32" t="n">
        <x:v>1.15</x:v>
      </x:c>
      <x:c r="G14" s="32" t="n">
        <x:v>1.1</x:v>
      </x:c>
      <x:c r="H14" s="3"/>
      <x:c r="I14" s="3"/>
      <x:c r="J14" s="3"/>
      <x:c r="K14" s="3"/>
      <x:c r="L14" s="3"/>
      <x:c r="M14" s="3"/>
    </x:row>
    <x:row r="15" ht="18" customHeight="1">
      <x:c r="A15" s="2"/>
      <x:c r="B15" s="2"/>
      <x:c r="C15" s="105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 ht="18" customHeight="1">
      <x:c r="A16" s="2"/>
      <x:c r="B16" s="2"/>
      <x:c r="C16" s="105" t="str">
        <x:v>Car repair mean anchor ($)</x:v>
      </x:c>
      <x:c r="D16" s="28" t="n">
        <x:f>'AD Repair'!D38</x:f>
        <x:v>3682</x:v>
      </x:c>
      <x:c r="E16" s="3"/>
      <x:c r="F16" s="3"/>
      <x:c r="G16" s="3"/>
      <x:c r="H16" s="3"/>
      <x:c r="I16" s="3"/>
      <x:c r="J16" s="3"/>
      <x:c r="K16" s="3"/>
      <x:c r="L16" s="3"/>
      <x:c r="M16" s="3"/>
    </x:row>
    <x:row r="17" ht="18" customHeight="1">
      <x:c r="A17" s="2"/>
      <x:c r="B17" s="2"/>
      <x:c r="C17" s="105" t="str">
        <x:v>Car rear / front scope cost</x:v>
      </x:c>
      <x:c r="D17" s="32" t="n">
        <x:v>0.6</x:v>
      </x:c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18" customHeight="1">
      <x:c r="A18" s="2"/>
      <x:c r="B18" s="2"/>
      <x:c r="C18" s="105" t="str">
        <x:v>Car other / front scope cost</x:v>
      </x:c>
      <x:c r="D18" s="32" t="n">
        <x:v>0.8</x:v>
      </x:c>
      <x:c r="E18" s="3"/>
      <x:c r="F18" s="3"/>
      <x:c r="G18" s="3"/>
      <x:c r="H18" s="3"/>
      <x:c r="I18" s="3"/>
      <x:c r="J18" s="3"/>
      <x:c r="K18" s="3"/>
      <x:c r="L18" s="3"/>
      <x:c r="M18" s="3"/>
    </x:row>
    <x:row r="19" ht="18" customHeight="1">
      <x:c r="A19" s="2"/>
      <x:c r="B19" s="2"/>
      <x:c r="C19" s="105" t="str">
        <x:v>Car front mean scale ($)</x:v>
      </x:c>
      <x:c r="D19" s="29" t="n">
        <x:f>D16/(D7+D8*D17+D9*D18)</x:f>
        <x:v>4265.918565213181</x:v>
      </x:c>
      <x:c r="E19" s="3"/>
      <x:c r="F19" s="3"/>
      <x:c r="G19" s="3"/>
      <x:c r="H19" s="3"/>
      <x:c r="I19" s="3"/>
      <x:c r="J19" s="3"/>
      <x:c r="K19" s="3"/>
      <x:c r="L19" s="3"/>
      <x:c r="M19" s="3"/>
    </x:row>
    <x:row r="20" ht="18" customHeight="1">
      <x:c r="A20" s="2"/>
      <x:c r="B20" s="2"/>
      <x:c r="C20" s="105"/>
      <x:c r="D20" s="3"/>
      <x:c r="E20" s="3"/>
      <x:c r="F20" s="3"/>
      <x:c r="G20" s="3"/>
      <x:c r="H20" s="3"/>
      <x:c r="I20" s="3"/>
      <x:c r="J20" s="3"/>
      <x:c r="K20" s="3"/>
      <x:c r="L20" s="3"/>
      <x:c r="M20" s="3"/>
    </x:row>
    <x:row r="21" ht="18" customHeight="1">
      <x:c r="A21" s="2"/>
      <x:c r="B21" s="2"/>
      <x:c r="C21" s="105" t="str">
        <x:v>Front mean repair cost ($)</x:v>
      </x:c>
      <x:c r="D21" s="29" t="n">
        <x:f>$D$19*D12</x:f>
        <x:v>4265.918565213181</x:v>
      </x:c>
      <x:c r="E21" s="29" t="n">
        <x:f>$D$19*E12</x:f>
        <x:v>4240.465198910286</x:v>
      </x:c>
      <x:c r="F21" s="29" t="n">
        <x:f>$D$19*F12</x:f>
        <x:v>6083.146865531078</x:v>
      </x:c>
      <x:c r="G21" s="29" t="n">
        <x:f>$D$19*G12</x:f>
        <x:v>4240.465198910286</x:v>
      </x:c>
      <x:c r="H21" s="3"/>
      <x:c r="I21" s="3"/>
      <x:c r="J21" s="3"/>
      <x:c r="K21" s="3"/>
      <x:c r="L21" s="3"/>
      <x:c r="M21" s="3"/>
    </x:row>
    <x:row r="22" ht="18" customHeight="1">
      <x:c r="A22" s="2"/>
      <x:c r="B22" s="2"/>
      <x:c r="C22" s="105" t="str">
        <x:v>Rear mean repair cost ($)</x:v>
      </x:c>
      <x:c r="D22" s="29" t="n">
        <x:f>$D$19*$D$17*D13</x:f>
        <x:v>2559.5511391279083</x:v>
      </x:c>
      <x:c r="E22" s="29" t="n">
        <x:f>$D$19*$D$17*E13</x:f>
        <x:v>2632.4065242962015</x:v>
      </x:c>
      <x:c r="F22" s="29" t="n">
        <x:f>$D$19*$D$17*F13</x:f>
        <x:v>2331.0622396357785</x:v>
      </x:c>
      <x:c r="G22" s="29" t="n">
        <x:f>$D$19*$D$17*G13</x:f>
        <x:v>2632.4065242962015</x:v>
      </x:c>
      <x:c r="H22" s="3"/>
      <x:c r="I22" s="3"/>
      <x:c r="J22" s="3"/>
      <x:c r="K22" s="3"/>
      <x:c r="L22" s="3"/>
      <x:c r="M22" s="3"/>
    </x:row>
    <x:row r="23" ht="18" customHeight="1">
      <x:c r="A23" s="2"/>
      <x:c r="B23" s="2"/>
      <x:c r="C23" s="105" t="str">
        <x:v>Other mean repair cost ($)</x:v>
      </x:c>
      <x:c r="D23" s="29" t="n">
        <x:f>$D$19*$D$18*D14</x:f>
        <x:v>3412.734852170545</x:v>
      </x:c>
      <x:c r="E23" s="29" t="n">
        <x:f>$D$19*$D$18*E14</x:f>
        <x:v>3754.0083373875996</x:v>
      </x:c>
      <x:c r="F23" s="29" t="n">
        <x:f>$D$19*$D$18*F14</x:f>
        <x:v>3924.6450799961262</x:v>
      </x:c>
      <x:c r="G23" s="29" t="n">
        <x:f>$D$19*$D$18*G14</x:f>
        <x:v>3754.0083373875996</x:v>
      </x:c>
      <x:c r="H23" s="3"/>
      <x:c r="I23" s="3"/>
      <x:c r="J23" s="3"/>
      <x:c r="K23" s="3"/>
      <x:c r="L23" s="3"/>
      <x:c r="M23" s="3"/>
    </x:row>
    <x:row r="24" ht="18" customHeight="1">
      <x:c r="A24" s="2"/>
      <x:c r="B24" s="2"/>
      <x:c r="C24" s="105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18" customHeight="1">
      <x:c r="A25" s="2"/>
      <x:c r="B25" s="2"/>
      <x:c r="C25" s="109" t="str">
        <x:v>Weighted mean repair cost ($)</x:v>
      </x:c>
      <x:c r="D25" s="38" t="n">
        <x:f>SUMPRODUCT(D7:D9,D21:D23)</x:f>
        <x:v>3682</x:v>
      </x:c>
      <x:c r="E25" s="38" t="n">
        <x:f>SUMPRODUCT(E7:E9,E21:E23)</x:f>
        <x:v>3706.9777358408687</x:v>
      </x:c>
      <x:c r="F25" s="38" t="n">
        <x:f>SUMPRODUCT(F7:F9,F21:F23)</x:f>
        <x:v>4822.90638679079</x:v>
      </x:c>
      <x:c r="G25" s="38" t="n">
        <x:f>SUMPRODUCT(G7:G9,G21:G23)</x:f>
        <x:v>3612.699529780427</x:v>
      </x:c>
      <x:c r="H25" s="3"/>
      <x:c r="I25" s="3"/>
      <x:c r="J25" s="3"/>
      <x:c r="K25" s="3"/>
      <x:c r="L25" s="3"/>
      <x:c r="M25" s="3"/>
    </x:row>
    <x:row r="26" ht="18" customHeight="1">
      <x:c r="A26" s="2"/>
      <x:c r="B26" s="2"/>
      <x:c r="C26" s="105" t="str">
        <x:v>Repair cost / car</x:v>
      </x:c>
      <x:c r="D26" s="36" t="n">
        <x:f>D25/$D$25</x:f>
        <x:v>1</x:v>
      </x:c>
      <x:c r="E26" s="36" t="n">
        <x:f>E25/$D$25</x:f>
        <x:v>1.0067837414016483</x:v>
      </x:c>
      <x:c r="F26" s="36" t="n">
        <x:f>F25/$D$25</x:f>
        <x:v>1.30986050700456</x:v>
      </x:c>
      <x:c r="G26" s="36" t="n">
        <x:f>G25/$D$25</x:f>
        <x:v>0.9811785795166831</x:v>
      </x:c>
      <x:c r="H26" s="3"/>
      <x:c r="I26" s="3"/>
      <x:c r="J26" s="3"/>
      <x:c r="K26" s="3"/>
      <x:c r="L26" s="3"/>
      <x:c r="M26" s="3"/>
    </x:row>
    <x:row r="27" ht="18" customHeight="1">
      <x:c r="A27" s="2"/>
      <x:c r="B27" s="2"/>
      <x:c r="C27" s="105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18" customHeight="1">
      <x:c r="A28" s="2"/>
      <x:c r="B28" s="2"/>
      <x:c r="C28" s="105" t="str">
        <x:v>Raw LT listing weights</x:v>
      </x:c>
      <x:c r="D28" s="33" t="n">
        <x:f>'AD Repair'!D40</x:f>
        <x:v>0</x:v>
      </x:c>
      <x:c r="E28" s="33" t="n">
        <x:f>'AD Repair'!E40</x:f>
        <x:v>0.409</x:v>
      </x:c>
      <x:c r="F28" s="33" t="n">
        <x:f>'AD Repair'!F40</x:f>
        <x:v>0.109</x:v>
      </x:c>
      <x:c r="G28" s="33" t="n">
        <x:f>'AD Repair'!G40</x:f>
        <x:v>0.047</x:v>
      </x:c>
      <x:c r="H28" s="3"/>
      <x:c r="I28" s="3"/>
      <x:c r="J28" s="3"/>
      <x:c r="K28" s="3"/>
      <x:c r="L28" s="3"/>
      <x:c r="M28" s="3"/>
    </x:row>
    <x:row r="29" ht="18" customHeight="1">
      <x:c r="A29" s="2"/>
      <x:c r="B29" s="2"/>
      <x:c r="C29" s="105" t="str">
        <x:v>Normalized within-LT weights</x:v>
      </x:c>
      <x:c r="D29" s="34" t="n">
        <x:f>D28/SUM($E$28:$G$28)</x:f>
        <x:v>0</x:v>
      </x:c>
      <x:c r="E29" s="34" t="n">
        <x:f>E28/SUM($E$28:$G$28)</x:f>
        <x:v>0.7238938053097344</x:v>
      </x:c>
      <x:c r="F29" s="34" t="n">
        <x:f>F28/SUM($E$28:$G$28)</x:f>
        <x:v>0.19292035398230087</x:v>
      </x:c>
      <x:c r="G29" s="34" t="n">
        <x:f>G28/SUM($E$28:$G$28)</x:f>
        <x:v>0.08318584070796459</x:v>
      </x:c>
      <x:c r="H29" s="3"/>
      <x:c r="I29" s="3"/>
      <x:c r="J29" s="3"/>
      <x:c r="K29" s="3"/>
      <x:c r="L29" s="3"/>
      <x:c r="M29" s="3"/>
    </x:row>
    <x:row r="30" ht="18" customHeight="1">
      <x:c r="A30" s="2"/>
      <x:c r="B30" s="2"/>
      <x:c r="C30" s="105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8" customHeight="1">
      <x:c r="A31" s="2"/>
      <x:c r="B31" s="2"/>
      <x:c r="C31" s="105" t="str">
        <x:v>Blended LT repair mean ($)</x:v>
      </x:c>
      <x:c r="D31" s="29" t="n">
        <x:f>SUMPRODUCT(E25:G25,E29:G29)</x:f>
        <x:v>3914.420474369542</x:v>
      </x:c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8" customHeight="1">
      <x:c r="A32" s="2"/>
      <x:c r="B32" s="2"/>
      <x:c r="C32" s="105" t="str">
        <x:v>LT repair premium</x:v>
      </x:c>
      <x:c r="D32" s="34" t="n">
        <x:f>D31/D25-1</x:f>
        <x:v>0.06312343138770826</x:v>
      </x:c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8" customHeight="1">
      <x:c r="A33" s="2"/>
      <x:c r="B33" s="2"/>
      <x:c r="C33" s="105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28" customHeight="1">
      <x:c r="A34" s="2"/>
      <x:c r="B34" s="2"/>
      <x:c r="C34" s="6" t="str">
        <x:v>AAA new-car ratios are transferred to older cohorts; other-scope premiums are assumed. Vans use SUV scope ratios. CRSS impact mix is transferred to claims.</x:v>
      </x:c>
      <x:c r="D34" s="21"/>
      <x:c r="E34" s="21"/>
      <x:c r="F34" s="21"/>
      <x:c r="G34" s="21"/>
      <x:c r="H34" s="21"/>
      <x:c r="I34" s="21"/>
      <x:c r="J34" s="21"/>
      <x:c r="K34" s="21"/>
      <x:c r="L34" s="3"/>
      <x:c r="M34" s="3"/>
    </x:row>
    <x:row r="35" ht="18" customHeight="1">
      <x:c r="A35" s="2"/>
      <x:c r="B35" s="2"/>
      <x:c r="C35" s="105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18" customHeight="1">
      <x:c r="A36" s="2"/>
      <x:c r="B36" s="2"/>
      <x:c r="C36" s="105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18" customHeight="1">
      <x:c r="A37" s="2"/>
      <x:c r="B37" s="2"/>
      <x:c r="C37" s="105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C38" s="108"/>
    </x:row>
    <x:row r="39">
      <x:c r="C39" s="108"/>
    </x:row>
    <x:row r="40">
      <x:c r="C40" s="108"/>
    </x:row>
  </x:sheetData>
  <x:mergeCells>
    <x:mergeCell ref="C2:K2"/>
    <x:mergeCell ref="C3:K3"/>
    <x:mergeCell ref="C34:K3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2"/>
      <x:c r="C2" s="4" t="str">
        <x:v>CCC age-bucket calibration</x:v>
      </x:c>
      <x:c r="D2" s="4"/>
      <x:c r="E2" s="4"/>
      <x:c r="F2" s="4"/>
      <x:c r="G2" s="4"/>
      <x:c r="H2" s="4"/>
      <x:c r="I2" s="4"/>
      <x:c r="J2" s="4"/>
      <x:c r="K2" s="4"/>
      <x:c r="L2" s="2"/>
    </x:row>
    <x:row r="3" ht="28" customHeight="1">
      <x:c r="A3" s="2"/>
      <x:c r="B3" s="2"/>
      <x:c r="C3" s="6" t="str">
        <x:v>Solve one common index per age bucket; retain body offsets from repair/value economics. No hidden solver or macro.</x:v>
      </x:c>
      <x:c r="D3" s="6"/>
      <x:c r="E3" s="6"/>
      <x:c r="F3" s="6"/>
      <x:c r="G3" s="6"/>
      <x:c r="H3" s="6"/>
      <x:c r="I3" s="6"/>
      <x:c r="J3" s="6"/>
      <x:c r="K3" s="6"/>
      <x:c r="L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9" customHeight="1">
      <x:c r="A5" s="2"/>
      <x:c r="B5" s="2"/>
      <x:c r="C5" s="10" t="str">
        <x:v>Age bucket</x:v>
      </x:c>
      <x:c r="D5" s="10" t="str">
        <x:v>CCC target</x:v>
      </x:c>
      <x:c r="E5" s="10" t="str">
        <x:v>Car</x:v>
      </x:c>
      <x:c r="F5" s="10" t="str">
        <x:v>SUV / crossover</x:v>
      </x:c>
      <x:c r="G5" s="10" t="str">
        <x:v>Pickup</x:v>
      </x:c>
      <x:c r="H5" s="10" t="str">
        <x:v>Van</x:v>
      </x:c>
      <x:c r="I5" s="10" t="str">
        <x:v>Blended</x:v>
      </x:c>
      <x:c r="J5" s="10" t="str">
        <x:v>Difference</x:v>
      </x:c>
      <x:c r="K5" s="2"/>
      <x:c r="L5" s="2"/>
    </x:row>
    <x:row r="6" ht="18" customHeight="1">
      <x:c r="A6" s="2"/>
      <x:c r="B6" s="2"/>
      <x:c r="C6" s="105"/>
      <x:c r="D6" s="3"/>
      <x:c r="E6" s="3"/>
      <x:c r="F6" s="3"/>
      <x:c r="G6" s="3"/>
      <x:c r="H6" s="3"/>
      <x:c r="I6" s="3"/>
      <x:c r="J6" s="3"/>
      <x:c r="K6" s="3"/>
      <x:c r="L6" s="3"/>
    </x:row>
    <x:row r="7" ht="18" customHeight="1">
      <x:c r="A7" s="2"/>
      <x:c r="B7" s="2"/>
      <x:c r="C7" s="105"/>
      <x:c r="D7" s="3"/>
      <x:c r="E7" s="3"/>
      <x:c r="F7" s="3"/>
      <x:c r="G7" s="3"/>
      <x:c r="H7" s="3"/>
      <x:c r="I7" s="3"/>
      <x:c r="J7" s="3"/>
      <x:c r="K7" s="3"/>
      <x:c r="L7" s="3"/>
    </x:row>
    <x:row r="8" ht="18" customHeight="1">
      <x:c r="A8" s="2"/>
      <x:c r="B8" s="2"/>
      <x:c r="C8" s="105" t="str">
        <x:v>Current year</x:v>
      </x:c>
      <x:c r="D8" s="33" t="n">
        <x:f>'AD Fees &amp; TLF'!D6</x:f>
        <x:v>0.096</x:v>
      </x:c>
      <x:c r="E8" s="34" t="n">
        <x:f>G61</x:f>
        <x:v>0.12970305926838227</x:v>
      </x:c>
      <x:c r="F8" s="34" t="n">
        <x:f>H61</x:f>
        <x:v>0.08352970958202721</x:v>
      </x:c>
      <x:c r="G8" s="34" t="n">
        <x:f>I61</x:f>
        <x:v>0.11235121087565603</x:v>
      </x:c>
      <x:c r="H8" s="34" t="n">
        <x:f>J61</x:f>
        <x:v>0.08103838157626347</x:v>
      </x:c>
      <x:c r="I8" s="34" t="n">
        <x:f>K61</x:f>
        <x:v>0.09599999943525885</x:v>
      </x:c>
      <x:c r="J8" s="34" t="n">
        <x:f>I8-D8</x:f>
        <x:v>-5.647411566167548e-10</x:v>
      </x:c>
      <x:c r="K8" s="3"/>
      <x:c r="L8" s="3"/>
    </x:row>
    <x:row r="9" ht="18" customHeight="1">
      <x:c r="A9" s="2"/>
      <x:c r="B9" s="2"/>
      <x:c r="C9" s="105" t="str">
        <x:v>1–3</x:v>
      </x:c>
      <x:c r="D9" s="33" t="n">
        <x:f>'AD Fees &amp; TLF'!D7</x:f>
        <x:v>0.107</x:v>
      </x:c>
      <x:c r="E9" s="34" t="n">
        <x:f>G98</x:f>
        <x:v>0.1414675778549528</x:v>
      </x:c>
      <x:c r="F9" s="34" t="n">
        <x:f>H98</x:f>
        <x:v>0.09214398041521638</x:v>
      </x:c>
      <x:c r="G9" s="34" t="n">
        <x:f>I98</x:f>
        <x:v>0.1230097849401135</x:v>
      </x:c>
      <x:c r="H9" s="34" t="n">
        <x:f>J98</x:f>
        <x:v>0.08946221754180095</x:v>
      </x:c>
      <x:c r="I9" s="34" t="n">
        <x:f>K98</x:f>
        <x:v>0.10699999933031444</x:v>
      </x:c>
      <x:c r="J9" s="34" t="n">
        <x:f>I9-D9</x:f>
        <x:v>-6.696855570087479e-10</x:v>
      </x:c>
      <x:c r="K9" s="3"/>
      <x:c r="L9" s="3"/>
    </x:row>
    <x:row r="10" ht="18" customHeight="1">
      <x:c r="A10" s="2"/>
      <x:c r="B10" s="2"/>
      <x:c r="C10" s="105" t="str">
        <x:v>4–6</x:v>
      </x:c>
      <x:c r="D10" s="33" t="n">
        <x:f>'AD Fees &amp; TLF'!D8</x:f>
        <x:v>0.157</x:v>
      </x:c>
      <x:c r="E10" s="34" t="n">
        <x:f>G135</x:f>
        <x:v>0.19811643359572595</x:v>
      </x:c>
      <x:c r="F10" s="34" t="n">
        <x:f>H135</x:f>
        <x:v>0.1351685029157914</x:v>
      </x:c>
      <x:c r="G10" s="34" t="n">
        <x:f>I135</x:f>
        <x:v>0.17497376510273943</x:v>
      </x:c>
      <x:c r="H10" s="34" t="n">
        <x:f>J135</x:f>
        <x:v>0.13163549539735725</x:v>
      </x:c>
      <x:c r="I10" s="34" t="n">
        <x:f>K135</x:f>
        <x:v>0.1569999999697744</x:v>
      </x:c>
      <x:c r="J10" s="34" t="n">
        <x:f>I10-D10</x:f>
        <x:v>-3.022559980081496e-11</x:v>
      </x:c>
      <x:c r="K10" s="3"/>
      <x:c r="L10" s="3"/>
    </x:row>
    <x:row r="11" ht="18" customHeight="1">
      <x:c r="A11" s="2"/>
      <x:c r="B11" s="2"/>
      <x:c r="C11" s="105" t="str">
        <x:v>7–9</x:v>
      </x:c>
      <x:c r="D11" s="33" t="n">
        <x:f>'AD Fees &amp; TLF'!D9</x:f>
        <x:v>0.23399999999999999</x:v>
      </x:c>
      <x:c r="E11" s="34" t="n">
        <x:f>G172</x:f>
        <x:v>0.27711955443615977</x:v>
      </x:c>
      <x:c r="F11" s="34" t="n">
        <x:f>H172</x:f>
        <x:v>0.1989609747783242</x:v>
      </x:c>
      <x:c r="G11" s="34" t="n">
        <x:f>I172</x:f>
        <x:v>0.2489674463048962</x:v>
      </x:c>
      <x:c r="H11" s="34" t="n">
        <x:f>J172</x:f>
        <x:v>0.1944139583975364</x:v>
      </x:c>
      <x:c r="I11" s="34" t="n">
        <x:f>K172</x:f>
        <x:v>0.2339999991045141</x:v>
      </x:c>
      <x:c r="J11" s="34" t="n">
        <x:f>I11-D11</x:f>
        <x:v>-8.954858798926324e-10</x:v>
      </x:c>
      <x:c r="K11" s="3"/>
      <x:c r="L11" s="3"/>
    </x:row>
    <x:row r="12" ht="18" customHeight="1">
      <x:c r="A12" s="2"/>
      <x:c r="B12" s="2"/>
      <x:c r="C12" s="105" t="str">
        <x:v>10–12</x:v>
      </x:c>
      <x:c r="D12" s="33" t="n">
        <x:f>'AD Fees &amp; TLF'!D10</x:f>
        <x:v>0.32299999999999995</x:v>
      </x:c>
      <x:c r="E12" s="34" t="n">
        <x:f>G209</x:f>
        <x:v>0.3624976614821436</x:v>
      </x:c>
      <x:c r="F12" s="34" t="n">
        <x:f>H209</x:f>
        <x:v>0.2723539904357708</x:v>
      </x:c>
      <x:c r="G12" s="34" t="n">
        <x:f>I209</x:f>
        <x:v>0.3306520738596624</x:v>
      </x:c>
      <x:c r="H12" s="34" t="n">
        <x:f>J209</x:f>
        <x:v>0.26693293878713403</x:v>
      </x:c>
      <x:c r="I12" s="34" t="n">
        <x:f>K209</x:f>
        <x:v>0.3230000012196017</x:v>
      </x:c>
      <x:c r="J12" s="34" t="n">
        <x:f>I12-D12</x:f>
        <x:v>1.2196017529220171e-9</x:v>
      </x:c>
      <x:c r="K12" s="3"/>
      <x:c r="L12" s="3"/>
    </x:row>
    <x:row r="13" ht="18" customHeight="1">
      <x:c r="A13" s="2"/>
      <x:c r="B13" s="2"/>
      <x:c r="C13" s="105" t="str">
        <x:v>13+</x:v>
      </x:c>
      <x:c r="D13" s="33" t="n">
        <x:f>'AD Fees &amp; TLF'!D11</x:f>
        <x:v>0.45299999999999996</x:v>
      </x:c>
      <x:c r="E13" s="34" t="n">
        <x:f>G246</x:f>
        <x:v>0.4946908337805008</x:v>
      </x:c>
      <x:c r="F13" s="34" t="n">
        <x:f>H246</x:f>
        <x:v>0.3946472110324642</x:v>
      </x:c>
      <x:c r="G13" s="34" t="n">
        <x:f>I246</x:f>
        <x:v>0.4603185510969016</x:v>
      </x:c>
      <x:c r="H13" s="34" t="n">
        <x:f>J246</x:f>
        <x:v>0.3883456353743584</x:v>
      </x:c>
      <x:c r="I13" s="34" t="n">
        <x:f>K246</x:f>
        <x:v>0.4529999997346505</x:v>
      </x:c>
      <x:c r="J13" s="34" t="n">
        <x:f>I13-D13</x:f>
        <x:v>-2.653494646231991e-10</x:v>
      </x:c>
      <x:c r="K13" s="3"/>
      <x:c r="L13" s="3"/>
    </x:row>
    <x:row r="14" ht="18" customHeight="1">
      <x:c r="A14" s="2"/>
      <x:c r="B14" s="2"/>
      <x:c r="C14" s="105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18" customHeight="1">
      <x:c r="A15" s="2"/>
      <x:c r="B15" s="2"/>
      <x:c r="C15" s="105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18" customHeight="1">
      <x:c r="A16" s="2"/>
      <x:c r="B16" s="2"/>
      <x:c r="C16" s="105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9" customHeight="1">
      <x:c r="A17" s="2"/>
      <x:c r="B17" s="2"/>
      <x:c r="C17" s="10" t="str">
        <x:v>2025 claim weights</x:v>
      </x:c>
      <x:c r="D17" s="25" t="str">
        <x:v>Car</x:v>
      </x:c>
      <x:c r="E17" s="25" t="str">
        <x:v>SUV / crossover</x:v>
      </x:c>
      <x:c r="F17" s="25" t="str">
        <x:v>Pickup</x:v>
      </x:c>
      <x:c r="G17" s="25" t="str">
        <x:v>Van</x:v>
      </x:c>
      <x:c r="H17" s="25" t="str">
        <x:v>Total</x:v>
      </x:c>
      <x:c r="I17" s="3"/>
      <x:c r="J17" s="3"/>
      <x:c r="K17" s="3"/>
      <x:c r="L17" s="3"/>
    </x:row>
    <x:row r="18" ht="18" customHeight="1">
      <x:c r="A18" s="2"/>
      <x:c r="B18" s="2"/>
      <x:c r="C18" s="105" t="str">
        <x:v>Current year</x:v>
      </x:c>
      <x:c r="D18" s="28" t="n">
        <x:f>SUMPRODUCT('Cohort Roll'!$F$42:$F$87,'Cohort Roll'!$O$42:$O$87,--('Cohort Roll'!$M$42:$M$87=1))</x:f>
        <x:v>1382.2</x:v>
      </x:c>
      <x:c r="E18" s="28" t="n">
        <x:f>SUMPRODUCT('Cohort Roll'!$F$88:$F$133,'Cohort Roll'!$O$88:$O$133,--('Cohort Roll'!$M$88:$M$133=1))</x:f>
        <x:v>4738.065929203539</x:v>
      </x:c>
      <x:c r="F18" s="28" t="n">
        <x:f>SUMPRODUCT('Cohort Roll'!$F$134:$F$179,'Cohort Roll'!$O$134:$O$179,--('Cohort Roll'!$M$134:$M$179=1))</x:f>
        <x:v>1262.7119469026547</x:v>
      </x:c>
      <x:c r="G18" s="28" t="n">
        <x:f>SUMPRODUCT('Cohort Roll'!$F$180:$F$225,'Cohort Roll'!$O$180:$O$225,--('Cohort Roll'!$M$180:$M$225=1))</x:f>
        <x:v>544.4721238938052</x:v>
      </x:c>
      <x:c r="H18" s="29" t="n">
        <x:f>SUM(D18:G18)</x:f>
        <x:v>7927.449999999999</x:v>
      </x:c>
      <x:c r="I18" s="3"/>
      <x:c r="J18" s="3"/>
      <x:c r="K18" s="3"/>
      <x:c r="L18" s="3"/>
    </x:row>
    <x:row r="19" ht="18" customHeight="1">
      <x:c r="A19" s="2"/>
      <x:c r="B19" s="2"/>
      <x:c r="C19" s="105" t="str">
        <x:v>1–3</x:v>
      </x:c>
      <x:c r="D19" s="28" t="n">
        <x:f>SUMPRODUCT('Cohort Roll'!$F$42:$F$87,'Cohort Roll'!$O$42:$O$87,--('Cohort Roll'!$M$42:$M$87=2))</x:f>
        <x:v>9112.803622047244</x:v>
      </x:c>
      <x:c r="E19" s="28" t="n">
        <x:f>SUMPRODUCT('Cohort Roll'!$F$88:$F$133,'Cohort Roll'!$O$88:$O$133,--('Cohort Roll'!$M$88:$M$133=2))</x:f>
        <x:v>24918.987586784442</x:v>
      </x:c>
      <x:c r="F19" s="28" t="n">
        <x:f>SUMPRODUCT('Cohort Roll'!$F$134:$F$179,'Cohort Roll'!$O$134:$O$179,--('Cohort Roll'!$M$134:$M$179=2))</x:f>
        <x:v>6641.001581808079</x:v>
      </x:c>
      <x:c r="G19" s="28" t="n">
        <x:f>SUMPRODUCT('Cohort Roll'!$F$180:$F$225,'Cohort Roll'!$O$180:$O$225,--('Cohort Roll'!$M$180:$M$225=2))</x:f>
        <x:v>2863.5511407796303</x:v>
      </x:c>
      <x:c r="H19" s="29" t="n">
        <x:f>SUM(D19:G19)</x:f>
        <x:v>43536.3439314194</x:v>
      </x:c>
      <x:c r="I19" s="3"/>
      <x:c r="J19" s="3"/>
      <x:c r="K19" s="3"/>
      <x:c r="L19" s="3"/>
    </x:row>
    <x:row r="20" ht="18" customHeight="1">
      <x:c r="A20" s="2"/>
      <x:c r="B20" s="2"/>
      <x:c r="C20" s="105" t="str">
        <x:v>4–6</x:v>
      </x:c>
      <x:c r="D20" s="28" t="n">
        <x:f>SUMPRODUCT('Cohort Roll'!$F$42:$F$87,'Cohort Roll'!$O$42:$O$87,--('Cohort Roll'!$M$42:$M$87=3))</x:f>
        <x:v>11275.306781102361</x:v>
      </x:c>
      <x:c r="E20" s="28" t="n">
        <x:f>SUMPRODUCT('Cohort Roll'!$F$88:$F$133,'Cohort Roll'!$O$88:$O$133,--('Cohort Roll'!$M$88:$M$133=3))</x:f>
        <x:v>23230.930499474012</x:v>
      </x:c>
      <x:c r="F20" s="28" t="n">
        <x:f>SUMPRODUCT('Cohort Roll'!$F$134:$F$179,'Cohort Roll'!$O$134:$O$179,--('Cohort Roll'!$M$134:$M$179=3))</x:f>
        <x:v>6191.128177121438</x:v>
      </x:c>
      <x:c r="G20" s="28" t="n">
        <x:f>SUMPRODUCT('Cohort Roll'!$F$180:$F$225,'Cohort Roll'!$O$180:$O$225,--('Cohort Roll'!$M$180:$M$225=3))</x:f>
        <x:v>2669.569030501904</x:v>
      </x:c>
      <x:c r="H20" s="29" t="n">
        <x:f>SUM(D20:G20)</x:f>
        <x:v>43366.93448819972</x:v>
      </x:c>
      <x:c r="I20" s="3"/>
      <x:c r="J20" s="3"/>
      <x:c r="K20" s="3"/>
      <x:c r="L20" s="3"/>
    </x:row>
    <x:row r="21" ht="18" customHeight="1">
      <x:c r="A21" s="2"/>
      <x:c r="B21" s="2"/>
      <x:c r="C21" s="105" t="str">
        <x:v>7–9</x:v>
      </x:c>
      <x:c r="D21" s="28" t="n">
        <x:f>SUMPRODUCT('Cohort Roll'!$F$42:$F$87,'Cohort Roll'!$O$42:$O$87,--('Cohort Roll'!$M$42:$M$87=4))</x:f>
        <x:v>14485.528835435793</x:v>
      </x:c>
      <x:c r="E21" s="28" t="n">
        <x:f>SUMPRODUCT('Cohort Roll'!$F$88:$F$133,'Cohort Roll'!$O$88:$O$133,--('Cohort Roll'!$M$88:$M$133=4))</x:f>
        <x:v>17545.630420672118</x:v>
      </x:c>
      <x:c r="F21" s="28" t="n">
        <x:f>SUMPRODUCT('Cohort Roll'!$F$134:$F$179,'Cohort Roll'!$O$134:$O$179,--('Cohort Roll'!$M$134:$M$179=4))</x:f>
        <x:v>4675.974855386946</x:v>
      </x:c>
      <x:c r="G21" s="28" t="n">
        <x:f>SUMPRODUCT('Cohort Roll'!$F$180:$F$225,'Cohort Roll'!$O$180:$O$225,--('Cohort Roll'!$M$180:$M$225=4))</x:f>
        <x:v>2016.2460385613433</x:v>
      </x:c>
      <x:c r="H21" s="29" t="n">
        <x:f>SUM(D21:G21)</x:f>
        <x:v>38723.3801500562</x:v>
      </x:c>
      <x:c r="I21" s="3"/>
      <x:c r="J21" s="3"/>
      <x:c r="K21" s="3"/>
      <x:c r="L21" s="3"/>
    </x:row>
    <x:row r="22" ht="18" customHeight="1">
      <x:c r="A22" s="2"/>
      <x:c r="B22" s="2"/>
      <x:c r="C22" s="105" t="str">
        <x:v>10–12</x:v>
      </x:c>
      <x:c r="D22" s="28" t="n">
        <x:f>SUMPRODUCT('Cohort Roll'!$F$42:$F$87,'Cohort Roll'!$O$42:$O$87,--('Cohort Roll'!$M$42:$M$87=5))</x:f>
        <x:v>13149.55046274983</x:v>
      </x:c>
      <x:c r="E22" s="28" t="n">
        <x:f>SUMPRODUCT('Cohort Roll'!$F$88:$F$133,'Cohort Roll'!$O$88:$O$133,--('Cohort Roll'!$M$88:$M$133=5))</x:f>
        <x:v>9434.696920865772</x:v>
      </x:c>
      <x:c r="F22" s="28" t="n">
        <x:f>SUMPRODUCT('Cohort Roll'!$F$134:$F$179,'Cohort Roll'!$O$134:$O$179,--('Cohort Roll'!$M$134:$M$179=5))</x:f>
        <x:v>2514.3813309886773</x:v>
      </x:c>
      <x:c r="G22" s="28" t="n">
        <x:f>SUMPRODUCT('Cohort Roll'!$F$180:$F$225,'Cohort Roll'!$O$180:$O$225,--('Cohort Roll'!$M$180:$M$225=5))</x:f>
        <x:v>1084.1827757474114</x:v>
      </x:c>
      <x:c r="H22" s="29" t="n">
        <x:f>SUM(D22:G22)</x:f>
        <x:v>26182.811490351694</x:v>
      </x:c>
      <x:c r="I22" s="3"/>
      <x:c r="J22" s="3"/>
      <x:c r="K22" s="3"/>
      <x:c r="L22" s="3"/>
    </x:row>
    <x:row r="23" ht="18" customHeight="1">
      <x:c r="A23" s="2"/>
      <x:c r="B23" s="2"/>
      <x:c r="C23" s="105" t="str">
        <x:v>13+</x:v>
      </x:c>
      <x:c r="D23" s="28" t="n">
        <x:f>SUMPRODUCT('Cohort Roll'!$F$42:$F$87,'Cohort Roll'!$O$42:$O$87,--('Cohort Roll'!$M$42:$M$87=6))</x:f>
        <x:v>17801.201756888673</x:v>
      </x:c>
      <x:c r="E23" s="28" t="n">
        <x:f>SUMPRODUCT('Cohort Roll'!$F$88:$F$133,'Cohort Roll'!$O$88:$O$133,--('Cohort Roll'!$M$88:$M$133=6))</x:f>
        <x:v>11626.54994531965</x:v>
      </x:c>
      <x:c r="F23" s="28" t="n">
        <x:f>SUMPRODUCT('Cohort Roll'!$F$134:$F$179,'Cohort Roll'!$O$134:$O$179,--('Cohort Roll'!$M$134:$M$179=6))</x:f>
        <x:v>3098.518200586411</x:v>
      </x:c>
      <x:c r="G23" s="28" t="n">
        <x:f>SUMPRODUCT('Cohort Roll'!$F$180:$F$225,'Cohort Roll'!$O$180:$O$225,--('Cohort Roll'!$M$180:$M$225=6))</x:f>
        <x:v>1336.0583066748745</x:v>
      </x:c>
      <x:c r="H23" s="29" t="n">
        <x:f>SUM(D23:G23)</x:f>
        <x:v>33862.32820946961</x:v>
      </x:c>
      <x:c r="I23" s="3"/>
      <x:c r="J23" s="3"/>
      <x:c r="K23" s="3"/>
      <x:c r="L23" s="3"/>
    </x:row>
    <x:row r="24" ht="18" customHeight="1">
      <x:c r="A24" s="2"/>
      <x:c r="B24" s="2"/>
      <x:c r="C24" s="105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28" customHeight="1">
      <x:c r="A25" s="2"/>
      <x:c r="B25" s="2"/>
      <x:c r="C25" s="6" t="str">
        <x:v>P(body, bucket) = NORMDIST(common index − body offset, 0, 1, TRUE). Weighted mean equals the CCC2025 target using modeled 2025 claim exposures.</x:v>
      </x:c>
      <x:c r="D25" s="21"/>
      <x:c r="E25" s="21"/>
      <x:c r="F25" s="21"/>
      <x:c r="G25" s="21"/>
      <x:c r="H25" s="21"/>
      <x:c r="I25" s="21"/>
      <x:c r="J25" s="21"/>
      <x:c r="K25" s="21"/>
      <x:c r="L25" s="3"/>
    </x:row>
    <x:row r="26" ht="18" customHeight="1">
      <x:c r="A26" s="2"/>
      <x:c r="B26" s="2"/>
      <x:c r="C26" s="105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18" customHeight="1">
      <x:c r="A27" s="2"/>
      <x:c r="B27" s="2"/>
      <x:c r="C27" s="105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1" customHeight="1">
      <x:c r="A28" s="2"/>
      <x:c r="B28" s="2"/>
      <x:c r="C28" s="10" t="str">
        <x:v>Current year: bisection solve</x:v>
      </x:c>
      <x:c r="D28" s="19"/>
      <x:c r="E28" s="19"/>
      <x:c r="F28" s="19"/>
      <x:c r="G28" s="19"/>
      <x:c r="H28" s="19"/>
      <x:c r="I28" s="19"/>
      <x:c r="J28" s="19"/>
      <x:c r="K28" s="19"/>
      <x:c r="L28" s="19"/>
    </x:row>
    <x:row r="29" ht="29" customHeight="1">
      <x:c r="A29" s="2"/>
      <x:c r="B29" s="2"/>
      <x:c r="C29" s="10" t="str">
        <x:v>Iteration</x:v>
      </x:c>
      <x:c r="D29" s="25" t="str">
        <x:v>Lower</x:v>
      </x:c>
      <x:c r="E29" s="25" t="str">
        <x:v>Upper</x:v>
      </x:c>
      <x:c r="F29" s="25" t="str">
        <x:v>Index</x:v>
      </x:c>
      <x:c r="G29" s="25" t="str">
        <x:v>Car P</x:v>
      </x:c>
      <x:c r="H29" s="25" t="str">
        <x:v>SUV P</x:v>
      </x:c>
      <x:c r="I29" s="25" t="str">
        <x:v>Pickup P</x:v>
      </x:c>
      <x:c r="J29" s="25" t="str">
        <x:v>Van P</x:v>
      </x:c>
      <x:c r="K29" s="25" t="str">
        <x:v>Weighted P</x:v>
      </x:c>
      <x:c r="L29" s="25" t="str">
        <x:v>Target</x:v>
      </x:c>
    </x:row>
    <x:row r="30" ht="18" customHeight="1">
      <x:c r="A30" s="2"/>
      <x:c r="B30" s="2"/>
      <x:c r="C30" s="105" t="n">
        <x:v>1</x:v>
      </x:c>
      <x:c r="D30" s="52" t="n">
        <x:v>-8</x:v>
      </x:c>
      <x:c r="E30" s="52" t="n">
        <x:v>8</x:v>
      </x:c>
      <x:c r="F30" s="53" t="n">
        <x:f>(D30+E30)/2</x:f>
        <x:v>0</x:v>
      </x:c>
      <x:c r="G30" s="54" t="n">
        <x:f>NORMDIST($F30-'Vehicle Economics'!$D$16,0,1,TRUE)</x:f>
        <x:v>0.5</x:v>
      </x:c>
      <x:c r="H30" s="54" t="n">
        <x:f>NORMDIST($F30-'Vehicle Economics'!$E$16,0,1,TRUE)</x:f>
        <x:v>0.3997792773780073</x:v>
      </x:c>
      <x:c r="I30" s="54" t="n">
        <x:f>NORMDIST($F30-'Vehicle Economics'!$F$16,0,1,TRUE)</x:f>
        <x:v>0.4656049360893372</x:v>
      </x:c>
      <x:c r="J30" s="54" t="n">
        <x:f>NORMDIST($F30-'Vehicle Economics'!$G$16,0,1,TRUE)</x:f>
        <x:v>0.3934551210988128</x:v>
      </x:c>
      <x:c r="K30" s="53" t="n">
        <x:f>SUMPRODUCT(G30:J30,$D$18:$G$18)/$H$18</x:f>
        <x:v>0.4273039671173916</x:v>
      </x:c>
      <x:c r="L30" s="54" t="n">
        <x:f>'AD Fees &amp; TLF'!$D$6</x:f>
        <x:v>0.096</x:v>
      </x:c>
    </x:row>
    <x:row r="31" ht="18" customHeight="1">
      <x:c r="A31" s="2"/>
      <x:c r="B31" s="2"/>
      <x:c r="C31" s="105" t="n">
        <x:v>2</x:v>
      </x:c>
      <x:c r="D31" s="53" t="n">
        <x:f>IF(K30&lt;L30,F30,D30)</x:f>
        <x:v>-8</x:v>
      </x:c>
      <x:c r="E31" s="53" t="n">
        <x:f>IF(K30&lt;L30,E30,F30)</x:f>
        <x:v>0</x:v>
      </x:c>
      <x:c r="F31" s="53" t="n">
        <x:f>(D31+E31)/2</x:f>
        <x:v>-4</x:v>
      </x:c>
      <x:c r="G31" s="54" t="n">
        <x:f>NORMDIST($F31-'Vehicle Economics'!$D$16,0,1,TRUE)</x:f>
        <x:v>0.00003167124183311998</x:v>
      </x:c>
      <x:c r="H31" s="54" t="n">
        <x:f>NORMDIST($F31-'Vehicle Economics'!$E$16,0,1,TRUE)</x:f>
        <x:v>0.000010503091136260245</x:v>
      </x:c>
      <x:c r="I31" s="54" t="n">
        <x:f>NORMDIST($F31-'Vehicle Economics'!$F$16,0,1,TRUE)</x:f>
        <x:v>0.000021913203029577666</x:v>
      </x:c>
      <x:c r="J31" s="54" t="n">
        <x:f>NORMDIST($F31-'Vehicle Economics'!$G$16,0,1,TRUE)</x:f>
        <x:v>0.00000975941677439085</x:v>
      </x:c>
      <x:c r="K31" s="53" t="n">
        <x:f>SUMPRODUCT(G31:J31,$D$18:$G$18)/$H$18</x:f>
        <x:v>0.00001596025485688858</x:v>
      </x:c>
      <x:c r="L31" s="54" t="n">
        <x:f>'AD Fees &amp; TLF'!$D$6</x:f>
        <x:v>0.096</x:v>
      </x:c>
    </x:row>
    <x:row r="32" ht="18" customHeight="1">
      <x:c r="A32" s="2"/>
      <x:c r="B32" s="2"/>
      <x:c r="C32" s="105" t="n">
        <x:v>3</x:v>
      </x:c>
      <x:c r="D32" s="53" t="n">
        <x:f>IF(K31&lt;L31,F31,D31)</x:f>
        <x:v>-4</x:v>
      </x:c>
      <x:c r="E32" s="53" t="n">
        <x:f>IF(K31&lt;L31,E31,F31)</x:f>
        <x:v>0</x:v>
      </x:c>
      <x:c r="F32" s="53" t="n">
        <x:f>(D32+E32)/2</x:f>
        <x:v>-2</x:v>
      </x:c>
      <x:c r="G32" s="54" t="n">
        <x:f>NORMDIST($F32-'Vehicle Economics'!$D$16,0,1,TRUE)</x:f>
        <x:v>0.02275013194817921</x:v>
      </x:c>
      <x:c r="H32" s="54" t="n">
        <x:f>NORMDIST($F32-'Vehicle Economics'!$E$16,0,1,TRUE)</x:f>
        <x:v>0.012100649135212083</x:v>
      </x:c>
      <x:c r="I32" s="54" t="n">
        <x:f>NORMDIST($F32-'Vehicle Economics'!$F$16,0,1,TRUE)</x:f>
        <x:v>0.018474699658395266</x:v>
      </x:c>
      <x:c r="J32" s="54" t="n">
        <x:f>NORMDIST($F32-'Vehicle Economics'!$G$16,0,1,TRUE)</x:f>
        <x:v>0.011593935975388714</x:v>
      </x:c>
      <x:c r="K32" s="53" t="n">
        <x:f>SUMPRODUCT(G32:J32,$D$18:$G$18)/$H$18</x:f>
        <x:v>0.014937931451661094</x:v>
      </x:c>
      <x:c r="L32" s="54" t="n">
        <x:f>'AD Fees &amp; TLF'!$D$6</x:f>
        <x:v>0.096</x:v>
      </x:c>
    </x:row>
    <x:row r="33" ht="18" customHeight="1">
      <x:c r="A33" s="2"/>
      <x:c r="B33" s="2"/>
      <x:c r="C33" s="105" t="n">
        <x:v>4</x:v>
      </x:c>
      <x:c r="D33" s="53" t="n">
        <x:f>IF(K32&lt;L32,F32,D32)</x:f>
        <x:v>-2</x:v>
      </x:c>
      <x:c r="E33" s="53" t="n">
        <x:f>IF(K32&lt;L32,E32,F32)</x:f>
        <x:v>0</x:v>
      </x:c>
      <x:c r="F33" s="53" t="n">
        <x:f>(D33+E33)/2</x:f>
        <x:v>-1</x:v>
      </x:c>
      <x:c r="G33" s="54" t="n">
        <x:f>NORMDIST($F33-'Vehicle Economics'!$D$16,0,1,TRUE)</x:f>
        <x:v>0.15865525393145707</x:v>
      </x:c>
      <x:c r="H33" s="54" t="n">
        <x:f>NORMDIST($F33-'Vehicle Economics'!$E$16,0,1,TRUE)</x:f>
        <x:v>0.10493582268156831</x:v>
      </x:c>
      <x:c r="I33" s="54" t="n">
        <x:f>NORMDIST($F33-'Vehicle Economics'!$F$16,0,1,TRUE)</x:f>
        <x:v>0.13866811769162857</x:v>
      </x:c>
      <x:c r="J33" s="54" t="n">
        <x:f>NORMDIST($F33-'Vehicle Economics'!$G$16,0,1,TRUE)</x:f>
        <x:v>0.1019844452045599</x:v>
      </x:c>
      <x:c r="K33" s="53" t="n">
        <x:f>SUMPRODUCT(G33:J33,$D$18:$G$18)/$H$18</x:f>
        <x:v>0.11947242991541086</x:v>
      </x:c>
      <x:c r="L33" s="54" t="n">
        <x:f>'AD Fees &amp; TLF'!$D$6</x:f>
        <x:v>0.096</x:v>
      </x:c>
    </x:row>
    <x:row r="34" ht="18" customHeight="1">
      <x:c r="A34" s="2"/>
      <x:c r="B34" s="2"/>
      <x:c r="C34" s="105" t="n">
        <x:v>5</x:v>
      </x:c>
      <x:c r="D34" s="53" t="n">
        <x:f>IF(K33&lt;L33,F33,D33)</x:f>
        <x:v>-2</x:v>
      </x:c>
      <x:c r="E34" s="53" t="n">
        <x:f>IF(K33&lt;L33,E33,F33)</x:f>
        <x:v>-1</x:v>
      </x:c>
      <x:c r="F34" s="53" t="n">
        <x:f>(D34+E34)/2</x:f>
        <x:v>-1.5</x:v>
      </x:c>
      <x:c r="G34" s="54" t="n">
        <x:f>NORMDIST($F34-'Vehicle Economics'!$D$16,0,1,TRUE)</x:f>
        <x:v>0.06680720126885809</x:v>
      </x:c>
      <x:c r="H34" s="54" t="n">
        <x:f>NORMDIST($F34-'Vehicle Economics'!$E$16,0,1,TRUE)</x:f>
        <x:v>0.0397222401841727</x:v>
      </x:c>
      <x:c r="I34" s="54" t="n">
        <x:f>NORMDIST($F34-'Vehicle Economics'!$F$16,0,1,TRUE)</x:f>
        <x:v>0.05633305965342145</x:v>
      </x:c>
      <x:c r="J34" s="54" t="n">
        <x:f>NORMDIST($F34-'Vehicle Economics'!$G$16,0,1,TRUE)</x:f>
        <x:v>0.03833650876600514</x:v>
      </x:c>
      <x:c r="K34" s="53" t="n">
        <x:f>SUMPRODUCT(G34:J34,$D$18:$G$18)/$H$18</x:f>
        <x:v>0.04699532563718971</x:v>
      </x:c>
      <x:c r="L34" s="54" t="n">
        <x:f>'AD Fees &amp; TLF'!$D$6</x:f>
        <x:v>0.096</x:v>
      </x:c>
    </x:row>
    <x:row r="35" ht="18" customHeight="1">
      <x:c r="A35" s="2"/>
      <x:c r="B35" s="2"/>
      <x:c r="C35" s="105" t="n">
        <x:v>6</x:v>
      </x:c>
      <x:c r="D35" s="53" t="n">
        <x:f>IF(K34&lt;L34,F34,D34)</x:f>
        <x:v>-1.5</x:v>
      </x:c>
      <x:c r="E35" s="53" t="n">
        <x:f>IF(K34&lt;L34,E34,F34)</x:f>
        <x:v>-1</x:v>
      </x:c>
      <x:c r="F35" s="53" t="n">
        <x:f>(D35+E35)/2</x:f>
        <x:v>-1.25</x:v>
      </x:c>
      <x:c r="G35" s="54" t="n">
        <x:f>NORMDIST($F35-'Vehicle Economics'!$D$16,0,1,TRUE)</x:f>
        <x:v>0.10564977366685524</x:v>
      </x:c>
      <x:c r="H35" s="54" t="n">
        <x:f>NORMDIST($F35-'Vehicle Economics'!$E$16,0,1,TRUE)</x:f>
        <x:v>0.06630118190089407</x:v>
      </x:c>
      <x:c r="I35" s="54" t="n">
        <x:f>NORMDIST($F35-'Vehicle Economics'!$F$16,0,1,TRUE)</x:f>
        <x:v>0.09072190555301102</x:v>
      </x:c>
      <x:c r="J35" s="54" t="n">
        <x:f>NORMDIST($F35-'Vehicle Economics'!$G$16,0,1,TRUE)</x:f>
        <x:v>0.0642146582620311</x:v>
      </x:c>
      <x:c r="K35" s="53" t="n">
        <x:f>SUMPRODUCT(G35:J35,$D$18:$G$18)/$H$18</x:f>
        <x:v>0.07690836442355162</x:v>
      </x:c>
      <x:c r="L35" s="54" t="n">
        <x:f>'AD Fees &amp; TLF'!$D$6</x:f>
        <x:v>0.096</x:v>
      </x:c>
    </x:row>
    <x:row r="36" ht="18" customHeight="1">
      <x:c r="A36" s="2"/>
      <x:c r="B36" s="2"/>
      <x:c r="C36" s="105" t="n">
        <x:v>7</x:v>
      </x:c>
      <x:c r="D36" s="53" t="n">
        <x:f>IF(K35&lt;L35,F35,D35)</x:f>
        <x:v>-1.25</x:v>
      </x:c>
      <x:c r="E36" s="53" t="n">
        <x:f>IF(K35&lt;L35,E35,F35)</x:f>
        <x:v>-1</x:v>
      </x:c>
      <x:c r="F36" s="53" t="n">
        <x:f>(D36+E36)/2</x:f>
        <x:v>-1.125</x:v>
      </x:c>
      <x:c r="G36" s="54" t="n">
        <x:f>NORMDIST($F36-'Vehicle Economics'!$D$16,0,1,TRUE)</x:f>
        <x:v>0.13029451713680884</x:v>
      </x:c>
      <x:c r="H36" s="54" t="n">
        <x:f>NORMDIST($F36-'Vehicle Economics'!$E$16,0,1,TRUE)</x:f>
        <x:v>0.08395994826693248</x:v>
      </x:c>
      <x:c r="I36" s="54" t="n">
        <x:f>NORMDIST($F36-'Vehicle Economics'!$F$16,0,1,TRUE)</x:f>
        <x:v>0.11288587084203644</x:v>
      </x:c>
      <x:c r="J36" s="54" t="n">
        <x:f>NORMDIST($F36-'Vehicle Economics'!$G$16,0,1,TRUE)</x:f>
        <x:v>0.08145892988591552</x:v>
      </x:c>
      <x:c r="K36" s="53" t="n">
        <x:f>SUMPRODUCT(G36:J36,$D$18:$G$18)/$H$18</x:f>
        <x:v>0.0964743147167869</x:v>
      </x:c>
      <x:c r="L36" s="54" t="n">
        <x:f>'AD Fees &amp; TLF'!$D$6</x:f>
        <x:v>0.096</x:v>
      </x:c>
    </x:row>
    <x:row r="37" ht="18" customHeight="1">
      <x:c r="A37" s="2"/>
      <x:c r="B37" s="2"/>
      <x:c r="C37" s="105" t="n">
        <x:v>8</x:v>
      </x:c>
      <x:c r="D37" s="53" t="n">
        <x:f>IF(K36&lt;L36,F36,D36)</x:f>
        <x:v>-1.25</x:v>
      </x:c>
      <x:c r="E37" s="53" t="n">
        <x:f>IF(K36&lt;L36,E36,F36)</x:f>
        <x:v>-1.125</x:v>
      </x:c>
      <x:c r="F37" s="53" t="n">
        <x:f>(D37+E37)/2</x:f>
        <x:v>-1.1875</x:v>
      </x:c>
      <x:c r="G37" s="54" t="n">
        <x:f>NORMDIST($F37-'Vehicle Economics'!$D$16,0,1,TRUE)</x:f>
        <x:v>0.11751522829321415</x:v>
      </x:c>
      <x:c r="H37" s="54" t="n">
        <x:f>NORMDIST($F37-'Vehicle Economics'!$E$16,0,1,TRUE)</x:f>
        <x:v>0.07473324939755749</x:v>
      </x:c>
      <x:c r="I37" s="54" t="n">
        <x:f>NORMDIST($F37-'Vehicle Economics'!$F$16,0,1,TRUE)</x:f>
        <x:v>0.10136312435609424</x:v>
      </x:c>
      <x:c r="J37" s="54" t="n">
        <x:f>NORMDIST($F37-'Vehicle Economics'!$G$16,0,1,TRUE)</x:f>
        <x:v>0.07244439424982702</x:v>
      </x:c>
      <x:c r="K37" s="53" t="n">
        <x:f>SUMPRODUCT(G37:J37,$D$18:$G$18)/$H$18</x:f>
        <x:v>0.08627704906336109</x:v>
      </x:c>
      <x:c r="L37" s="54" t="n">
        <x:f>'AD Fees &amp; TLF'!$D$6</x:f>
        <x:v>0.096</x:v>
      </x:c>
    </x:row>
    <x:row r="38" ht="18" customHeight="1">
      <x:c r="A38" s="2"/>
      <x:c r="B38" s="2"/>
      <x:c r="C38" s="105" t="n">
        <x:v>9</x:v>
      </x:c>
      <x:c r="D38" s="53" t="n">
        <x:f>IF(K37&lt;L37,F37,D37)</x:f>
        <x:v>-1.1875</x:v>
      </x:c>
      <x:c r="E38" s="53" t="n">
        <x:f>IF(K37&lt;L37,E37,F37)</x:f>
        <x:v>-1.125</x:v>
      </x:c>
      <x:c r="F38" s="53" t="n">
        <x:f>(D38+E38)/2</x:f>
        <x:v>-1.15625</x:v>
      </x:c>
      <x:c r="G38" s="54" t="n">
        <x:f>NORMDIST($F38-'Vehicle Economics'!$D$16,0,1,TRUE)</x:f>
        <x:v>0.1237894567516944</x:v>
      </x:c>
      <x:c r="H38" s="54" t="n">
        <x:f>NORMDIST($F38-'Vehicle Economics'!$E$16,0,1,TRUE)</x:f>
        <x:v>0.0792449735491082</x:v>
      </x:c>
      <x:c r="I38" s="54" t="n">
        <x:f>NORMDIST($F38-'Vehicle Economics'!$F$16,0,1,TRUE)</x:f>
        <x:v>0.10701266254377984</x:v>
      </x:c>
      <x:c r="J38" s="54" t="n">
        <x:f>NORMDIST($F38-'Vehicle Economics'!$G$16,0,1,TRUE)</x:f>
        <x:v>0.07685121882012469</x:v>
      </x:c>
      <x:c r="K38" s="53" t="n">
        <x:f>SUMPRODUCT(G38:J38,$D$18:$G$18)/$H$18</x:f>
        <x:v>0.09127010705265516</x:v>
      </x:c>
      <x:c r="L38" s="54" t="n">
        <x:f>'AD Fees &amp; TLF'!$D$6</x:f>
        <x:v>0.096</x:v>
      </x:c>
    </x:row>
    <x:row r="39" ht="18" customHeight="1">
      <x:c r="A39" s="2"/>
      <x:c r="B39" s="2"/>
      <x:c r="C39" s="105" t="n">
        <x:v>10</x:v>
      </x:c>
      <x:c r="D39" s="53" t="n">
        <x:f>IF(K38&lt;L38,F38,D38)</x:f>
        <x:v>-1.15625</x:v>
      </x:c>
      <x:c r="E39" s="53" t="n">
        <x:f>IF(K38&lt;L38,E38,F38)</x:f>
        <x:v>-1.125</x:v>
      </x:c>
      <x:c r="F39" s="53" t="n">
        <x:f>(D39+E39)/2</x:f>
        <x:v>-1.140625</x:v>
      </x:c>
      <x:c r="G39" s="54" t="n">
        <x:f>NORMDIST($F39-'Vehicle Economics'!$D$16,0,1,TRUE)</x:f>
        <x:v>0.12701300457250825</x:v>
      </x:c>
      <x:c r="H39" s="54" t="n">
        <x:f>NORMDIST($F39-'Vehicle Economics'!$E$16,0,1,TRUE)</x:f>
        <x:v>0.0815767779265868</x:v>
      </x:c>
      <x:c r="I39" s="54" t="n">
        <x:f>NORMDIST($F39-'Vehicle Economics'!$F$16,0,1,TRUE)</x:f>
        <x:v>0.10992111922305314</x:v>
      </x:c>
      <x:c r="J39" s="54" t="n">
        <x:f>NORMDIST($F39-'Vehicle Economics'!$G$16,0,1,TRUE)</x:f>
        <x:v>0.07912968039081691</x:v>
      </x:c>
      <x:c r="K39" s="53" t="n">
        <x:f>SUMPRODUCT(G39:J39,$D$18:$G$18)/$H$18</x:f>
        <x:v>0.09384557993220666</x:v>
      </x:c>
      <x:c r="L39" s="54" t="n">
        <x:f>'AD Fees &amp; TLF'!$D$6</x:f>
        <x:v>0.096</x:v>
      </x:c>
    </x:row>
    <x:row r="40" ht="18" customHeight="1">
      <x:c r="A40" s="2"/>
      <x:c r="B40" s="2"/>
      <x:c r="C40" s="105" t="n">
        <x:v>11</x:v>
      </x:c>
      <x:c r="D40" s="53" t="n">
        <x:f>IF(K39&lt;L39,F39,D39)</x:f>
        <x:v>-1.140625</x:v>
      </x:c>
      <x:c r="E40" s="53" t="n">
        <x:f>IF(K39&lt;L39,E39,F39)</x:f>
        <x:v>-1.125</x:v>
      </x:c>
      <x:c r="F40" s="53" t="n">
        <x:f>(D40+E40)/2</x:f>
        <x:v>-1.1328125</x:v>
      </x:c>
      <x:c r="G40" s="54" t="n">
        <x:f>NORMDIST($F40-'Vehicle Economics'!$D$16,0,1,TRUE)</x:f>
        <x:v>0.12864650051231113</x:v>
      </x:c>
      <x:c r="H40" s="54" t="n">
        <x:f>NORMDIST($F40-'Vehicle Economics'!$E$16,0,1,TRUE)</x:f>
        <x:v>0.0827619084737986</x:v>
      </x:c>
      <x:c r="I40" s="54" t="n">
        <x:f>NORMDIST($F40-'Vehicle Economics'!$F$16,0,1,TRUE)</x:f>
        <x:v>0.11139643568209245</x:v>
      </x:c>
      <x:c r="J40" s="54" t="n">
        <x:f>NORMDIST($F40-'Vehicle Economics'!$G$16,0,1,TRUE)</x:f>
        <x:v>0.08028792191973694</x:v>
      </x:c>
      <x:c r="K40" s="53" t="n">
        <x:f>SUMPRODUCT(G40:J40,$D$18:$G$18)/$H$18</x:f>
        <x:v>0.0951532608004458</x:v>
      </x:c>
      <x:c r="L40" s="54" t="n">
        <x:f>'AD Fees &amp; TLF'!$D$6</x:f>
        <x:v>0.096</x:v>
      </x:c>
    </x:row>
    <x:row r="41" ht="18" customHeight="1">
      <x:c r="A41" s="2"/>
      <x:c r="B41" s="2"/>
      <x:c r="C41" s="2" t="n">
        <x:v>12</x:v>
      </x:c>
      <x:c r="D41" s="53" t="n">
        <x:f>IF(K40&lt;L40,F40,D40)</x:f>
        <x:v>-1.1328125</x:v>
      </x:c>
      <x:c r="E41" s="53" t="n">
        <x:f>IF(K40&lt;L40,E40,F40)</x:f>
        <x:v>-1.125</x:v>
      </x:c>
      <x:c r="F41" s="53" t="n">
        <x:f>(D41+E41)/2</x:f>
        <x:v>-1.12890625</x:v>
      </x:c>
      <x:c r="G41" s="54" t="n">
        <x:f>NORMDIST($F41-'Vehicle Economics'!$D$16,0,1,TRUE)</x:f>
        <x:v>0.12946869197799077</x:v>
      </x:c>
      <x:c r="H41" s="54" t="n">
        <x:f>NORMDIST($F41-'Vehicle Economics'!$E$16,0,1,TRUE)</x:f>
        <x:v>0.0833593105257443</x:v>
      </x:c>
      <x:c r="I41" s="54" t="n">
        <x:f>NORMDIST($F41-'Vehicle Economics'!$F$16,0,1,TRUE)</x:f>
        <x:v>0.11213938568485188</x:v>
      </x:c>
      <x:c r="J41" s="54" t="n">
        <x:f>NORMDIST($F41-'Vehicle Economics'!$G$16,0,1,TRUE)</x:f>
        <x:v>0.08087182580051666</x:v>
      </x:c>
      <x:c r="K41" s="53" t="n">
        <x:f>SUMPRODUCT(G41:J41,$D$18:$G$18)/$H$18</x:f>
        <x:v>0.09581211258541777</x:v>
      </x:c>
      <x:c r="L41" s="54" t="n">
        <x:f>'AD Fees &amp; TLF'!$D$6</x:f>
        <x:v>0.096</x:v>
      </x:c>
    </x:row>
    <x:row r="42" ht="18" customHeight="1">
      <x:c r="A42" s="2"/>
      <x:c r="B42" s="2"/>
      <x:c r="C42" s="2" t="n">
        <x:v>13</x:v>
      </x:c>
      <x:c r="D42" s="53" t="n">
        <x:f>IF(K41&lt;L41,F41,D41)</x:f>
        <x:v>-1.12890625</x:v>
      </x:c>
      <x:c r="E42" s="53" t="n">
        <x:f>IF(K41&lt;L41,E41,F41)</x:f>
        <x:v>-1.125</x:v>
      </x:c>
      <x:c r="F42" s="53" t="n">
        <x:f>(D42+E42)/2</x:f>
        <x:v>-1.126953125</x:v>
      </x:c>
      <x:c r="G42" s="54" t="n">
        <x:f>NORMDIST($F42-'Vehicle Economics'!$D$16,0,1,TRUE)</x:f>
        <x:v>0.129881150130851</x:v>
      </x:c>
      <x:c r="H42" s="54" t="n">
        <x:f>NORMDIST($F42-'Vehicle Economics'!$E$16,0,1,TRUE)</x:f>
        <x:v>0.08365922441449175</x:v>
      </x:c>
      <x:c r="I42" s="54" t="n">
        <x:f>NORMDIST($F42-'Vehicle Economics'!$F$16,0,1,TRUE)</x:f>
        <x:v>0.11251218603116703</x:v>
      </x:c>
      <x:c r="J42" s="54" t="n">
        <x:f>NORMDIST($F42-'Vehicle Economics'!$G$16,0,1,TRUE)</x:f>
        <x:v>0.08116497728319683</x:v>
      </x:c>
      <x:c r="K42" s="53" t="n">
        <x:f>SUMPRODUCT(G42:J42,$D$18:$G$18)/$H$18</x:f>
        <x:v>0.09614279441858628</x:v>
      </x:c>
      <x:c r="L42" s="54" t="n">
        <x:f>'AD Fees &amp; TLF'!$D$6</x:f>
        <x:v>0.096</x:v>
      </x:c>
    </x:row>
    <x:row r="43" ht="18" customHeight="1">
      <x:c r="A43" s="2"/>
      <x:c r="B43" s="2"/>
      <x:c r="C43" s="2" t="n">
        <x:v>14</x:v>
      </x:c>
      <x:c r="D43" s="53" t="n">
        <x:f>IF(K42&lt;L42,F42,D42)</x:f>
        <x:v>-1.12890625</x:v>
      </x:c>
      <x:c r="E43" s="53" t="n">
        <x:f>IF(K42&lt;L42,E42,F42)</x:f>
        <x:v>-1.126953125</x:v>
      </x:c>
      <x:c r="F43" s="53" t="n">
        <x:f>(D43+E43)/2</x:f>
        <x:v>-1.1279296875</x:v>
      </x:c>
      <x:c r="G43" s="54" t="n">
        <x:f>NORMDIST($F43-'Vehicle Economics'!$D$16,0,1,TRUE)</x:f>
        <x:v>0.1296748074744133</x:v>
      </x:c>
      <x:c r="H43" s="54" t="n">
        <x:f>NORMDIST($F43-'Vehicle Economics'!$E$16,0,1,TRUE)</x:f>
        <x:v>0.08350916628961147</x:v>
      </x:c>
      <x:c r="I43" s="54" t="n">
        <x:f>NORMDIST($F43-'Vehicle Economics'!$F$16,0,1,TRUE)</x:f>
        <x:v>0.11232567534198606</x:v>
      </x:c>
      <x:c r="J43" s="54" t="n">
        <x:f>NORMDIST($F43-'Vehicle Economics'!$G$16,0,1,TRUE)</x:f>
        <x:v>0.08101830146853267</x:v>
      </x:c>
      <x:c r="K43" s="53" t="n">
        <x:f>SUMPRODUCT(G43:J43,$D$18:$G$18)/$H$18</x:f>
        <x:v>0.09597734874861528</x:v>
      </x:c>
      <x:c r="L43" s="54" t="n">
        <x:f>'AD Fees &amp; TLF'!$D$6</x:f>
        <x:v>0.096</x:v>
      </x:c>
    </x:row>
    <x:row r="44" ht="18" customHeight="1">
      <x:c r="A44" s="2"/>
      <x:c r="B44" s="2"/>
      <x:c r="C44" s="2" t="n">
        <x:v>15</x:v>
      </x:c>
      <x:c r="D44" s="53" t="n">
        <x:f>IF(K43&lt;L43,F43,D43)</x:f>
        <x:v>-1.1279296875</x:v>
      </x:c>
      <x:c r="E44" s="53" t="n">
        <x:f>IF(K43&lt;L43,E43,F43)</x:f>
        <x:v>-1.126953125</x:v>
      </x:c>
      <x:c r="F44" s="53" t="n">
        <x:f>(D44+E44)/2</x:f>
        <x:v>-1.12744140625</x:v>
      </x:c>
      <x:c r="G44" s="54" t="n">
        <x:f>NORMDIST($F44-'Vehicle Economics'!$D$16,0,1,TRUE)</x:f>
        <x:v>0.12977795040428686</x:v>
      </x:c>
      <x:c r="H44" s="54" t="n">
        <x:f>NORMDIST($F44-'Vehicle Economics'!$E$16,0,1,TRUE)</x:f>
        <x:v>0.08358417004879731</x:v>
      </x:c>
      <x:c r="I44" s="54" t="n">
        <x:f>NORMDIST($F44-'Vehicle Economics'!$F$16,0,1,TRUE)</x:f>
        <x:v>0.1124189030523024</x:v>
      </x:c>
      <x:c r="J44" s="54" t="n">
        <x:f>NORMDIST($F44-'Vehicle Economics'!$G$16,0,1,TRUE)</x:f>
        <x:v>0.08109161434919088</x:v>
      </x:c>
      <x:c r="K44" s="53" t="n">
        <x:f>SUMPRODUCT(G44:J44,$D$18:$G$18)/$H$18</x:f>
        <x:v>0.09606004538840128</x:v>
      </x:c>
      <x:c r="L44" s="54" t="n">
        <x:f>'AD Fees &amp; TLF'!$D$6</x:f>
        <x:v>0.096</x:v>
      </x:c>
    </x:row>
    <x:row r="45" ht="18" customHeight="1">
      <x:c r="A45" s="2"/>
      <x:c r="B45" s="2"/>
      <x:c r="C45" s="2" t="n">
        <x:v>16</x:v>
      </x:c>
      <x:c r="D45" s="53" t="n">
        <x:f>IF(K44&lt;L44,F44,D44)</x:f>
        <x:v>-1.1279296875</x:v>
      </x:c>
      <x:c r="E45" s="53" t="n">
        <x:f>IF(K44&lt;L44,E44,F44)</x:f>
        <x:v>-1.12744140625</x:v>
      </x:c>
      <x:c r="F45" s="53" t="n">
        <x:f>(D45+E45)/2</x:f>
        <x:v>-1.127685546875</x:v>
      </x:c>
      <x:c r="G45" s="54" t="n">
        <x:f>NORMDIST($F45-'Vehicle Economics'!$D$16,0,1,TRUE)</x:f>
        <x:v>0.12972637184018077</x:v>
      </x:c>
      <x:c r="H45" s="54" t="n">
        <x:f>NORMDIST($F45-'Vehicle Economics'!$E$16,0,1,TRUE)</x:f>
        <x:v>0.08354666184440623</x:v>
      </x:c>
      <x:c r="I45" s="54" t="n">
        <x:f>NORMDIST($F45-'Vehicle Economics'!$F$16,0,1,TRUE)</x:f>
        <x:v>0.1123722822892334</x:v>
      </x:c>
      <x:c r="J45" s="54" t="n">
        <x:f>NORMDIST($F45-'Vehicle Economics'!$G$16,0,1,TRUE)</x:f>
        <x:v>0.08105495165323567</x:v>
      </x:c>
      <x:c r="K45" s="53" t="n">
        <x:f>SUMPRODUCT(G45:J45,$D$18:$G$18)/$H$18</x:f>
        <x:v>0.09601869052056436</x:v>
      </x:c>
      <x:c r="L45" s="54" t="n">
        <x:f>'AD Fees &amp; TLF'!$D$6</x:f>
        <x:v>0.096</x:v>
      </x:c>
    </x:row>
    <x:row r="46" ht="18" customHeight="1">
      <x:c r="A46" s="2"/>
      <x:c r="B46" s="2"/>
      <x:c r="C46" s="2" t="n">
        <x:v>17</x:v>
      </x:c>
      <x:c r="D46" s="53" t="n">
        <x:f>IF(K45&lt;L45,F45,D45)</x:f>
        <x:v>-1.1279296875</x:v>
      </x:c>
      <x:c r="E46" s="53" t="n">
        <x:f>IF(K45&lt;L45,E45,F45)</x:f>
        <x:v>-1.127685546875</x:v>
      </x:c>
      <x:c r="F46" s="53" t="n">
        <x:f>(D46+E46)/2</x:f>
        <x:v>-1.1278076171875</x:v>
      </x:c>
      <x:c r="G46" s="54" t="n">
        <x:f>NORMDIST($F46-'Vehicle Economics'!$D$16,0,1,TRUE)</x:f>
        <x:v>0.1297005878825569</x:v>
      </x:c>
      <x:c r="H46" s="54" t="n">
        <x:f>NORMDIST($F46-'Vehicle Economics'!$E$16,0,1,TRUE)</x:f>
        <x:v>0.08352791248593627</x:v>
      </x:c>
      <x:c r="I46" s="54" t="n">
        <x:f>NORMDIST($F46-'Vehicle Economics'!$F$16,0,1,TRUE)</x:f>
        <x:v>0.11234897708871433</x:v>
      </x:c>
      <x:c r="J46" s="54" t="n">
        <x:f>NORMDIST($F46-'Vehicle Economics'!$G$16,0,1,TRUE)</x:f>
        <x:v>0.08103662499710795</x:v>
      </x:c>
      <x:c r="K46" s="53" t="n">
        <x:f>SUMPRODUCT(G46:J46,$D$18:$G$18)/$H$18</x:f>
        <x:v>0.09599801799771089</x:v>
      </x:c>
      <x:c r="L46" s="54" t="n">
        <x:f>'AD Fees &amp; TLF'!$D$6</x:f>
        <x:v>0.096</x:v>
      </x:c>
    </x:row>
    <x:row r="47" ht="18" customHeight="1">
      <x:c r="A47" s="2"/>
      <x:c r="B47" s="2"/>
      <x:c r="C47" s="2" t="n">
        <x:v>18</x:v>
      </x:c>
      <x:c r="D47" s="53" t="n">
        <x:f>IF(K46&lt;L46,F46,D46)</x:f>
        <x:v>-1.1278076171875</x:v>
      </x:c>
      <x:c r="E47" s="53" t="n">
        <x:f>IF(K46&lt;L46,E46,F46)</x:f>
        <x:v>-1.127685546875</x:v>
      </x:c>
      <x:c r="F47" s="53" t="n">
        <x:f>(D47+E47)/2</x:f>
        <x:v>-1.12774658203125</x:v>
      </x:c>
      <x:c r="G47" s="54" t="n">
        <x:f>NORMDIST($F47-'Vehicle Economics'!$D$16,0,1,TRUE)</x:f>
        <x:v>0.12971347941767725</x:v>
      </x:c>
      <x:c r="H47" s="54" t="n">
        <x:f>NORMDIST($F47-'Vehicle Economics'!$E$16,0,1,TRUE)</x:f>
        <x:v>0.08353728676988725</x:v>
      </x:c>
      <x:c r="I47" s="54" t="n">
        <x:f>NORMDIST($F47-'Vehicle Economics'!$F$16,0,1,TRUE)</x:f>
        <x:v>0.11236062925723977</x:v>
      </x:c>
      <x:c r="J47" s="54" t="n">
        <x:f>NORMDIST($F47-'Vehicle Economics'!$G$16,0,1,TRUE)</x:f>
        <x:v>0.08104578793421147</x:v>
      </x:c>
      <x:c r="K47" s="53" t="n">
        <x:f>SUMPRODUCT(G47:J47,$D$18:$G$18)/$H$18</x:f>
        <x:v>0.09600835384990451</x:v>
      </x:c>
      <x:c r="L47" s="54" t="n">
        <x:f>'AD Fees &amp; TLF'!$D$6</x:f>
        <x:v>0.096</x:v>
      </x:c>
    </x:row>
    <x:row r="48" ht="18" customHeight="1">
      <x:c r="A48" s="2"/>
      <x:c r="B48" s="2"/>
      <x:c r="C48" s="2" t="n">
        <x:v>19</x:v>
      </x:c>
      <x:c r="D48" s="53" t="n">
        <x:f>IF(K47&lt;L47,F47,D47)</x:f>
        <x:v>-1.1278076171875</x:v>
      </x:c>
      <x:c r="E48" s="53" t="n">
        <x:f>IF(K47&lt;L47,E47,F47)</x:f>
        <x:v>-1.12774658203125</x:v>
      </x:c>
      <x:c r="F48" s="53" t="n">
        <x:f>(D48+E48)/2</x:f>
        <x:v>-1.127777099609375</x:v>
      </x:c>
      <x:c r="G48" s="54" t="n">
        <x:f>NORMDIST($F48-'Vehicle Economics'!$D$16,0,1,TRUE)</x:f>
        <x:v>0.129707033539195</x:v>
      </x:c>
      <x:c r="H48" s="54" t="n">
        <x:f>NORMDIST($F48-'Vehicle Economics'!$E$16,0,1,TRUE)</x:f>
        <x:v>0.08353259952909275</x:v>
      </x:c>
      <x:c r="I48" s="54" t="n">
        <x:f>NORMDIST($F48-'Vehicle Economics'!$F$16,0,1,TRUE)</x:f>
        <x:v>0.1123548030650448</x:v>
      </x:c>
      <x:c r="J48" s="54" t="n">
        <x:f>NORMDIST($F48-'Vehicle Economics'!$G$16,0,1,TRUE)</x:f>
        <x:v>0.08104120636792167</x:v>
      </x:c>
      <x:c r="K48" s="53" t="n">
        <x:f>SUMPRODUCT(G48:J48,$D$18:$G$18)/$H$18</x:f>
        <x:v>0.0960031858215011</x:v>
      </x:c>
      <x:c r="L48" s="54" t="n">
        <x:f>'AD Fees &amp; TLF'!$D$6</x:f>
        <x:v>0.096</x:v>
      </x:c>
    </x:row>
    <x:row r="49" ht="18" customHeight="1">
      <x:c r="A49" s="2"/>
      <x:c r="B49" s="2"/>
      <x:c r="C49" s="2" t="n">
        <x:v>20</x:v>
      </x:c>
      <x:c r="D49" s="53" t="n">
        <x:f>IF(K48&lt;L48,F48,D48)</x:f>
        <x:v>-1.1278076171875</x:v>
      </x:c>
      <x:c r="E49" s="53" t="n">
        <x:f>IF(K48&lt;L48,E48,F48)</x:f>
        <x:v>-1.127777099609375</x:v>
      </x:c>
      <x:c r="F49" s="53" t="n">
        <x:f>(D49+E49)/2</x:f>
        <x:v>-1.1277923583984375</x:v>
      </x:c>
      <x:c r="G49" s="54" t="n">
        <x:f>NORMDIST($F49-'Vehicle Economics'!$D$16,0,1,TRUE)</x:f>
        <x:v>0.12970381068314552</x:v>
      </x:c>
      <x:c r="H49" s="54" t="n">
        <x:f>NORMDIST($F49-'Vehicle Economics'!$E$16,0,1,TRUE)</x:f>
        <x:v>0.08353025598281</x:v>
      </x:c>
      <x:c r="I49" s="54" t="n">
        <x:f>NORMDIST($F49-'Vehicle Economics'!$F$16,0,1,TRUE)</x:f>
        <x:v>0.11235189004989665</x:v>
      </x:c>
      <x:c r="J49" s="54" t="n">
        <x:f>NORMDIST($F49-'Vehicle Economics'!$G$16,0,1,TRUE)</x:f>
        <x:v>0.08103891565808058</x:v>
      </x:c>
      <x:c r="K49" s="53" t="n">
        <x:f>SUMPRODUCT(G49:J49,$D$18:$G$18)/$H$18</x:f>
        <x:v>0.09600060188402955</x:v>
      </x:c>
      <x:c r="L49" s="54" t="n">
        <x:f>'AD Fees &amp; TLF'!$D$6</x:f>
        <x:v>0.096</x:v>
      </x:c>
    </x:row>
    <x:row r="50" ht="18" customHeight="1">
      <x:c r="A50" s="2"/>
      <x:c r="B50" s="2"/>
      <x:c r="C50" s="2" t="n">
        <x:v>21</x:v>
      </x:c>
      <x:c r="D50" s="53" t="n">
        <x:f>IF(K49&lt;L49,F49,D49)</x:f>
        <x:v>-1.1278076171875</x:v>
      </x:c>
      <x:c r="E50" s="53" t="n">
        <x:f>IF(K49&lt;L49,E49,F49)</x:f>
        <x:v>-1.1277923583984375</x:v>
      </x:c>
      <x:c r="F50" s="53" t="n">
        <x:f>(D50+E50)/2</x:f>
        <x:v>-1.1277999877929688</x:v>
      </x:c>
      <x:c r="G50" s="54" t="n">
        <x:f>NORMDIST($F50-'Vehicle Economics'!$D$16,0,1,TRUE)</x:f>
        <x:v>0.12970219927591864</x:v>
      </x:c>
      <x:c r="H50" s="54" t="n">
        <x:f>NORMDIST($F50-'Vehicle Economics'!$E$16,0,1,TRUE)</x:f>
        <x:v>0.08352908422819705</x:v>
      </x:c>
      <x:c r="I50" s="54" t="n">
        <x:f>NORMDIST($F50-'Vehicle Economics'!$F$16,0,1,TRUE)</x:f>
        <x:v>0.1123504335625598</x:v>
      </x:c>
      <x:c r="J50" s="54" t="n">
        <x:f>NORMDIST($F50-'Vehicle Economics'!$G$16,0,1,TRUE)</x:f>
        <x:v>0.08103777032148574</x:v>
      </x:c>
      <x:c r="K50" s="53" t="n">
        <x:f>SUMPRODUCT(G50:J50,$D$18:$G$18)/$H$18</x:f>
        <x:v>0.09599930993447615</x:v>
      </x:c>
      <x:c r="L50" s="54" t="n">
        <x:f>'AD Fees &amp; TLF'!$D$6</x:f>
        <x:v>0.096</x:v>
      </x:c>
    </x:row>
    <x:row r="51" ht="18" customHeight="1">
      <x:c r="A51" s="2"/>
      <x:c r="B51" s="2"/>
      <x:c r="C51" s="2" t="n">
        <x:v>22</x:v>
      </x:c>
      <x:c r="D51" s="53" t="n">
        <x:f>IF(K50&lt;L50,F50,D50)</x:f>
        <x:v>-1.1277999877929688</x:v>
      </x:c>
      <x:c r="E51" s="53" t="n">
        <x:f>IF(K50&lt;L50,E50,F50)</x:f>
        <x:v>-1.1277923583984375</x:v>
      </x:c>
      <x:c r="F51" s="53" t="n">
        <x:f>(D51+E51)/2</x:f>
        <x:v>-1.1277961730957031</x:v>
      </x:c>
      <x:c r="G51" s="54" t="n">
        <x:f>NORMDIST($F51-'Vehicle Economics'!$D$16,0,1,TRUE)</x:f>
        <x:v>0.12970300497779896</x:v>
      </x:c>
      <x:c r="H51" s="54" t="n">
        <x:f>NORMDIST($F51-'Vehicle Economics'!$E$16,0,1,TRUE)</x:f>
        <x:v>0.08352967010395951</x:v>
      </x:c>
      <x:c r="I51" s="54" t="n">
        <x:f>NORMDIST($F51-'Vehicle Economics'!$F$16,0,1,TRUE)</x:f>
        <x:v>0.1123511618045418</x:v>
      </x:c>
      <x:c r="J51" s="54" t="n">
        <x:f>NORMDIST($F51-'Vehicle Economics'!$G$16,0,1,TRUE)</x:f>
        <x:v>0.08103834298825602</x:v>
      </x:c>
      <x:c r="K51" s="53" t="n">
        <x:f>SUMPRODUCT(G51:J51,$D$18:$G$18)/$H$18</x:f>
        <x:v>0.09599995590765435</x:v>
      </x:c>
      <x:c r="L51" s="54" t="n">
        <x:f>'AD Fees &amp; TLF'!$D$6</x:f>
        <x:v>0.096</x:v>
      </x:c>
    </x:row>
    <x:row r="52" ht="18" customHeight="1">
      <x:c r="A52" s="2"/>
      <x:c r="B52" s="2"/>
      <x:c r="C52" s="2" t="n">
        <x:v>23</x:v>
      </x:c>
      <x:c r="D52" s="53" t="n">
        <x:f>IF(K51&lt;L51,F51,D51)</x:f>
        <x:v>-1.1277961730957031</x:v>
      </x:c>
      <x:c r="E52" s="53" t="n">
        <x:f>IF(K51&lt;L51,E51,F51)</x:f>
        <x:v>-1.1277923583984375</x:v>
      </x:c>
      <x:c r="F52" s="53" t="n">
        <x:f>(D52+E52)/2</x:f>
        <x:v>-1.1277942657470703</x:v>
      </x:c>
      <x:c r="G52" s="54" t="n">
        <x:f>NORMDIST($F52-'Vehicle Economics'!$D$16,0,1,TRUE)</x:f>
        <x:v>0.12970340783003897</x:v>
      </x:c>
      <x:c r="H52" s="54" t="n">
        <x:f>NORMDIST($F52-'Vehicle Economics'!$E$16,0,1,TRUE)</x:f>
        <x:v>0.0835299630429987</x:v>
      </x:c>
      <x:c r="I52" s="54" t="n">
        <x:f>NORMDIST($F52-'Vehicle Economics'!$F$16,0,1,TRUE)</x:f>
        <x:v>0.11235152592679765</x:v>
      </x:c>
      <x:c r="J52" s="54" t="n">
        <x:f>NORMDIST($F52-'Vehicle Economics'!$G$16,0,1,TRUE)</x:f>
        <x:v>0.08103862932278649</x:v>
      </x:c>
      <x:c r="K52" s="53" t="n">
        <x:f>SUMPRODUCT(G52:J52,$D$18:$G$18)/$H$18</x:f>
        <x:v>0.0960002788954423</x:v>
      </x:c>
      <x:c r="L52" s="54" t="n">
        <x:f>'AD Fees &amp; TLF'!$D$6</x:f>
        <x:v>0.096</x:v>
      </x:c>
    </x:row>
    <x:row r="53" ht="18" customHeight="1">
      <x:c r="A53" s="2"/>
      <x:c r="B53" s="2"/>
      <x:c r="C53" s="2" t="n">
        <x:v>24</x:v>
      </x:c>
      <x:c r="D53" s="53" t="n">
        <x:f>IF(K52&lt;L52,F52,D52)</x:f>
        <x:v>-1.1277961730957031</x:v>
      </x:c>
      <x:c r="E53" s="53" t="n">
        <x:f>IF(K52&lt;L52,E52,F52)</x:f>
        <x:v>-1.1277942657470703</x:v>
      </x:c>
      <x:c r="F53" s="53" t="n">
        <x:f>(D53+E53)/2</x:f>
        <x:v>-1.1277952194213867</x:v>
      </x:c>
      <x:c r="G53" s="54" t="n">
        <x:f>NORMDIST($F53-'Vehicle Economics'!$D$16,0,1,TRUE)</x:f>
        <x:v>0.1297032064038106</x:v>
      </x:c>
      <x:c r="H53" s="54" t="n">
        <x:f>NORMDIST($F53-'Vehicle Economics'!$E$16,0,1,TRUE)</x:f>
        <x:v>0.08352981657338265</x:v>
      </x:c>
      <x:c r="I53" s="54" t="n">
        <x:f>NORMDIST($F53-'Vehicle Economics'!$F$16,0,1,TRUE)</x:f>
        <x:v>0.11235134386556428</x:v>
      </x:c>
      <x:c r="J53" s="54" t="n">
        <x:f>NORMDIST($F53-'Vehicle Economics'!$G$16,0,1,TRUE)</x:f>
        <x:v>0.08103848615542586</x:v>
      </x:c>
      <x:c r="K53" s="53" t="n">
        <x:f>SUMPRODUCT(G53:J53,$D$18:$G$18)/$H$18</x:f>
        <x:v>0.09600011740144843</x:v>
      </x:c>
      <x:c r="L53" s="54" t="n">
        <x:f>'AD Fees &amp; TLF'!$D$6</x:f>
        <x:v>0.096</x:v>
      </x:c>
    </x:row>
    <x:row r="54" ht="18" customHeight="1">
      <x:c r="A54" s="2"/>
      <x:c r="B54" s="2"/>
      <x:c r="C54" s="2" t="n">
        <x:v>25</x:v>
      </x:c>
      <x:c r="D54" s="53" t="n">
        <x:f>IF(K53&lt;L53,F53,D53)</x:f>
        <x:v>-1.1277961730957031</x:v>
      </x:c>
      <x:c r="E54" s="53" t="n">
        <x:f>IF(K53&lt;L53,E53,F53)</x:f>
        <x:v>-1.1277952194213867</x:v>
      </x:c>
      <x:c r="F54" s="53" t="n">
        <x:f>(D54+E54)/2</x:f>
        <x:v>-1.127795696258545</x:v>
      </x:c>
      <x:c r="G54" s="54" t="n">
        <x:f>NORMDIST($F54-'Vehicle Economics'!$D$16,0,1,TRUE)</x:f>
        <x:v>0.1297031056907777</x:v>
      </x:c>
      <x:c r="H54" s="54" t="n">
        <x:f>NORMDIST($F54-'Vehicle Economics'!$E$16,0,1,TRUE)</x:f>
        <x:v>0.08352974333864693</x:v>
      </x:c>
      <x:c r="I54" s="54" t="n">
        <x:f>NORMDIST($F54-'Vehicle Economics'!$F$16,0,1,TRUE)</x:f>
        <x:v>0.11235125283502667</x:v>
      </x:c>
      <x:c r="J54" s="54" t="n">
        <x:f>NORMDIST($F54-'Vehicle Economics'!$G$16,0,1,TRUE)</x:f>
        <x:v>0.08103841457181704</x:v>
      </x:c>
      <x:c r="K54" s="53" t="n">
        <x:f>SUMPRODUCT(G54:J54,$D$18:$G$18)/$H$18</x:f>
        <x:v>0.09600003665452639</x:v>
      </x:c>
      <x:c r="L54" s="54" t="n">
        <x:f>'AD Fees &amp; TLF'!$D$6</x:f>
        <x:v>0.096</x:v>
      </x:c>
    </x:row>
    <x:row r="55" ht="18" customHeight="1">
      <x:c r="A55" s="2"/>
      <x:c r="B55" s="2"/>
      <x:c r="C55" s="2" t="n">
        <x:v>26</x:v>
      </x:c>
      <x:c r="D55" s="53" t="n">
        <x:f>IF(K54&lt;L54,F54,D54)</x:f>
        <x:v>-1.1277961730957031</x:v>
      </x:c>
      <x:c r="E55" s="53" t="n">
        <x:f>IF(K54&lt;L54,E54,F54)</x:f>
        <x:v>-1.127795696258545</x:v>
      </x:c>
      <x:c r="F55" s="53" t="n">
        <x:f>(D55+E55)/2</x:f>
        <x:v>-1.127795934677124</x:v>
      </x:c>
      <x:c r="G55" s="54" t="n">
        <x:f>NORMDIST($F55-'Vehicle Economics'!$D$16,0,1,TRUE)</x:f>
        <x:v>0.1297030553342815</x:v>
      </x:c>
      <x:c r="H55" s="54" t="n">
        <x:f>NORMDIST($F55-'Vehicle Economics'!$E$16,0,1,TRUE)</x:f>
        <x:v>0.08352970672129723</x:v>
      </x:c>
      <x:c r="I55" s="54" t="n">
        <x:f>NORMDIST($F55-'Vehicle Economics'!$F$16,0,1,TRUE)</x:f>
        <x:v>0.11235120731977766</x:v>
      </x:c>
      <x:c r="J55" s="54" t="n">
        <x:f>NORMDIST($F55-'Vehicle Economics'!$G$16,0,1,TRUE)</x:f>
        <x:v>0.08103837878003056</x:v>
      </x:c>
      <x:c r="K55" s="53" t="n">
        <x:f>SUMPRODUCT(G55:J55,$D$18:$G$18)/$H$18</x:f>
        <x:v>0.09599999628108413</x:v>
      </x:c>
      <x:c r="L55" s="54" t="n">
        <x:f>'AD Fees &amp; TLF'!$D$6</x:f>
        <x:v>0.096</x:v>
      </x:c>
    </x:row>
    <x:row r="56" ht="18" customHeight="1">
      <x:c r="A56" s="2"/>
      <x:c r="B56" s="2"/>
      <x:c r="C56" s="2" t="n">
        <x:v>27</x:v>
      </x:c>
      <x:c r="D56" s="53" t="n">
        <x:f>IF(K55&lt;L55,F55,D55)</x:f>
        <x:v>-1.127795934677124</x:v>
      </x:c>
      <x:c r="E56" s="53" t="n">
        <x:f>IF(K55&lt;L55,E55,F55)</x:f>
        <x:v>-1.127795696258545</x:v>
      </x:c>
      <x:c r="F56" s="53" t="n">
        <x:f>(D56+E56)/2</x:f>
        <x:v>-1.1277958154678345</x:v>
      </x:c>
      <x:c r="G56" s="54" t="n">
        <x:f>NORMDIST($F56-'Vehicle Economics'!$D$16,0,1,TRUE)</x:f>
        <x:v>0.12970308051252788</x:v>
      </x:c>
      <x:c r="H56" s="54" t="n">
        <x:f>NORMDIST($F56-'Vehicle Economics'!$E$16,0,1,TRUE)</x:f>
        <x:v>0.08352972502997053</x:v>
      </x:c>
      <x:c r="I56" s="54" t="n">
        <x:f>NORMDIST($F56-'Vehicle Economics'!$F$16,0,1,TRUE)</x:f>
        <x:v>0.11235123007740055</x:v>
      </x:c>
      <x:c r="J56" s="54" t="n">
        <x:f>NORMDIST($F56-'Vehicle Economics'!$G$16,0,1,TRUE)</x:f>
        <x:v>0.08103839667592228</x:v>
      </x:c>
      <x:c r="K56" s="53" t="n">
        <x:f>SUMPRODUCT(G56:J56,$D$18:$G$18)/$H$18</x:f>
        <x:v>0.09600001646780368</x:v>
      </x:c>
      <x:c r="L56" s="54" t="n">
        <x:f>'AD Fees &amp; TLF'!$D$6</x:f>
        <x:v>0.096</x:v>
      </x:c>
    </x:row>
    <x:row r="57" ht="18" customHeight="1">
      <x:c r="A57" s="2"/>
      <x:c r="B57" s="2"/>
      <x:c r="C57" s="2" t="n">
        <x:v>28</x:v>
      </x:c>
      <x:c r="D57" s="53" t="n">
        <x:f>IF(K56&lt;L56,F56,D56)</x:f>
        <x:v>-1.127795934677124</x:v>
      </x:c>
      <x:c r="E57" s="53" t="n">
        <x:f>IF(K56&lt;L56,E56,F56)</x:f>
        <x:v>-1.1277958154678345</x:v>
      </x:c>
      <x:c r="F57" s="53" t="n">
        <x:f>(D57+E57)/2</x:f>
        <x:v>-1.1277958750724792</x:v>
      </x:c>
      <x:c r="G57" s="54" t="n">
        <x:f>NORMDIST($F57-'Vehicle Economics'!$D$16,0,1,TRUE)</x:f>
        <x:v>0.12970306792340425</x:v>
      </x:c>
      <x:c r="H57" s="54" t="n">
        <x:f>NORMDIST($F57-'Vehicle Economics'!$E$16,0,1,TRUE)</x:f>
        <x:v>0.08352971587563351</x:v>
      </x:c>
      <x:c r="I57" s="54" t="n">
        <x:f>NORMDIST($F57-'Vehicle Economics'!$F$16,0,1,TRUE)</x:f>
        <x:v>0.11235121869858872</x:v>
      </x:c>
      <x:c r="J57" s="54" t="n">
        <x:f>NORMDIST($F57-'Vehicle Economics'!$G$16,0,1,TRUE)</x:f>
        <x:v>0.08103838772797611</x:v>
      </x:c>
      <x:c r="K57" s="53" t="n">
        <x:f>SUMPRODUCT(G57:J57,$D$18:$G$18)/$H$18</x:f>
        <x:v>0.09600000637444353</x:v>
      </x:c>
      <x:c r="L57" s="54" t="n">
        <x:f>'AD Fees &amp; TLF'!$D$6</x:f>
        <x:v>0.096</x:v>
      </x:c>
    </x:row>
    <x:row r="58" ht="18" customHeight="1">
      <x:c r="A58" s="2"/>
      <x:c r="B58" s="2"/>
      <x:c r="C58" s="2" t="n">
        <x:v>29</x:v>
      </x:c>
      <x:c r="D58" s="53" t="n">
        <x:f>IF(K57&lt;L57,F57,D57)</x:f>
        <x:v>-1.127795934677124</x:v>
      </x:c>
      <x:c r="E58" s="53" t="n">
        <x:f>IF(K57&lt;L57,E57,F57)</x:f>
        <x:v>-1.1277958750724792</x:v>
      </x:c>
      <x:c r="F58" s="53" t="n">
        <x:f>(D58+E58)/2</x:f>
        <x:v>-1.1277959048748016</x:v>
      </x:c>
      <x:c r="G58" s="54" t="n">
        <x:f>NORMDIST($F58-'Vehicle Economics'!$D$16,0,1,TRUE)</x:f>
        <x:v>0.12970306162884282</x:v>
      </x:c>
      <x:c r="H58" s="54" t="n">
        <x:f>NORMDIST($F58-'Vehicle Economics'!$E$16,0,1,TRUE)</x:f>
        <x:v>0.08352971129846526</x:v>
      </x:c>
      <x:c r="I58" s="54" t="n">
        <x:f>NORMDIST($F58-'Vehicle Economics'!$F$16,0,1,TRUE)</x:f>
        <x:v>0.11235121300918305</x:v>
      </x:c>
      <x:c r="J58" s="54" t="n">
        <x:f>NORMDIST($F58-'Vehicle Economics'!$G$16,0,1,TRUE)</x:f>
        <x:v>0.0810383832540032</x:v>
      </x:c>
      <x:c r="K58" s="53" t="n">
        <x:f>SUMPRODUCT(G58:J58,$D$18:$G$18)/$H$18</x:f>
        <x:v>0.09600000132776372</x:v>
      </x:c>
      <x:c r="L58" s="54" t="n">
        <x:f>'AD Fees &amp; TLF'!$D$6</x:f>
        <x:v>0.096</x:v>
      </x:c>
    </x:row>
    <x:row r="59" ht="18" customHeight="1">
      <x:c r="A59" s="2"/>
      <x:c r="B59" s="2"/>
      <x:c r="C59" s="2" t="n">
        <x:v>30</x:v>
      </x:c>
      <x:c r="D59" s="53" t="n">
        <x:f>IF(K58&lt;L58,F58,D58)</x:f>
        <x:v>-1.127795934677124</x:v>
      </x:c>
      <x:c r="E59" s="53" t="n">
        <x:f>IF(K58&lt;L58,E58,F58)</x:f>
        <x:v>-1.1277959048748016</x:v>
      </x:c>
      <x:c r="F59" s="53" t="n">
        <x:f>(D59+E59)/2</x:f>
        <x:v>-1.1277959197759628</x:v>
      </x:c>
      <x:c r="G59" s="54" t="n">
        <x:f>NORMDIST($F59-'Vehicle Economics'!$D$16,0,1,TRUE)</x:f>
        <x:v>0.12970305848156216</x:v>
      </x:c>
      <x:c r="H59" s="54" t="n">
        <x:f>NORMDIST($F59-'Vehicle Economics'!$E$16,0,1,TRUE)</x:f>
        <x:v>0.08352970900988121</x:v>
      </x:c>
      <x:c r="I59" s="54" t="n">
        <x:f>NORMDIST($F59-'Vehicle Economics'!$F$16,0,1,TRUE)</x:f>
        <x:v>0.11235121016448035</x:v>
      </x:c>
      <x:c r="J59" s="54" t="n">
        <x:f>NORMDIST($F59-'Vehicle Economics'!$G$16,0,1,TRUE)</x:f>
        <x:v>0.08103838101701688</x:v>
      </x:c>
      <x:c r="K59" s="53" t="n">
        <x:f>SUMPRODUCT(G59:J59,$D$18:$G$18)/$H$18</x:f>
        <x:v>0.09599999880442392</x:v>
      </x:c>
      <x:c r="L59" s="54" t="n">
        <x:f>'AD Fees &amp; TLF'!$D$6</x:f>
        <x:v>0.096</x:v>
      </x:c>
    </x:row>
    <x:row r="60" ht="18" customHeight="1">
      <x:c r="A60" s="2"/>
      <x:c r="B60" s="2"/>
      <x:c r="C60" s="2" t="n">
        <x:v>31</x:v>
      </x:c>
      <x:c r="D60" s="53" t="n">
        <x:f>IF(K59&lt;L59,F59,D59)</x:f>
        <x:v>-1.1277959197759628</x:v>
      </x:c>
      <x:c r="E60" s="53" t="n">
        <x:f>IF(K59&lt;L59,E59,F59)</x:f>
        <x:v>-1.1277959048748016</x:v>
      </x:c>
      <x:c r="F60" s="53" t="n">
        <x:f>(D60+E60)/2</x:f>
        <x:v>-1.1277959123253822</x:v>
      </x:c>
      <x:c r="G60" s="54" t="n">
        <x:f>NORMDIST($F60-'Vehicle Economics'!$D$16,0,1,TRUE)</x:f>
        <x:v>0.1297030600552025</x:v>
      </x:c>
      <x:c r="H60" s="54" t="n">
        <x:f>NORMDIST($F60-'Vehicle Economics'!$E$16,0,1,TRUE)</x:f>
        <x:v>0.08352971015417321</x:v>
      </x:c>
      <x:c r="I60" s="54" t="n">
        <x:f>NORMDIST($F60-'Vehicle Economics'!$F$16,0,1,TRUE)</x:f>
        <x:v>0.1123512115868317</x:v>
      </x:c>
      <x:c r="J60" s="54" t="n">
        <x:f>NORMDIST($F60-'Vehicle Economics'!$G$16,0,1,TRUE)</x:f>
        <x:v>0.08103838213551007</x:v>
      </x:c>
      <x:c r="K60" s="53" t="n">
        <x:f>SUMPRODUCT(G60:J60,$D$18:$G$18)/$H$18</x:f>
        <x:v>0.0960000000660938</x:v>
      </x:c>
      <x:c r="L60" s="54" t="n">
        <x:f>'AD Fees &amp; TLF'!$D$6</x:f>
        <x:v>0.096</x:v>
      </x:c>
    </x:row>
    <x:row r="61" ht="18" customHeight="1">
      <x:c r="A61" s="2"/>
      <x:c r="B61" s="2"/>
      <x:c r="C61" s="2" t="n">
        <x:v>32</x:v>
      </x:c>
      <x:c r="D61" s="53" t="n">
        <x:f>IF(K60&lt;L60,F60,D60)</x:f>
        <x:v>-1.1277959197759628</x:v>
      </x:c>
      <x:c r="E61" s="53" t="n">
        <x:f>IF(K60&lt;L60,E60,F60)</x:f>
        <x:v>-1.1277959123253822</x:v>
      </x:c>
      <x:c r="F61" s="53" t="n">
        <x:f>(D61+E61)/2</x:f>
        <x:v>-1.1277959160506725</x:v>
      </x:c>
      <x:c r="G61" s="54" t="n">
        <x:f>NORMDIST($F61-'Vehicle Economics'!$D$16,0,1,TRUE)</x:f>
        <x:v>0.12970305926838227</x:v>
      </x:c>
      <x:c r="H61" s="54" t="n">
        <x:f>NORMDIST($F61-'Vehicle Economics'!$E$16,0,1,TRUE)</x:f>
        <x:v>0.08352970958202721</x:v>
      </x:c>
      <x:c r="I61" s="54" t="n">
        <x:f>NORMDIST($F61-'Vehicle Economics'!$F$16,0,1,TRUE)</x:f>
        <x:v>0.11235121087565603</x:v>
      </x:c>
      <x:c r="J61" s="54" t="n">
        <x:f>NORMDIST($F61-'Vehicle Economics'!$G$16,0,1,TRUE)</x:f>
        <x:v>0.08103838157626347</x:v>
      </x:c>
      <x:c r="K61" s="53" t="n">
        <x:f>SUMPRODUCT(G61:J61,$D$18:$G$18)/$H$18</x:f>
        <x:v>0.09599999943525885</x:v>
      </x:c>
      <x:c r="L61" s="54" t="n">
        <x:f>'AD Fees &amp; TLF'!$D$6</x:f>
        <x:v>0.096</x:v>
      </x:c>
    </x:row>
    <x:row r="62" ht="18" customHeight="1">
      <x:c r="A62" s="2"/>
      <x:c r="B62" s="2"/>
      <x:c r="C62" s="2"/>
      <x:c r="D62" s="52"/>
      <x:c r="E62" s="52"/>
      <x:c r="F62" s="52"/>
      <x:c r="G62" s="52"/>
      <x:c r="H62" s="52"/>
      <x:c r="I62" s="52"/>
      <x:c r="J62" s="52"/>
      <x:c r="K62" s="52"/>
      <x:c r="L62" s="52"/>
    </x:row>
    <x:row r="63" ht="18" customHeight="1">
      <x:c r="A63" s="2"/>
      <x:c r="B63" s="2"/>
      <x:c r="C63" s="2"/>
      <x:c r="D63" s="52"/>
      <x:c r="E63" s="52"/>
      <x:c r="F63" s="52"/>
      <x:c r="G63" s="52"/>
      <x:c r="H63" s="52"/>
      <x:c r="I63" s="52"/>
      <x:c r="J63" s="52"/>
      <x:c r="K63" s="52"/>
      <x:c r="L63" s="52"/>
    </x:row>
    <x:row r="64" ht="18" customHeight="1">
      <x:c r="A64" s="2"/>
      <x:c r="B64" s="2"/>
      <x:c r="C64" s="2"/>
      <x:c r="D64" s="52"/>
      <x:c r="E64" s="52"/>
      <x:c r="F64" s="52"/>
      <x:c r="G64" s="52"/>
      <x:c r="H64" s="52"/>
      <x:c r="I64" s="52"/>
      <x:c r="J64" s="52"/>
      <x:c r="K64" s="52"/>
      <x:c r="L64" s="52"/>
    </x:row>
    <x:row r="65" ht="21" customHeight="1">
      <x:c r="A65" s="2"/>
      <x:c r="B65" s="2"/>
      <x:c r="C65" s="9" t="str">
        <x:v>1–3: bisection solve</x:v>
      </x:c>
      <x:c r="D65" s="55"/>
      <x:c r="E65" s="55"/>
      <x:c r="F65" s="55"/>
      <x:c r="G65" s="55"/>
      <x:c r="H65" s="55"/>
      <x:c r="I65" s="55"/>
      <x:c r="J65" s="55"/>
      <x:c r="K65" s="55"/>
      <x:c r="L65" s="55"/>
    </x:row>
    <x:row r="66" ht="29" customHeight="1">
      <x:c r="A66" s="2"/>
      <x:c r="B66" s="2"/>
      <x:c r="C66" s="10" t="str">
        <x:v>Iteration</x:v>
      </x:c>
      <x:c r="D66" s="56" t="str">
        <x:v>Lower</x:v>
      </x:c>
      <x:c r="E66" s="56" t="str">
        <x:v>Upper</x:v>
      </x:c>
      <x:c r="F66" s="56" t="str">
        <x:v>Index</x:v>
      </x:c>
      <x:c r="G66" s="56" t="str">
        <x:v>Car P</x:v>
      </x:c>
      <x:c r="H66" s="56" t="str">
        <x:v>SUV P</x:v>
      </x:c>
      <x:c r="I66" s="56" t="str">
        <x:v>Pickup P</x:v>
      </x:c>
      <x:c r="J66" s="56" t="str">
        <x:v>Van P</x:v>
      </x:c>
      <x:c r="K66" s="56" t="str">
        <x:v>Weighted P</x:v>
      </x:c>
      <x:c r="L66" s="56" t="str">
        <x:v>Target</x:v>
      </x:c>
    </x:row>
    <x:row r="67" ht="18" customHeight="1">
      <x:c r="A67" s="2"/>
      <x:c r="B67" s="2"/>
      <x:c r="C67" s="2" t="n">
        <x:v>1</x:v>
      </x:c>
      <x:c r="D67" s="52" t="n">
        <x:v>-8</x:v>
      </x:c>
      <x:c r="E67" s="52" t="n">
        <x:v>8</x:v>
      </x:c>
      <x:c r="F67" s="53" t="n">
        <x:f>(D67+E67)/2</x:f>
        <x:v>0</x:v>
      </x:c>
      <x:c r="G67" s="54" t="n">
        <x:f>NORMDIST($F67-'Vehicle Economics'!$D$16,0,1,TRUE)</x:f>
        <x:v>0.5</x:v>
      </x:c>
      <x:c r="H67" s="54" t="n">
        <x:f>NORMDIST($F67-'Vehicle Economics'!$E$16,0,1,TRUE)</x:f>
        <x:v>0.3997792773780073</x:v>
      </x:c>
      <x:c r="I67" s="54" t="n">
        <x:f>NORMDIST($F67-'Vehicle Economics'!$F$16,0,1,TRUE)</x:f>
        <x:v>0.4656049360893372</x:v>
      </x:c>
      <x:c r="J67" s="54" t="n">
        <x:f>NORMDIST($F67-'Vehicle Economics'!$G$16,0,1,TRUE)</x:f>
        <x:v>0.3934551210988128</x:v>
      </x:c>
      <x:c r="K67" s="53" t="n">
        <x:f>SUMPRODUCT(G67:J67,$D$19:$G$19)/$H$19</x:f>
        <x:v>0.43038199691068985</x:v>
      </x:c>
      <x:c r="L67" s="54" t="n">
        <x:f>'AD Fees &amp; TLF'!$D$7</x:f>
        <x:v>0.107</x:v>
      </x:c>
    </x:row>
    <x:row r="68" ht="18" customHeight="1">
      <x:c r="A68" s="2"/>
      <x:c r="B68" s="2"/>
      <x:c r="C68" s="2" t="n">
        <x:v>2</x:v>
      </x:c>
      <x:c r="D68" s="53" t="n">
        <x:f>IF(K67&lt;L67,F67,D67)</x:f>
        <x:v>-8</x:v>
      </x:c>
      <x:c r="E68" s="53" t="n">
        <x:f>IF(K67&lt;L67,E67,F67)</x:f>
        <x:v>0</x:v>
      </x:c>
      <x:c r="F68" s="53" t="n">
        <x:f>(D68+E68)/2</x:f>
        <x:v>-4</x:v>
      </x:c>
      <x:c r="G68" s="54" t="n">
        <x:f>NORMDIST($F68-'Vehicle Economics'!$D$16,0,1,TRUE)</x:f>
        <x:v>0.00003167124183311998</x:v>
      </x:c>
      <x:c r="H68" s="54" t="n">
        <x:f>NORMDIST($F68-'Vehicle Economics'!$E$16,0,1,TRUE)</x:f>
        <x:v>0.000010503091136260245</x:v>
      </x:c>
      <x:c r="I68" s="54" t="n">
        <x:f>NORMDIST($F68-'Vehicle Economics'!$F$16,0,1,TRUE)</x:f>
        <x:v>0.000021913203029577666</x:v>
      </x:c>
      <x:c r="J68" s="54" t="n">
        <x:f>NORMDIST($F68-'Vehicle Economics'!$G$16,0,1,TRUE)</x:f>
        <x:v>0.00000975941677439085</x:v>
      </x:c>
      <x:c r="K68" s="53" t="n">
        <x:f>SUMPRODUCT(G68:J68,$D$19:$G$19)/$H$19</x:f>
        <x:v>0.000016625475283332643</x:v>
      </x:c>
      <x:c r="L68" s="54" t="n">
        <x:f>'AD Fees &amp; TLF'!$D$7</x:f>
        <x:v>0.107</x:v>
      </x:c>
    </x:row>
    <x:row r="69" ht="18" customHeight="1">
      <x:c r="A69" s="2"/>
      <x:c r="B69" s="2"/>
      <x:c r="C69" s="2" t="n">
        <x:v>3</x:v>
      </x:c>
      <x:c r="D69" s="53" t="n">
        <x:f>IF(K68&lt;L68,F68,D68)</x:f>
        <x:v>-4</x:v>
      </x:c>
      <x:c r="E69" s="53" t="n">
        <x:f>IF(K68&lt;L68,E68,F68)</x:f>
        <x:v>0</x:v>
      </x:c>
      <x:c r="F69" s="53" t="n">
        <x:f>(D69+E69)/2</x:f>
        <x:v>-2</x:v>
      </x:c>
      <x:c r="G69" s="54" t="n">
        <x:f>NORMDIST($F69-'Vehicle Economics'!$D$16,0,1,TRUE)</x:f>
        <x:v>0.02275013194817921</x:v>
      </x:c>
      <x:c r="H69" s="54" t="n">
        <x:f>NORMDIST($F69-'Vehicle Economics'!$E$16,0,1,TRUE)</x:f>
        <x:v>0.012100649135212083</x:v>
      </x:c>
      <x:c r="I69" s="54" t="n">
        <x:f>NORMDIST($F69-'Vehicle Economics'!$F$16,0,1,TRUE)</x:f>
        <x:v>0.018474699658395266</x:v>
      </x:c>
      <x:c r="J69" s="54" t="n">
        <x:f>NORMDIST($F69-'Vehicle Economics'!$G$16,0,1,TRUE)</x:f>
        <x:v>0.011593935975388714</x:v>
      </x:c>
      <x:c r="K69" s="53" t="n">
        <x:f>SUMPRODUCT(G69:J69,$D$19:$G$19)/$H$19</x:f>
        <x:v>0.015268708592118433</x:v>
      </x:c>
      <x:c r="L69" s="54" t="n">
        <x:f>'AD Fees &amp; TLF'!$D$7</x:f>
        <x:v>0.107</x:v>
      </x:c>
    </x:row>
    <x:row r="70" ht="18" customHeight="1">
      <x:c r="A70" s="2"/>
      <x:c r="B70" s="2"/>
      <x:c r="C70" s="2" t="n">
        <x:v>4</x:v>
      </x:c>
      <x:c r="D70" s="53" t="n">
        <x:f>IF(K69&lt;L69,F69,D69)</x:f>
        <x:v>-2</x:v>
      </x:c>
      <x:c r="E70" s="53" t="n">
        <x:f>IF(K69&lt;L69,E69,F69)</x:f>
        <x:v>0</x:v>
      </x:c>
      <x:c r="F70" s="53" t="n">
        <x:f>(D70+E70)/2</x:f>
        <x:v>-1</x:v>
      </x:c>
      <x:c r="G70" s="54" t="n">
        <x:f>NORMDIST($F70-'Vehicle Economics'!$D$16,0,1,TRUE)</x:f>
        <x:v>0.15865525393145707</x:v>
      </x:c>
      <x:c r="H70" s="54" t="n">
        <x:f>NORMDIST($F70-'Vehicle Economics'!$E$16,0,1,TRUE)</x:f>
        <x:v>0.10493582268156831</x:v>
      </x:c>
      <x:c r="I70" s="54" t="n">
        <x:f>NORMDIST($F70-'Vehicle Economics'!$F$16,0,1,TRUE)</x:f>
        <x:v>0.13866811769162857</x:v>
      </x:c>
      <x:c r="J70" s="54" t="n">
        <x:f>NORMDIST($F70-'Vehicle Economics'!$G$16,0,1,TRUE)</x:f>
        <x:v>0.1019844452045599</x:v>
      </x:c>
      <x:c r="K70" s="53" t="n">
        <x:f>SUMPRODUCT(G70:J70,$D$19:$G$19)/$H$19</x:f>
        <x:v>0.1211314736750849</x:v>
      </x:c>
      <x:c r="L70" s="54" t="n">
        <x:f>'AD Fees &amp; TLF'!$D$7</x:f>
        <x:v>0.107</x:v>
      </x:c>
    </x:row>
    <x:row r="71" ht="18" customHeight="1">
      <x:c r="A71" s="2"/>
      <x:c r="B71" s="2"/>
      <x:c r="C71" s="2" t="n">
        <x:v>5</x:v>
      </x:c>
      <x:c r="D71" s="53" t="n">
        <x:f>IF(K70&lt;L70,F70,D70)</x:f>
        <x:v>-2</x:v>
      </x:c>
      <x:c r="E71" s="53" t="n">
        <x:f>IF(K70&lt;L70,E70,F70)</x:f>
        <x:v>-1</x:v>
      </x:c>
      <x:c r="F71" s="53" t="n">
        <x:f>(D71+E71)/2</x:f>
        <x:v>-1.5</x:v>
      </x:c>
      <x:c r="G71" s="54" t="n">
        <x:f>NORMDIST($F71-'Vehicle Economics'!$D$16,0,1,TRUE)</x:f>
        <x:v>0.06680720126885809</x:v>
      </x:c>
      <x:c r="H71" s="54" t="n">
        <x:f>NORMDIST($F71-'Vehicle Economics'!$E$16,0,1,TRUE)</x:f>
        <x:v>0.0397222401841727</x:v>
      </x:c>
      <x:c r="I71" s="54" t="n">
        <x:f>NORMDIST($F71-'Vehicle Economics'!$F$16,0,1,TRUE)</x:f>
        <x:v>0.05633305965342145</x:v>
      </x:c>
      <x:c r="J71" s="54" t="n">
        <x:f>NORMDIST($F71-'Vehicle Economics'!$G$16,0,1,TRUE)</x:f>
        <x:v>0.03833650876600514</x:v>
      </x:c>
      <x:c r="K71" s="53" t="n">
        <x:f>SUMPRODUCT(G71:J71,$D$19:$G$19)/$H$19</x:f>
        <x:v>0.04783418218874141</x:v>
      </x:c>
      <x:c r="L71" s="54" t="n">
        <x:f>'AD Fees &amp; TLF'!$D$7</x:f>
        <x:v>0.107</x:v>
      </x:c>
    </x:row>
    <x:row r="72" ht="18" customHeight="1">
      <x:c r="A72" s="2"/>
      <x:c r="B72" s="2"/>
      <x:c r="C72" s="2" t="n">
        <x:v>6</x:v>
      </x:c>
      <x:c r="D72" s="53" t="n">
        <x:f>IF(K71&lt;L71,F71,D71)</x:f>
        <x:v>-1.5</x:v>
      </x:c>
      <x:c r="E72" s="53" t="n">
        <x:f>IF(K71&lt;L71,E71,F71)</x:f>
        <x:v>-1</x:v>
      </x:c>
      <x:c r="F72" s="53" t="n">
        <x:f>(D72+E72)/2</x:f>
        <x:v>-1.25</x:v>
      </x:c>
      <x:c r="G72" s="54" t="n">
        <x:f>NORMDIST($F72-'Vehicle Economics'!$D$16,0,1,TRUE)</x:f>
        <x:v>0.10564977366685524</x:v>
      </x:c>
      <x:c r="H72" s="54" t="n">
        <x:f>NORMDIST($F72-'Vehicle Economics'!$E$16,0,1,TRUE)</x:f>
        <x:v>0.06630118190089407</x:v>
      </x:c>
      <x:c r="I72" s="54" t="n">
        <x:f>NORMDIST($F72-'Vehicle Economics'!$F$16,0,1,TRUE)</x:f>
        <x:v>0.09072190555301102</x:v>
      </x:c>
      <x:c r="J72" s="54" t="n">
        <x:f>NORMDIST($F72-'Vehicle Economics'!$G$16,0,1,TRUE)</x:f>
        <x:v>0.0642146582620311</x:v>
      </x:c>
      <x:c r="K72" s="53" t="n">
        <x:f>SUMPRODUCT(G72:J72,$D$19:$G$19)/$H$19</x:f>
        <x:v>0.07812530722557662</x:v>
      </x:c>
      <x:c r="L72" s="54" t="n">
        <x:f>'AD Fees &amp; TLF'!$D$7</x:f>
        <x:v>0.107</x:v>
      </x:c>
    </x:row>
    <x:row r="73" ht="18" customHeight="1">
      <x:c r="A73" s="2"/>
      <x:c r="B73" s="2"/>
      <x:c r="C73" s="2" t="n">
        <x:v>7</x:v>
      </x:c>
      <x:c r="D73" s="53" t="n">
        <x:f>IF(K72&lt;L72,F72,D72)</x:f>
        <x:v>-1.25</x:v>
      </x:c>
      <x:c r="E73" s="53" t="n">
        <x:f>IF(K72&lt;L72,E72,F72)</x:f>
        <x:v>-1</x:v>
      </x:c>
      <x:c r="F73" s="53" t="n">
        <x:f>(D73+E73)/2</x:f>
        <x:v>-1.125</x:v>
      </x:c>
      <x:c r="G73" s="54" t="n">
        <x:f>NORMDIST($F73-'Vehicle Economics'!$D$16,0,1,TRUE)</x:f>
        <x:v>0.13029451713680884</x:v>
      </x:c>
      <x:c r="H73" s="54" t="n">
        <x:f>NORMDIST($F73-'Vehicle Economics'!$E$16,0,1,TRUE)</x:f>
        <x:v>0.08395994826693248</x:v>
      </x:c>
      <x:c r="I73" s="54" t="n">
        <x:f>NORMDIST($F73-'Vehicle Economics'!$F$16,0,1,TRUE)</x:f>
        <x:v>0.11288587084203644</x:v>
      </x:c>
      <x:c r="J73" s="54" t="n">
        <x:f>NORMDIST($F73-'Vehicle Economics'!$G$16,0,1,TRUE)</x:f>
        <x:v>0.08145892988591552</x:v>
      </x:c>
      <x:c r="K73" s="53" t="n">
        <x:f>SUMPRODUCT(G73:J73,$D$19:$G$19)/$H$19</x:f>
        <x:v>0.09790629919429347</x:v>
      </x:c>
      <x:c r="L73" s="54" t="n">
        <x:f>'AD Fees &amp; TLF'!$D$7</x:f>
        <x:v>0.107</x:v>
      </x:c>
    </x:row>
    <x:row r="74" ht="18" customHeight="1">
      <x:c r="A74" s="2"/>
      <x:c r="B74" s="2"/>
      <x:c r="C74" s="2" t="n">
        <x:v>8</x:v>
      </x:c>
      <x:c r="D74" s="53" t="n">
        <x:f>IF(K73&lt;L73,F73,D73)</x:f>
        <x:v>-1.125</x:v>
      </x:c>
      <x:c r="E74" s="53" t="n">
        <x:f>IF(K73&lt;L73,E73,F73)</x:f>
        <x:v>-1</x:v>
      </x:c>
      <x:c r="F74" s="53" t="n">
        <x:f>(D74+E74)/2</x:f>
        <x:v>-1.0625</x:v>
      </x:c>
      <x:c r="G74" s="54" t="n">
        <x:f>NORMDIST($F74-'Vehicle Economics'!$D$16,0,1,TRUE)</x:f>
        <x:v>0.14400437900197094</x:v>
      </x:c>
      <x:c r="H74" s="54" t="n">
        <x:f>NORMDIST($F74-'Vehicle Economics'!$E$16,0,1,TRUE)</x:f>
        <x:v>0.09401681530784561</x:v>
      </x:c>
      <x:c r="I74" s="54" t="n">
        <x:f>NORMDIST($F74-'Vehicle Economics'!$F$16,0,1,TRUE)</x:f>
        <x:v>0.12531454293105343</x:v>
      </x:c>
      <x:c r="J74" s="54" t="n">
        <x:f>NORMDIST($F74-'Vehicle Economics'!$G$16,0,1,TRUE)</x:f>
        <x:v>0.09129462155173201</x:v>
      </x:c>
      <x:c r="K74" s="53" t="n">
        <x:f>SUMPRODUCT(G74:J74,$D$19:$G$19)/$H$19</x:f>
        <x:v>0.10907503816043111</x:v>
      </x:c>
      <x:c r="L74" s="54" t="n">
        <x:f>'AD Fees &amp; TLF'!$D$7</x:f>
        <x:v>0.107</x:v>
      </x:c>
    </x:row>
    <x:row r="75" ht="18" customHeight="1">
      <x:c r="A75" s="2"/>
      <x:c r="B75" s="2"/>
      <x:c r="C75" s="2" t="n">
        <x:v>9</x:v>
      </x:c>
      <x:c r="D75" s="53" t="n">
        <x:f>IF(K74&lt;L74,F74,D74)</x:f>
        <x:v>-1.125</x:v>
      </x:c>
      <x:c r="E75" s="53" t="n">
        <x:f>IF(K74&lt;L74,E74,F74)</x:f>
        <x:v>-1.0625</x:v>
      </x:c>
      <x:c r="F75" s="53" t="n">
        <x:f>(D75+E75)/2</x:f>
        <x:v>-1.09375</x:v>
      </x:c>
      <x:c r="G75" s="54" t="n">
        <x:f>NORMDIST($F75-'Vehicle Economics'!$D$16,0,1,TRUE)</x:f>
        <x:v>0.1370323193049116</x:v>
      </x:c>
      <x:c r="H75" s="54" t="n">
        <x:f>NORMDIST($F75-'Vehicle Economics'!$E$16,0,1,TRUE)</x:f>
        <x:v>0.08888252071546493</x:v>
      </x:c>
      <x:c r="I75" s="54" t="n">
        <x:f>NORMDIST($F75-'Vehicle Economics'!$F$16,0,1,TRUE)</x:f>
        <x:v>0.11898564530892786</x:v>
      </x:c>
      <x:c r="J75" s="54" t="n">
        <x:f>NORMDIST($F75-'Vehicle Economics'!$G$16,0,1,TRUE)</x:f>
        <x:v>0.08627198276189207</x:v>
      </x:c>
      <x:c r="K75" s="53" t="n">
        <x:f>SUMPRODUCT(G75:J75,$D$19:$G$19)/$H$19</x:f>
        <x:v>0.10338119219528953</x:v>
      </x:c>
      <x:c r="L75" s="54" t="n">
        <x:f>'AD Fees &amp; TLF'!$D$7</x:f>
        <x:v>0.107</x:v>
      </x:c>
    </x:row>
    <x:row r="76" ht="18" customHeight="1">
      <x:c r="A76" s="2"/>
      <x:c r="B76" s="2"/>
      <x:c r="C76" s="2" t="n">
        <x:v>10</x:v>
      </x:c>
      <x:c r="D76" s="53" t="n">
        <x:f>IF(K75&lt;L75,F75,D75)</x:f>
        <x:v>-1.09375</x:v>
      </x:c>
      <x:c r="E76" s="53" t="n">
        <x:f>IF(K75&lt;L75,E75,F75)</x:f>
        <x:v>-1.0625</x:v>
      </x:c>
      <x:c r="F76" s="53" t="n">
        <x:f>(D76+E76)/2</x:f>
        <x:v>-1.078125</x:v>
      </x:c>
      <x:c r="G76" s="54" t="n">
        <x:f>NORMDIST($F76-'Vehicle Economics'!$D$16,0,1,TRUE)</x:f>
        <x:v>0.1404889881331568</x:v>
      </x:c>
      <x:c r="H76" s="54" t="n">
        <x:f>NORMDIST($F76-'Vehicle Economics'!$E$16,0,1,TRUE)</x:f>
        <x:v>0.09142295427133046</x:v>
      </x:c>
      <x:c r="I76" s="54" t="n">
        <x:f>NORMDIST($F76-'Vehicle Economics'!$F$16,0,1,TRUE)</x:f>
        <x:v>0.12212130772455132</x:v>
      </x:c>
      <x:c r="J76" s="54" t="n">
        <x:f>NORMDIST($F76-'Vehicle Economics'!$G$16,0,1,TRUE)</x:f>
        <x:v>0.08875684751264334</x:v>
      </x:c>
      <x:c r="K76" s="53" t="n">
        <x:f>SUMPRODUCT(G76:J76,$D$19:$G$19)/$H$19</x:f>
        <x:v>0.10620054820297672</x:v>
      </x:c>
      <x:c r="L76" s="54" t="n">
        <x:f>'AD Fees &amp; TLF'!$D$7</x:f>
        <x:v>0.107</x:v>
      </x:c>
    </x:row>
    <x:row r="77" ht="18" customHeight="1">
      <x:c r="A77" s="2"/>
      <x:c r="B77" s="2"/>
      <x:c r="C77" s="2" t="n">
        <x:v>11</x:v>
      </x:c>
      <x:c r="D77" s="53" t="n">
        <x:f>IF(K76&lt;L76,F76,D76)</x:f>
        <x:v>-1.078125</x:v>
      </x:c>
      <x:c r="E77" s="53" t="n">
        <x:f>IF(K76&lt;L76,E76,F76)</x:f>
        <x:v>-1.0625</x:v>
      </x:c>
      <x:c r="F77" s="53" t="n">
        <x:f>(D77+E77)/2</x:f>
        <x:v>-1.0703125</x:v>
      </x:c>
      <x:c r="G77" s="54" t="n">
        <x:f>NORMDIST($F77-'Vehicle Economics'!$D$16,0,1,TRUE)</x:f>
        <x:v>0.14223933488449902</x:v>
      </x:c>
      <x:c r="H77" s="54" t="n">
        <x:f>NORMDIST($F77-'Vehicle Economics'!$E$16,0,1,TRUE)</x:f>
        <x:v>0.09271317615095781</x:v>
      </x:c>
      <x:c r="I77" s="54" t="n">
        <x:f>NORMDIST($F77-'Vehicle Economics'!$F$16,0,1,TRUE)</x:f>
        <x:v>0.1237107117254348</x:v>
      </x:c>
      <x:c r="J77" s="54" t="n">
        <x:f>NORMDIST($F77-'Vehicle Economics'!$G$16,0,1,TRUE)</x:f>
        <x:v>0.09001908963646466</x:v>
      </x:c>
      <x:c r="K77" s="53" t="n">
        <x:f>SUMPRODUCT(G77:J77,$D$19:$G$19)/$H$19</x:f>
        <x:v>0.10763087773808427</x:v>
      </x:c>
      <x:c r="L77" s="54" t="n">
        <x:f>'AD Fees &amp; TLF'!$D$7</x:f>
        <x:v>0.107</x:v>
      </x:c>
    </x:row>
    <x:row r="78" ht="18" customHeight="1">
      <x:c r="A78" s="2"/>
      <x:c r="B78" s="2"/>
      <x:c r="C78" s="2" t="n">
        <x:v>12</x:v>
      </x:c>
      <x:c r="D78" s="53" t="n">
        <x:f>IF(K77&lt;L77,F77,D77)</x:f>
        <x:v>-1.078125</x:v>
      </x:c>
      <x:c r="E78" s="53" t="n">
        <x:f>IF(K77&lt;L77,E77,F77)</x:f>
        <x:v>-1.0703125</x:v>
      </x:c>
      <x:c r="F78" s="53" t="n">
        <x:f>(D78+E78)/2</x:f>
        <x:v>-1.07421875</x:v>
      </x:c>
      <x:c r="G78" s="54" t="n">
        <x:f>NORMDIST($F78-'Vehicle Economics'!$D$16,0,1,TRUE)</x:f>
        <x:v>0.1413623253270413</x:v>
      </x:c>
      <x:c r="H78" s="54" t="n">
        <x:f>NORMDIST($F78-'Vehicle Economics'!$E$16,0,1,TRUE)</x:f>
        <x:v>0.09206639178764592</x:v>
      </x:c>
      <x:c r="I78" s="54" t="n">
        <x:f>NORMDIST($F78-'Vehicle Economics'!$F$16,0,1,TRUE)</x:f>
        <x:v>0.12291420839319367</x:v>
      </x:c>
      <x:c r="J78" s="54" t="n">
        <x:f>NORMDIST($F78-'Vehicle Economics'!$G$16,0,1,TRUE)</x:f>
        <x:v>0.08938631121743917</x:v>
      </x:c>
      <x:c r="K78" s="53" t="n">
        <x:f>SUMPRODUCT(G78:J78,$D$19:$G$19)/$H$19</x:f>
        <x:v>0.10691398702501428</x:v>
      </x:c>
      <x:c r="L78" s="54" t="n">
        <x:f>'AD Fees &amp; TLF'!$D$7</x:f>
        <x:v>0.107</x:v>
      </x:c>
    </x:row>
    <x:row r="79" ht="18" customHeight="1">
      <x:c r="A79" s="2"/>
      <x:c r="B79" s="2"/>
      <x:c r="C79" s="2" t="n">
        <x:v>13</x:v>
      </x:c>
      <x:c r="D79" s="53" t="n">
        <x:f>IF(K78&lt;L78,F78,D78)</x:f>
        <x:v>-1.07421875</x:v>
      </x:c>
      <x:c r="E79" s="53" t="n">
        <x:f>IF(K78&lt;L78,E78,F78)</x:f>
        <x:v>-1.0703125</x:v>
      </x:c>
      <x:c r="F79" s="53" t="n">
        <x:f>(D79+E79)/2</x:f>
        <x:v>-1.072265625</x:v>
      </x:c>
      <x:c r="G79" s="54" t="n">
        <x:f>NORMDIST($F79-'Vehicle Economics'!$D$16,0,1,TRUE)</x:f>
        <x:v>0.1418003709326458</x:v>
      </x:c>
      <x:c r="H79" s="54" t="n">
        <x:f>NORMDIST($F79-'Vehicle Economics'!$E$16,0,1,TRUE)</x:f>
        <x:v>0.09238936514392321</x:v>
      </x:c>
      <x:c r="I79" s="54" t="n">
        <x:f>NORMDIST($F79-'Vehicle Economics'!$F$16,0,1,TRUE)</x:f>
        <x:v>0.12331200946419896</x:v>
      </x:c>
      <x:c r="J79" s="54" t="n">
        <x:f>NORMDIST($F79-'Vehicle Economics'!$G$16,0,1,TRUE)</x:f>
        <x:v>0.08970228560194737</x:v>
      </x:c>
      <x:c r="K79" s="53" t="n">
        <x:f>SUMPRODUCT(G79:J79,$D$19:$G$19)/$H$19</x:f>
        <x:v>0.1072720005277758</x:v>
      </x:c>
      <x:c r="L79" s="54" t="n">
        <x:f>'AD Fees &amp; TLF'!$D$7</x:f>
        <x:v>0.107</x:v>
      </x:c>
    </x:row>
    <x:row r="80" ht="18" customHeight="1">
      <x:c r="A80" s="2"/>
      <x:c r="B80" s="2"/>
      <x:c r="C80" s="2" t="n">
        <x:v>14</x:v>
      </x:c>
      <x:c r="D80" s="53" t="n">
        <x:f>IF(K79&lt;L79,F79,D79)</x:f>
        <x:v>-1.07421875</x:v>
      </x:c>
      <x:c r="E80" s="53" t="n">
        <x:f>IF(K79&lt;L79,E79,F79)</x:f>
        <x:v>-1.072265625</x:v>
      </x:c>
      <x:c r="F80" s="53" t="n">
        <x:f>(D80+E80)/2</x:f>
        <x:v>-1.0732421875</x:v>
      </x:c>
      <x:c r="G80" s="54" t="n">
        <x:f>NORMDIST($F80-'Vehicle Economics'!$D$16,0,1,TRUE)</x:f>
        <x:v>0.14158123335226946</x:v>
      </x:c>
      <x:c r="H80" s="54" t="n">
        <x:f>NORMDIST($F80-'Vehicle Economics'!$E$16,0,1,TRUE)</x:f>
        <x:v>0.09222777381797354</x:v>
      </x:c>
      <x:c r="I80" s="54" t="n">
        <x:f>NORMDIST($F80-'Vehicle Economics'!$F$16,0,1,TRUE)</x:f>
        <x:v>0.12311299631246608</x:v>
      </x:c>
      <x:c r="J80" s="54" t="n">
        <x:f>NORMDIST($F80-'Vehicle Economics'!$G$16,0,1,TRUE)</x:f>
        <x:v>0.08954419476401043</x:v>
      </x:c>
      <x:c r="K80" s="53" t="n">
        <x:f>SUMPRODUCT(G80:J80,$D$19:$G$19)/$H$19</x:f>
        <x:v>0.10709288585869113</x:v>
      </x:c>
      <x:c r="L80" s="54" t="n">
        <x:f>'AD Fees &amp; TLF'!$D$7</x:f>
        <x:v>0.107</x:v>
      </x:c>
    </x:row>
    <x:row r="81" ht="18" customHeight="1">
      <x:c r="A81" s="2"/>
      <x:c r="B81" s="2"/>
      <x:c r="C81" s="2" t="n">
        <x:v>15</x:v>
      </x:c>
      <x:c r="D81" s="53" t="n">
        <x:f>IF(K80&lt;L80,F80,D80)</x:f>
        <x:v>-1.07421875</x:v>
      </x:c>
      <x:c r="E81" s="53" t="n">
        <x:f>IF(K80&lt;L80,E80,F80)</x:f>
        <x:v>-1.0732421875</x:v>
      </x:c>
      <x:c r="F81" s="53" t="n">
        <x:f>(D81+E81)/2</x:f>
        <x:v>-1.07373046875</x:v>
      </x:c>
      <x:c r="G81" s="54" t="n">
        <x:f>NORMDIST($F81-'Vehicle Economics'!$D$16,0,1,TRUE)</x:f>
        <x:v>0.14147175064724737</x:v>
      </x:c>
      <x:c r="H81" s="54" t="n">
        <x:f>NORMDIST($F81-'Vehicle Economics'!$E$16,0,1,TRUE)</x:f>
        <x:v>0.09214705664818723</x:v>
      </x:c>
      <x:c r="I81" s="54" t="n">
        <x:f>NORMDIST($F81-'Vehicle Economics'!$F$16,0,1,TRUE)</x:f>
        <x:v>0.12301357420286035</x:v>
      </x:c>
      <x:c r="J81" s="54" t="n">
        <x:f>NORMDIST($F81-'Vehicle Economics'!$G$16,0,1,TRUE)</x:f>
        <x:v>0.08946522708688803</x:v>
      </x:c>
      <x:c r="K81" s="53" t="n">
        <x:f>SUMPRODUCT(G81:J81,$D$19:$G$19)/$H$19</x:f>
        <x:v>0.10700340946816037</x:v>
      </x:c>
      <x:c r="L81" s="54" t="n">
        <x:f>'AD Fees &amp; TLF'!$D$7</x:f>
        <x:v>0.107</x:v>
      </x:c>
    </x:row>
    <x:row r="82" ht="18" customHeight="1">
      <x:c r="A82" s="2"/>
      <x:c r="B82" s="2"/>
      <x:c r="C82" s="2" t="n">
        <x:v>16</x:v>
      </x:c>
      <x:c r="D82" s="53" t="n">
        <x:f>IF(K81&lt;L81,F81,D81)</x:f>
        <x:v>-1.07421875</x:v>
      </x:c>
      <x:c r="E82" s="53" t="n">
        <x:f>IF(K81&lt;L81,E81,F81)</x:f>
        <x:v>-1.07373046875</x:v>
      </x:c>
      <x:c r="F82" s="53" t="n">
        <x:f>(D82+E82)/2</x:f>
        <x:v>-1.073974609375</x:v>
      </x:c>
      <x:c r="G82" s="54" t="n">
        <x:f>NORMDIST($F82-'Vehicle Economics'!$D$16,0,1,TRUE)</x:f>
        <x:v>0.14141703081429186</x:v>
      </x:c>
      <x:c r="H82" s="54" t="n">
        <x:f>NORMDIST($F82-'Vehicle Economics'!$E$16,0,1,TRUE)</x:f>
        <x:v>0.09210671768017809</x:v>
      </x:c>
      <x:c r="I82" s="54" t="n">
        <x:f>NORMDIST($F82-'Vehicle Economics'!$F$16,0,1,TRUE)</x:f>
        <x:v>0.12296388426104682</x:v>
      </x:c>
      <x:c r="J82" s="54" t="n">
        <x:f>NORMDIST($F82-'Vehicle Economics'!$G$16,0,1,TRUE)</x:f>
        <x:v>0.08942576267715319</x:v>
      </x:c>
      <x:c r="K82" s="53" t="n">
        <x:f>SUMPRODUCT(G82:J82,$D$19:$G$19)/$H$19</x:f>
        <x:v>0.10695869150388197</x:v>
      </x:c>
      <x:c r="L82" s="54" t="n">
        <x:f>'AD Fees &amp; TLF'!$D$7</x:f>
        <x:v>0.107</x:v>
      </x:c>
    </x:row>
    <x:row r="83" ht="18" customHeight="1">
      <x:c r="A83" s="2"/>
      <x:c r="B83" s="2"/>
      <x:c r="C83" s="2" t="n">
        <x:v>17</x:v>
      </x:c>
      <x:c r="D83" s="53" t="n">
        <x:f>IF(K82&lt;L82,F82,D82)</x:f>
        <x:v>-1.073974609375</x:v>
      </x:c>
      <x:c r="E83" s="53" t="n">
        <x:f>IF(K82&lt;L82,E82,F82)</x:f>
        <x:v>-1.07373046875</x:v>
      </x:c>
      <x:c r="F83" s="53" t="n">
        <x:f>(D83+E83)/2</x:f>
        <x:v>-1.0738525390625</x:v>
      </x:c>
      <x:c r="G83" s="54" t="n">
        <x:f>NORMDIST($F83-'Vehicle Economics'!$D$16,0,1,TRUE)</x:f>
        <x:v>0.1414443889375252</x:v>
      </x:c>
      <x:c r="H83" s="54" t="n">
        <x:f>NORMDIST($F83-'Vehicle Economics'!$E$16,0,1,TRUE)</x:f>
        <x:v>0.09212688552963333</x:v>
      </x:c>
      <x:c r="I83" s="54" t="n">
        <x:f>NORMDIST($F83-'Vehicle Economics'!$F$16,0,1,TRUE)</x:f>
        <x:v>0.1229887274726445</x:v>
      </x:c>
      <x:c r="J83" s="54" t="n">
        <x:f>NORMDIST($F83-'Vehicle Economics'!$G$16,0,1,TRUE)</x:f>
        <x:v>0.08944549326314938</x:v>
      </x:c>
      <x:c r="K83" s="53" t="n">
        <x:f>SUMPRODUCT(G83:J83,$D$19:$G$19)/$H$19</x:f>
        <x:v>0.10698104880025502</x:v>
      </x:c>
      <x:c r="L83" s="54" t="n">
        <x:f>'AD Fees &amp; TLF'!$D$7</x:f>
        <x:v>0.107</x:v>
      </x:c>
    </x:row>
    <x:row r="84" ht="18" customHeight="1">
      <x:c r="A84" s="2"/>
      <x:c r="B84" s="2"/>
      <x:c r="C84" s="2" t="n">
        <x:v>18</x:v>
      </x:c>
      <x:c r="D84" s="53" t="n">
        <x:f>IF(K83&lt;L83,F83,D83)</x:f>
        <x:v>-1.0738525390625</x:v>
      </x:c>
      <x:c r="E84" s="53" t="n">
        <x:f>IF(K83&lt;L83,E83,F83)</x:f>
        <x:v>-1.07373046875</x:v>
      </x:c>
      <x:c r="F84" s="53" t="n">
        <x:f>(D84+E84)/2</x:f>
        <x:v>-1.07379150390625</x:v>
      </x:c>
      <x:c r="G84" s="54" t="n">
        <x:f>NORMDIST($F84-'Vehicle Economics'!$D$16,0,1,TRUE)</x:f>
        <x:v>0.14145806934407135</x:v>
      </x:c>
      <x:c r="H84" s="54" t="n">
        <x:f>NORMDIST($F84-'Vehicle Economics'!$E$16,0,1,TRUE)</x:f>
        <x:v>0.09213697068025861</x:v>
      </x:c>
      <x:c r="I84" s="54" t="n">
        <x:f>NORMDIST($F84-'Vehicle Economics'!$F$16,0,1,TRUE)</x:f>
        <x:v>0.12300115039791715</x:v>
      </x:c>
      <x:c r="J84" s="54" t="n">
        <x:f>NORMDIST($F84-'Vehicle Economics'!$G$16,0,1,TRUE)</x:f>
        <x:v>0.08945535977028607</x:v>
      </x:c>
      <x:c r="K84" s="53" t="n">
        <x:f>SUMPRODUCT(G84:J84,$D$19:$G$19)/$H$19</x:f>
        <x:v>0.10699222871275496</x:v>
      </x:c>
      <x:c r="L84" s="54" t="n">
        <x:f>'AD Fees &amp; TLF'!$D$7</x:f>
        <x:v>0.107</x:v>
      </x:c>
    </x:row>
    <x:row r="85" ht="18" customHeight="1">
      <x:c r="A85" s="2"/>
      <x:c r="B85" s="2"/>
      <x:c r="C85" s="2" t="n">
        <x:v>19</x:v>
      </x:c>
      <x:c r="D85" s="53" t="n">
        <x:f>IF(K84&lt;L84,F84,D84)</x:f>
        <x:v>-1.07379150390625</x:v>
      </x:c>
      <x:c r="E85" s="53" t="n">
        <x:f>IF(K84&lt;L84,E84,F84)</x:f>
        <x:v>-1.07373046875</x:v>
      </x:c>
      <x:c r="F85" s="53" t="n">
        <x:f>(D85+E85)/2</x:f>
        <x:v>-1.073760986328125</x:v>
      </x:c>
      <x:c r="G85" s="54" t="n">
        <x:f>NORMDIST($F85-'Vehicle Economics'!$D$16,0,1,TRUE)</x:f>
        <x:v>0.14146490988358007</x:v>
      </x:c>
      <x:c r="H85" s="54" t="n">
        <x:f>NORMDIST($F85-'Vehicle Economics'!$E$16,0,1,TRUE)</x:f>
        <x:v>0.0921420135620582</x:v>
      </x:c>
      <x:c r="I85" s="54" t="n">
        <x:f>NORMDIST($F85-'Vehicle Economics'!$F$16,0,1,TRUE)</x:f>
        <x:v>0.1230073621904289</x:v>
      </x:c>
      <x:c r="J85" s="54" t="n">
        <x:f>NORMDIST($F85-'Vehicle Economics'!$G$16,0,1,TRUE)</x:f>
        <x:v>0.08946029332740202</x:v>
      </x:c>
      <x:c r="K85" s="53" t="n">
        <x:f>SUMPRODUCT(G85:J85,$D$19:$G$19)/$H$19</x:f>
        <x:v>0.10699781898509307</x:v>
      </x:c>
      <x:c r="L85" s="54" t="n">
        <x:f>'AD Fees &amp; TLF'!$D$7</x:f>
        <x:v>0.107</x:v>
      </x:c>
    </x:row>
    <x:row r="86" ht="18" customHeight="1">
      <x:c r="A86" s="2"/>
      <x:c r="B86" s="2"/>
      <x:c r="C86" s="2" t="n">
        <x:v>20</x:v>
      </x:c>
      <x:c r="D86" s="53" t="n">
        <x:f>IF(K85&lt;L85,F85,D85)</x:f>
        <x:v>-1.073760986328125</x:v>
      </x:c>
      <x:c r="E86" s="53" t="n">
        <x:f>IF(K85&lt;L85,E85,F85)</x:f>
        <x:v>-1.07373046875</x:v>
      </x:c>
      <x:c r="F86" s="53" t="n">
        <x:f>(D86+E86)/2</x:f>
        <x:v>-1.0737457275390625</x:v>
      </x:c>
      <x:c r="G86" s="54" t="n">
        <x:f>NORMDIST($F86-'Vehicle Economics'!$D$16,0,1,TRUE)</x:f>
        <x:v>0.1414683302373939</x:v>
      </x:c>
      <x:c r="H86" s="54" t="n">
        <x:f>NORMDIST($F86-'Vehicle Economics'!$E$16,0,1,TRUE)</x:f>
        <x:v>0.09214453507958131</x:v>
      </x:c>
      <x:c r="I86" s="54" t="n">
        <x:f>NORMDIST($F86-'Vehicle Economics'!$F$16,0,1,TRUE)</x:f>
        <x:v>0.12301046816915451</x:v>
      </x:c>
      <x:c r="J86" s="54" t="n">
        <x:f>NORMDIST($F86-'Vehicle Economics'!$G$16,0,1,TRUE)</x:f>
        <x:v>0.08946276018184857</x:v>
      </x:c>
      <x:c r="K86" s="53" t="n">
        <x:f>SUMPRODUCT(G86:J86,$D$19:$G$19)/$H$19</x:f>
        <x:v>0.1070006142002854</x:v>
      </x:c>
      <x:c r="L86" s="54" t="n">
        <x:f>'AD Fees &amp; TLF'!$D$7</x:f>
        <x:v>0.107</x:v>
      </x:c>
    </x:row>
    <x:row r="87" ht="18" customHeight="1">
      <x:c r="A87" s="2"/>
      <x:c r="B87" s="2"/>
      <x:c r="C87" s="2" t="n">
        <x:v>21</x:v>
      </x:c>
      <x:c r="D87" s="53" t="n">
        <x:f>IF(K86&lt;L86,F86,D86)</x:f>
        <x:v>-1.073760986328125</x:v>
      </x:c>
      <x:c r="E87" s="53" t="n">
        <x:f>IF(K86&lt;L86,E86,F86)</x:f>
        <x:v>-1.0737457275390625</x:v>
      </x:c>
      <x:c r="F87" s="53" t="n">
        <x:f>(D87+E87)/2</x:f>
        <x:v>-1.0737533569335938</x:v>
      </x:c>
      <x:c r="G87" s="54" t="n">
        <x:f>NORMDIST($F87-'Vehicle Economics'!$D$16,0,1,TRUE)</x:f>
        <x:v>0.14146662005348198</x:v>
      </x:c>
      <x:c r="H87" s="54" t="n">
        <x:f>NORMDIST($F87-'Vehicle Economics'!$E$16,0,1,TRUE)</x:f>
        <x:v>0.09214327431443448</x:v>
      </x:c>
      <x:c r="I87" s="54" t="n">
        <x:f>NORMDIST($F87-'Vehicle Economics'!$F$16,0,1,TRUE)</x:f>
        <x:v>0.12300891517291923</x:v>
      </x:c>
      <x:c r="J87" s="54" t="n">
        <x:f>NORMDIST($F87-'Vehicle Economics'!$G$16,0,1,TRUE)</x:f>
        <x:v>0.08946152674830121</x:v>
      </x:c>
      <x:c r="K87" s="53" t="n">
        <x:f>SUMPRODUCT(G87:J87,$D$19:$G$19)/$H$19</x:f>
        <x:v>0.10699921658610395</x:v>
      </x:c>
      <x:c r="L87" s="54" t="n">
        <x:f>'AD Fees &amp; TLF'!$D$7</x:f>
        <x:v>0.107</x:v>
      </x:c>
    </x:row>
    <x:row r="88" ht="18" customHeight="1">
      <x:c r="A88" s="2"/>
      <x:c r="B88" s="2"/>
      <x:c r="C88" s="2" t="n">
        <x:v>22</x:v>
      </x:c>
      <x:c r="D88" s="53" t="n">
        <x:f>IF(K87&lt;L87,F87,D87)</x:f>
        <x:v>-1.0737533569335938</x:v>
      </x:c>
      <x:c r="E88" s="53" t="n">
        <x:f>IF(K87&lt;L87,E87,F87)</x:f>
        <x:v>-1.0737457275390625</x:v>
      </x:c>
      <x:c r="F88" s="53" t="n">
        <x:f>(D88+E88)/2</x:f>
        <x:v>-1.0737495422363281</x:v>
      </x:c>
      <x:c r="G88" s="54" t="n">
        <x:f>NORMDIST($F88-'Vehicle Economics'!$D$16,0,1,TRUE)</x:f>
        <x:v>0.14146747514368668</x:v>
      </x:c>
      <x:c r="H88" s="54" t="n">
        <x:f>NORMDIST($F88-'Vehicle Economics'!$E$16,0,1,TRUE)</x:f>
        <x:v>0.09214390469541156</x:v>
      </x:c>
      <x:c r="I88" s="54" t="n">
        <x:f>NORMDIST($F88-'Vehicle Economics'!$F$16,0,1,TRUE)</x:f>
        <x:v>0.12300969166931874</x:v>
      </x:c>
      <x:c r="J88" s="54" t="n">
        <x:f>NORMDIST($F88-'Vehicle Economics'!$G$16,0,1,TRUE)</x:f>
        <x:v>0.08946214346349385</x:v>
      </x:c>
      <x:c r="K88" s="53" t="n">
        <x:f>SUMPRODUCT(G88:J88,$D$19:$G$19)/$H$19</x:f>
        <x:v>0.10699991539154834</x:v>
      </x:c>
      <x:c r="L88" s="54" t="n">
        <x:f>'AD Fees &amp; TLF'!$D$7</x:f>
        <x:v>0.107</x:v>
      </x:c>
    </x:row>
    <x:row r="89" ht="18" customHeight="1">
      <x:c r="A89" s="2"/>
      <x:c r="B89" s="2"/>
      <x:c r="C89" s="2" t="n">
        <x:v>23</x:v>
      </x:c>
      <x:c r="D89" s="53" t="n">
        <x:f>IF(K88&lt;L88,F88,D88)</x:f>
        <x:v>-1.0737495422363281</x:v>
      </x:c>
      <x:c r="E89" s="53" t="n">
        <x:f>IF(K88&lt;L88,E88,F88)</x:f>
        <x:v>-1.0737457275390625</x:v>
      </x:c>
      <x:c r="F89" s="53" t="n">
        <x:f>(D89+E89)/2</x:f>
        <x:v>-1.0737476348876953</x:v>
      </x:c>
      <x:c r="G89" s="54" t="n">
        <x:f>NORMDIST($F89-'Vehicle Economics'!$D$16,0,1,TRUE)</x:f>
        <x:v>0.14146790269010245</x:v>
      </x:c>
      <x:c r="H89" s="54" t="n">
        <x:f>NORMDIST($F89-'Vehicle Economics'!$E$16,0,1,TRUE)</x:f>
        <x:v>0.09214421988709731</x:v>
      </x:c>
      <x:c r="I89" s="54" t="n">
        <x:f>NORMDIST($F89-'Vehicle Economics'!$F$16,0,1,TRUE)</x:f>
        <x:v>0.12301007991880708</x:v>
      </x:c>
      <x:c r="J89" s="54" t="n">
        <x:f>NORMDIST($F89-'Vehicle Economics'!$G$16,0,1,TRUE)</x:f>
        <x:v>0.08946245182227597</x:v>
      </x:c>
      <x:c r="K89" s="53" t="n">
        <x:f>SUMPRODUCT(G89:J89,$D$19:$G$19)/$H$19</x:f>
        <x:v>0.10700026479550526</x:v>
      </x:c>
      <x:c r="L89" s="54" t="n">
        <x:f>'AD Fees &amp; TLF'!$D$7</x:f>
        <x:v>0.107</x:v>
      </x:c>
    </x:row>
    <x:row r="90" ht="18" customHeight="1">
      <x:c r="A90" s="2"/>
      <x:c r="B90" s="2"/>
      <x:c r="C90" s="2" t="n">
        <x:v>24</x:v>
      </x:c>
      <x:c r="D90" s="53" t="n">
        <x:f>IF(K89&lt;L89,F89,D89)</x:f>
        <x:v>-1.0737495422363281</x:v>
      </x:c>
      <x:c r="E90" s="53" t="n">
        <x:f>IF(K89&lt;L89,E89,F89)</x:f>
        <x:v>-1.0737476348876953</x:v>
      </x:c>
      <x:c r="F90" s="53" t="n">
        <x:f>(D90+E90)/2</x:f>
        <x:v>-1.0737485885620117</x:v>
      </x:c>
      <x:c r="G90" s="54" t="n">
        <x:f>NORMDIST($F90-'Vehicle Economics'!$D$16,0,1,TRUE)</x:f>
        <x:v>0.14146768891678518</x:v>
      </x:c>
      <x:c r="H90" s="54" t="n">
        <x:f>NORMDIST($F90-'Vehicle Economics'!$E$16,0,1,TRUE)</x:f>
        <x:v>0.09214406229115468</x:v>
      </x:c>
      <x:c r="I90" s="54" t="n">
        <x:f>NORMDIST($F90-'Vehicle Economics'!$F$16,0,1,TRUE)</x:f>
        <x:v>0.12300988579395555</x:v>
      </x:c>
      <x:c r="J90" s="54" t="n">
        <x:f>NORMDIST($F90-'Vehicle Economics'!$G$16,0,1,TRUE)</x:f>
        <x:v>0.08946229764278613</x:v>
      </x:c>
      <x:c r="K90" s="53" t="n">
        <x:f>SUMPRODUCT(G90:J90,$D$19:$G$19)/$H$19</x:f>
        <x:v>0.10700009009342394</x:v>
      </x:c>
      <x:c r="L90" s="54" t="n">
        <x:f>'AD Fees &amp; TLF'!$D$7</x:f>
        <x:v>0.107</x:v>
      </x:c>
    </x:row>
    <x:row r="91" ht="18" customHeight="1">
      <x:c r="A91" s="2"/>
      <x:c r="B91" s="2"/>
      <x:c r="C91" s="2" t="n">
        <x:v>25</x:v>
      </x:c>
      <x:c r="D91" s="53" t="n">
        <x:f>IF(K90&lt;L90,F90,D90)</x:f>
        <x:v>-1.0737495422363281</x:v>
      </x:c>
      <x:c r="E91" s="53" t="n">
        <x:f>IF(K90&lt;L90,E90,F90)</x:f>
        <x:v>-1.0737485885620117</x:v>
      </x:c>
      <x:c r="F91" s="53" t="n">
        <x:f>(D91+E91)/2</x:f>
        <x:v>-1.07374906539917</x:v>
      </x:c>
      <x:c r="G91" s="54" t="n">
        <x:f>NORMDIST($F91-'Vehicle Economics'!$D$16,0,1,TRUE)</x:f>
        <x:v>0.14146758203020854</x:v>
      </x:c>
      <x:c r="H91" s="54" t="n">
        <x:f>NORMDIST($F91-'Vehicle Economics'!$E$16,0,1,TRUE)</x:f>
        <x:v>0.0921439834932582</x:v>
      </x:c>
      <x:c r="I91" s="54" t="n">
        <x:f>NORMDIST($F91-'Vehicle Economics'!$F$16,0,1,TRUE)</x:f>
        <x:v>0.12300978873161028</x:v>
      </x:c>
      <x:c r="J91" s="54" t="n">
        <x:f>NORMDIST($F91-'Vehicle Economics'!$G$16,0,1,TRUE)</x:f>
        <x:v>0.08946222055311526</x:v>
      </x:c>
      <x:c r="K91" s="53" t="n">
        <x:f>SUMPRODUCT(G91:J91,$D$19:$G$19)/$H$19</x:f>
        <x:v>0.1070000027424604</x:v>
      </x:c>
      <x:c r="L91" s="54" t="n">
        <x:f>'AD Fees &amp; TLF'!$D$7</x:f>
        <x:v>0.107</x:v>
      </x:c>
    </x:row>
    <x:row r="92" ht="18" customHeight="1">
      <x:c r="A92" s="2"/>
      <x:c r="B92" s="2"/>
      <x:c r="C92" s="2" t="n">
        <x:v>26</x:v>
      </x:c>
      <x:c r="D92" s="53" t="n">
        <x:f>IF(K91&lt;L91,F91,D91)</x:f>
        <x:v>-1.0737495422363281</x:v>
      </x:c>
      <x:c r="E92" s="53" t="n">
        <x:f>IF(K91&lt;L91,E91,F91)</x:f>
        <x:v>-1.07374906539917</x:v>
      </x:c>
      <x:c r="F92" s="53" t="n">
        <x:f>(D92+E92)/2</x:f>
        <x:v>-1.073749303817749</x:v>
      </x:c>
      <x:c r="G92" s="54" t="n">
        <x:f>NORMDIST($F92-'Vehicle Economics'!$D$16,0,1,TRUE)</x:f>
        <x:v>0.14146752858694078</x:v>
      </x:c>
      <x:c r="H92" s="54" t="n">
        <x:f>NORMDIST($F92-'Vehicle Economics'!$E$16,0,1,TRUE)</x:f>
        <x:v>0.09214394409432858</x:v>
      </x:c>
      <x:c r="I92" s="54" t="n">
        <x:f>NORMDIST($F92-'Vehicle Economics'!$F$16,0,1,TRUE)</x:f>
        <x:v>0.1230097402004578</x:v>
      </x:c>
      <x:c r="J92" s="54" t="n">
        <x:f>NORMDIST($F92-'Vehicle Economics'!$G$16,0,1,TRUE)</x:f>
        <x:v>0.08946218200829836</x:v>
      </x:c>
      <x:c r="K92" s="53" t="n">
        <x:f>SUMPRODUCT(G92:J92,$D$19:$G$19)/$H$19</x:f>
        <x:v>0.1069999590669979</x:v>
      </x:c>
      <x:c r="L92" s="54" t="n">
        <x:f>'AD Fees &amp; TLF'!$D$7</x:f>
        <x:v>0.107</x:v>
      </x:c>
    </x:row>
    <x:row r="93" ht="18" customHeight="1">
      <x:c r="A93" s="2"/>
      <x:c r="B93" s="2"/>
      <x:c r="C93" s="2" t="n">
        <x:v>27</x:v>
      </x:c>
      <x:c r="D93" s="53" t="n">
        <x:f>IF(K92&lt;L92,F92,D92)</x:f>
        <x:v>-1.073749303817749</x:v>
      </x:c>
      <x:c r="E93" s="53" t="n">
        <x:f>IF(K92&lt;L92,E92,F92)</x:f>
        <x:v>-1.07374906539917</x:v>
      </x:c>
      <x:c r="F93" s="53" t="n">
        <x:f>(D93+E93)/2</x:f>
        <x:v>-1.0737491846084595</x:v>
      </x:c>
      <x:c r="G93" s="54" t="n">
        <x:f>NORMDIST($F93-'Vehicle Economics'!$D$16,0,1,TRUE)</x:f>
        <x:v>0.14146755530857302</x:v>
      </x:c>
      <x:c r="H93" s="54" t="n">
        <x:f>NORMDIST($F93-'Vehicle Economics'!$E$16,0,1,TRUE)</x:f>
        <x:v>0.09214396379379186</x:v>
      </x:c>
      <x:c r="I93" s="54" t="n">
        <x:f>NORMDIST($F93-'Vehicle Economics'!$F$16,0,1,TRUE)</x:f>
        <x:v>0.1230097644660324</x:v>
      </x:c>
      <x:c r="J93" s="54" t="n">
        <x:f>NORMDIST($F93-'Vehicle Economics'!$G$16,0,1,TRUE)</x:f>
        <x:v>0.08946220128070526</x:v>
      </x:c>
      <x:c r="K93" s="53" t="n">
        <x:f>SUMPRODUCT(G93:J93,$D$19:$G$19)/$H$19</x:f>
        <x:v>0.10699998090472759</x:v>
      </x:c>
      <x:c r="L93" s="54" t="n">
        <x:f>'AD Fees &amp; TLF'!$D$7</x:f>
        <x:v>0.107</x:v>
      </x:c>
    </x:row>
    <x:row r="94" ht="18" customHeight="1">
      <x:c r="A94" s="2"/>
      <x:c r="B94" s="2"/>
      <x:c r="C94" s="2" t="n">
        <x:v>28</x:v>
      </x:c>
      <x:c r="D94" s="53" t="n">
        <x:f>IF(K93&lt;L93,F93,D93)</x:f>
        <x:v>-1.0737491846084595</x:v>
      </x:c>
      <x:c r="E94" s="53" t="n">
        <x:f>IF(K93&lt;L93,E93,F93)</x:f>
        <x:v>-1.07374906539917</x:v>
      </x:c>
      <x:c r="F94" s="53" t="n">
        <x:f>(D94+E94)/2</x:f>
        <x:v>-1.0737491250038147</x:v>
      </x:c>
      <x:c r="G94" s="54" t="n">
        <x:f>NORMDIST($F94-'Vehicle Economics'!$D$16,0,1,TRUE)</x:f>
        <x:v>0.1414675686693903</x:v>
      </x:c>
      <x:c r="H94" s="54" t="n">
        <x:f>NORMDIST($F94-'Vehicle Economics'!$E$16,0,1,TRUE)</x:f>
        <x:v>0.09214397364352456</x:v>
      </x:c>
      <x:c r="I94" s="54" t="n">
        <x:f>NORMDIST($F94-'Vehicle Economics'!$F$16,0,1,TRUE)</x:f>
        <x:v>0.12300977659882095</x:v>
      </x:c>
      <x:c r="J94" s="54" t="n">
        <x:f>NORMDIST($F94-'Vehicle Economics'!$G$16,0,1,TRUE)</x:f>
        <x:v>0.08946221091690987</x:v>
      </x:c>
      <x:c r="K94" s="53" t="n">
        <x:f>SUMPRODUCT(G94:J94,$D$19:$G$19)/$H$19</x:f>
        <x:v>0.10699999182359356</x:v>
      </x:c>
      <x:c r="L94" s="54" t="n">
        <x:f>'AD Fees &amp; TLF'!$D$7</x:f>
        <x:v>0.107</x:v>
      </x:c>
    </x:row>
    <x:row r="95" ht="18" customHeight="1">
      <x:c r="A95" s="2"/>
      <x:c r="B95" s="2"/>
      <x:c r="C95" s="2" t="n">
        <x:v>29</x:v>
      </x:c>
      <x:c r="D95" s="53" t="n">
        <x:f>IF(K94&lt;L94,F94,D94)</x:f>
        <x:v>-1.0737491250038147</x:v>
      </x:c>
      <x:c r="E95" s="53" t="n">
        <x:f>IF(K94&lt;L94,E94,F94)</x:f>
        <x:v>-1.07374906539917</x:v>
      </x:c>
      <x:c r="F95" s="53" t="n">
        <x:f>(D95+E95)/2</x:f>
        <x:v>-1.0737490952014923</x:v>
      </x:c>
      <x:c r="G95" s="54" t="n">
        <x:f>NORMDIST($F95-'Vehicle Economics'!$D$16,0,1,TRUE)</x:f>
        <x:v>0.1414675753497993</x:v>
      </x:c>
      <x:c r="H95" s="54" t="n">
        <x:f>NORMDIST($F95-'Vehicle Economics'!$E$16,0,1,TRUE)</x:f>
        <x:v>0.0921439785683913</x:v>
      </x:c>
      <x:c r="I95" s="54" t="n">
        <x:f>NORMDIST($F95-'Vehicle Economics'!$F$16,0,1,TRUE)</x:f>
        <x:v>0.12300978266521556</x:v>
      </x:c>
      <x:c r="J95" s="54" t="n">
        <x:f>NORMDIST($F95-'Vehicle Economics'!$G$16,0,1,TRUE)</x:f>
        <x:v>0.08946221573501245</x:v>
      </x:c>
      <x:c r="K95" s="53" t="n">
        <x:f>SUMPRODUCT(G95:J95,$D$19:$G$19)/$H$19</x:f>
        <x:v>0.10699999728302688</x:v>
      </x:c>
      <x:c r="L95" s="54" t="n">
        <x:f>'AD Fees &amp; TLF'!$D$7</x:f>
        <x:v>0.107</x:v>
      </x:c>
    </x:row>
    <x:row r="96" ht="18" customHeight="1">
      <x:c r="A96" s="2"/>
      <x:c r="B96" s="2"/>
      <x:c r="C96" s="2" t="n">
        <x:v>30</x:v>
      </x:c>
      <x:c r="D96" s="53" t="n">
        <x:f>IF(K95&lt;L95,F95,D95)</x:f>
        <x:v>-1.0737490952014923</x:v>
      </x:c>
      <x:c r="E96" s="53" t="n">
        <x:f>IF(K95&lt;L95,E95,F95)</x:f>
        <x:v>-1.07374906539917</x:v>
      </x:c>
      <x:c r="F96" s="53" t="n">
        <x:f>(D96+E96)/2</x:f>
        <x:v>-1.0737490803003311</x:v>
      </x:c>
      <x:c r="G96" s="54" t="n">
        <x:f>NORMDIST($F96-'Vehicle Economics'!$D$16,0,1,TRUE)</x:f>
        <x:v>0.14146757869000393</x:v>
      </x:c>
      <x:c r="H96" s="54" t="n">
        <x:f>NORMDIST($F96-'Vehicle Economics'!$E$16,0,1,TRUE)</x:f>
        <x:v>0.09214398103082472</x:v>
      </x:c>
      <x:c r="I96" s="54" t="n">
        <x:f>NORMDIST($F96-'Vehicle Economics'!$F$16,0,1,TRUE)</x:f>
        <x:v>0.12300978569841292</x:v>
      </x:c>
      <x:c r="J96" s="54" t="n">
        <x:f>NORMDIST($F96-'Vehicle Economics'!$G$16,0,1,TRUE)</x:f>
        <x:v>0.08946221814406385</x:v>
      </x:c>
      <x:c r="K96" s="53" t="n">
        <x:f>SUMPRODUCT(G96:J96,$D$19:$G$19)/$H$19</x:f>
        <x:v>0.10700000001274362</x:v>
      </x:c>
      <x:c r="L96" s="54" t="n">
        <x:f>'AD Fees &amp; TLF'!$D$7</x:f>
        <x:v>0.107</x:v>
      </x:c>
    </x:row>
    <x:row r="97" ht="18" customHeight="1">
      <x:c r="A97" s="2"/>
      <x:c r="B97" s="2"/>
      <x:c r="C97" s="2" t="n">
        <x:v>31</x:v>
      </x:c>
      <x:c r="D97" s="53" t="n">
        <x:f>IF(K96&lt;L96,F96,D96)</x:f>
        <x:v>-1.0737490952014923</x:v>
      </x:c>
      <x:c r="E97" s="53" t="n">
        <x:f>IF(K96&lt;L96,E96,F96)</x:f>
        <x:v>-1.0737490803003311</x:v>
      </x:c>
      <x:c r="F97" s="53" t="n">
        <x:f>(D97+E97)/2</x:f>
        <x:v>-1.0737490877509117</x:v>
      </x:c>
      <x:c r="G97" s="54" t="n">
        <x:f>NORMDIST($F97-'Vehicle Economics'!$D$16,0,1,TRUE)</x:f>
        <x:v>0.14146757701990165</x:v>
      </x:c>
      <x:c r="H97" s="54" t="n">
        <x:f>NORMDIST($F97-'Vehicle Economics'!$E$16,0,1,TRUE)</x:f>
        <x:v>0.09214397979960798</x:v>
      </x:c>
      <x:c r="I97" s="54" t="n">
        <x:f>NORMDIST($F97-'Vehicle Economics'!$F$16,0,1,TRUE)</x:f>
        <x:v>0.12300978418181419</x:v>
      </x:c>
      <x:c r="J97" s="54" t="n">
        <x:f>NORMDIST($F97-'Vehicle Economics'!$G$16,0,1,TRUE)</x:f>
        <x:v>0.08946221693953815</x:v>
      </x:c>
      <x:c r="K97" s="53" t="n">
        <x:f>SUMPRODUCT(G97:J97,$D$19:$G$19)/$H$19</x:f>
        <x:v>0.10699999864788524</x:v>
      </x:c>
      <x:c r="L97" s="54" t="n">
        <x:f>'AD Fees &amp; TLF'!$D$7</x:f>
        <x:v>0.107</x:v>
      </x:c>
    </x:row>
    <x:row r="98" ht="18" customHeight="1">
      <x:c r="A98" s="2"/>
      <x:c r="B98" s="2"/>
      <x:c r="C98" s="2" t="n">
        <x:v>32</x:v>
      </x:c>
      <x:c r="D98" s="53" t="n">
        <x:f>IF(K97&lt;L97,F97,D97)</x:f>
        <x:v>-1.0737490877509117</x:v>
      </x:c>
      <x:c r="E98" s="53" t="n">
        <x:f>IF(K97&lt;L97,E97,F97)</x:f>
        <x:v>-1.0737490803003311</x:v>
      </x:c>
      <x:c r="F98" s="53" t="n">
        <x:f>(D98+E98)/2</x:f>
        <x:v>-1.0737490840256214</x:v>
      </x:c>
      <x:c r="G98" s="54" t="n">
        <x:f>NORMDIST($F98-'Vehicle Economics'!$D$16,0,1,TRUE)</x:f>
        <x:v>0.1414675778549528</x:v>
      </x:c>
      <x:c r="H98" s="54" t="n">
        <x:f>NORMDIST($F98-'Vehicle Economics'!$E$16,0,1,TRUE)</x:f>
        <x:v>0.09214398041521638</x:v>
      </x:c>
      <x:c r="I98" s="54" t="n">
        <x:f>NORMDIST($F98-'Vehicle Economics'!$F$16,0,1,TRUE)</x:f>
        <x:v>0.1230097849401135</x:v>
      </x:c>
      <x:c r="J98" s="54" t="n">
        <x:f>NORMDIST($F98-'Vehicle Economics'!$G$16,0,1,TRUE)</x:f>
        <x:v>0.08946221754180095</x:v>
      </x:c>
      <x:c r="K98" s="53" t="n">
        <x:f>SUMPRODUCT(G98:J98,$D$19:$G$19)/$H$19</x:f>
        <x:v>0.10699999933031444</x:v>
      </x:c>
      <x:c r="L98" s="54" t="n">
        <x:f>'AD Fees &amp; TLF'!$D$7</x:f>
        <x:v>0.107</x:v>
      </x:c>
    </x:row>
    <x:row r="99" ht="18" customHeight="1">
      <x:c r="A99" s="2"/>
      <x:c r="B99" s="2"/>
      <x:c r="C99" s="2"/>
      <x:c r="D99" s="52"/>
      <x:c r="E99" s="52"/>
      <x:c r="F99" s="52"/>
      <x:c r="G99" s="52"/>
      <x:c r="H99" s="52"/>
      <x:c r="I99" s="52"/>
      <x:c r="J99" s="52"/>
      <x:c r="K99" s="52"/>
      <x:c r="L99" s="52"/>
    </x:row>
    <x:row r="100" ht="18" customHeight="1">
      <x:c r="A100" s="2"/>
      <x:c r="B100" s="2"/>
      <x:c r="C100" s="2"/>
      <x:c r="D100" s="52"/>
      <x:c r="E100" s="52"/>
      <x:c r="F100" s="52"/>
      <x:c r="G100" s="52"/>
      <x:c r="H100" s="52"/>
      <x:c r="I100" s="52"/>
      <x:c r="J100" s="52"/>
      <x:c r="K100" s="52"/>
      <x:c r="L100" s="52"/>
    </x:row>
    <x:row r="101" ht="18" customHeight="1">
      <x:c r="A101" s="2"/>
      <x:c r="B101" s="2"/>
      <x:c r="C101" s="2"/>
      <x:c r="D101" s="52"/>
      <x:c r="E101" s="52"/>
      <x:c r="F101" s="52"/>
      <x:c r="G101" s="52"/>
      <x:c r="H101" s="52"/>
      <x:c r="I101" s="52"/>
      <x:c r="J101" s="52"/>
      <x:c r="K101" s="52"/>
      <x:c r="L101" s="52"/>
    </x:row>
    <x:row r="102" ht="21" customHeight="1">
      <x:c r="A102" s="2"/>
      <x:c r="B102" s="2"/>
      <x:c r="C102" s="9" t="str">
        <x:v>4–6: bisection solve</x:v>
      </x:c>
      <x:c r="D102" s="55"/>
      <x:c r="E102" s="55"/>
      <x:c r="F102" s="55"/>
      <x:c r="G102" s="55"/>
      <x:c r="H102" s="55"/>
      <x:c r="I102" s="55"/>
      <x:c r="J102" s="55"/>
      <x:c r="K102" s="55"/>
      <x:c r="L102" s="55"/>
    </x:row>
    <x:row r="103" ht="29" customHeight="1">
      <x:c r="A103" s="2"/>
      <x:c r="B103" s="2"/>
      <x:c r="C103" s="10" t="str">
        <x:v>Iteration</x:v>
      </x:c>
      <x:c r="D103" s="56" t="str">
        <x:v>Lower</x:v>
      </x:c>
      <x:c r="E103" s="56" t="str">
        <x:v>Upper</x:v>
      </x:c>
      <x:c r="F103" s="56" t="str">
        <x:v>Index</x:v>
      </x:c>
      <x:c r="G103" s="56" t="str">
        <x:v>Car P</x:v>
      </x:c>
      <x:c r="H103" s="56" t="str">
        <x:v>SUV P</x:v>
      </x:c>
      <x:c r="I103" s="56" t="str">
        <x:v>Pickup P</x:v>
      </x:c>
      <x:c r="J103" s="56" t="str">
        <x:v>Van P</x:v>
      </x:c>
      <x:c r="K103" s="56" t="str">
        <x:v>Weighted P</x:v>
      </x:c>
      <x:c r="L103" s="56" t="str">
        <x:v>Target</x:v>
      </x:c>
    </x:row>
    <x:row r="104" ht="18" customHeight="1">
      <x:c r="A104" s="2"/>
      <x:c r="B104" s="2"/>
      <x:c r="C104" s="2" t="n">
        <x:v>1</x:v>
      </x:c>
      <x:c r="D104" s="52" t="n">
        <x:v>-8</x:v>
      </x:c>
      <x:c r="E104" s="52" t="n">
        <x:v>8</x:v>
      </x:c>
      <x:c r="F104" s="53" t="n">
        <x:f>(D104+E104)/2</x:f>
        <x:v>0</x:v>
      </x:c>
      <x:c r="G104" s="54" t="n">
        <x:f>NORMDIST($F104-'Vehicle Economics'!$D$16,0,1,TRUE)</x:f>
        <x:v>0.5</x:v>
      </x:c>
      <x:c r="H104" s="54" t="n">
        <x:f>NORMDIST($F104-'Vehicle Economics'!$E$16,0,1,TRUE)</x:f>
        <x:v>0.3997792773780073</x:v>
      </x:c>
      <x:c r="I104" s="54" t="n">
        <x:f>NORMDIST($F104-'Vehicle Economics'!$F$16,0,1,TRUE)</x:f>
        <x:v>0.4656049360893372</x:v>
      </x:c>
      <x:c r="J104" s="54" t="n">
        <x:f>NORMDIST($F104-'Vehicle Economics'!$G$16,0,1,TRUE)</x:f>
        <x:v>0.3934551210988128</x:v>
      </x:c>
      <x:c r="K104" s="53" t="n">
        <x:f>SUMPRODUCT(G104:J104,$D$20:$G$20)/$H$20</x:f>
        <x:v>0.4348445115249774</x:v>
      </x:c>
      <x:c r="L104" s="54" t="n">
        <x:f>'AD Fees &amp; TLF'!$D$8</x:f>
        <x:v>0.157</x:v>
      </x:c>
    </x:row>
    <x:row r="105" ht="18" customHeight="1">
      <x:c r="A105" s="2"/>
      <x:c r="B105" s="2"/>
      <x:c r="C105" s="2" t="n">
        <x:v>2</x:v>
      </x:c>
      <x:c r="D105" s="53" t="n">
        <x:f>IF(K104&lt;L104,F104,D104)</x:f>
        <x:v>-8</x:v>
      </x:c>
      <x:c r="E105" s="53" t="n">
        <x:f>IF(K104&lt;L104,E104,F104)</x:f>
        <x:v>0</x:v>
      </x:c>
      <x:c r="F105" s="53" t="n">
        <x:f>(D105+E105)/2</x:f>
        <x:v>-4</x:v>
      </x:c>
      <x:c r="G105" s="54" t="n">
        <x:f>NORMDIST($F105-'Vehicle Economics'!$D$16,0,1,TRUE)</x:f>
        <x:v>0.00003167124183311998</x:v>
      </x:c>
      <x:c r="H105" s="54" t="n">
        <x:f>NORMDIST($F105-'Vehicle Economics'!$E$16,0,1,TRUE)</x:f>
        <x:v>0.000010503091136260245</x:v>
      </x:c>
      <x:c r="I105" s="54" t="n">
        <x:f>NORMDIST($F105-'Vehicle Economics'!$F$16,0,1,TRUE)</x:f>
        <x:v>0.000021913203029577666</x:v>
      </x:c>
      <x:c r="J105" s="54" t="n">
        <x:f>NORMDIST($F105-'Vehicle Economics'!$G$16,0,1,TRUE)</x:f>
        <x:v>0.00000975941677439085</x:v>
      </x:c>
      <x:c r="K105" s="53" t="n">
        <x:f>SUMPRODUCT(G105:J105,$D$20:$G$20)/$H$20</x:f>
        <x:v>0.00001758990905236005</x:v>
      </x:c>
      <x:c r="L105" s="54" t="n">
        <x:f>'AD Fees &amp; TLF'!$D$8</x:f>
        <x:v>0.157</x:v>
      </x:c>
    </x:row>
    <x:row r="106" ht="18" customHeight="1">
      <x:c r="A106" s="2"/>
      <x:c r="B106" s="2"/>
      <x:c r="C106" s="2" t="n">
        <x:v>3</x:v>
      </x:c>
      <x:c r="D106" s="53" t="n">
        <x:f>IF(K105&lt;L105,F105,D105)</x:f>
        <x:v>-4</x:v>
      </x:c>
      <x:c r="E106" s="53" t="n">
        <x:f>IF(K105&lt;L105,E105,F105)</x:f>
        <x:v>0</x:v>
      </x:c>
      <x:c r="F106" s="53" t="n">
        <x:f>(D106+E106)/2</x:f>
        <x:v>-2</x:v>
      </x:c>
      <x:c r="G106" s="54" t="n">
        <x:f>NORMDIST($F106-'Vehicle Economics'!$D$16,0,1,TRUE)</x:f>
        <x:v>0.02275013194817921</x:v>
      </x:c>
      <x:c r="H106" s="54" t="n">
        <x:f>NORMDIST($F106-'Vehicle Economics'!$E$16,0,1,TRUE)</x:f>
        <x:v>0.012100649135212083</x:v>
      </x:c>
      <x:c r="I106" s="54" t="n">
        <x:f>NORMDIST($F106-'Vehicle Economics'!$F$16,0,1,TRUE)</x:f>
        <x:v>0.018474699658395266</x:v>
      </x:c>
      <x:c r="J106" s="54" t="n">
        <x:f>NORMDIST($F106-'Vehicle Economics'!$G$16,0,1,TRUE)</x:f>
        <x:v>0.011593935975388714</x:v>
      </x:c>
      <x:c r="K106" s="53" t="n">
        <x:f>SUMPRODUCT(G106:J106,$D$20:$G$20)/$H$20</x:f>
        <x:v>0.015748267895467943</x:v>
      </x:c>
      <x:c r="L106" s="54" t="n">
        <x:f>'AD Fees &amp; TLF'!$D$8</x:f>
        <x:v>0.157</x:v>
      </x:c>
    </x:row>
    <x:row r="107" ht="18" customHeight="1">
      <x:c r="A107" s="2"/>
      <x:c r="B107" s="2"/>
      <x:c r="C107" s="2" t="n">
        <x:v>4</x:v>
      </x:c>
      <x:c r="D107" s="53" t="n">
        <x:f>IF(K106&lt;L106,F106,D106)</x:f>
        <x:v>-2</x:v>
      </x:c>
      <x:c r="E107" s="53" t="n">
        <x:f>IF(K106&lt;L106,E106,F106)</x:f>
        <x:v>0</x:v>
      </x:c>
      <x:c r="F107" s="53" t="n">
        <x:f>(D107+E107)/2</x:f>
        <x:v>-1</x:v>
      </x:c>
      <x:c r="G107" s="54" t="n">
        <x:f>NORMDIST($F107-'Vehicle Economics'!$D$16,0,1,TRUE)</x:f>
        <x:v>0.15865525393145707</x:v>
      </x:c>
      <x:c r="H107" s="54" t="n">
        <x:f>NORMDIST($F107-'Vehicle Economics'!$E$16,0,1,TRUE)</x:f>
        <x:v>0.10493582268156831</x:v>
      </x:c>
      <x:c r="I107" s="54" t="n">
        <x:f>NORMDIST($F107-'Vehicle Economics'!$F$16,0,1,TRUE)</x:f>
        <x:v>0.13866811769162857</x:v>
      </x:c>
      <x:c r="J107" s="54" t="n">
        <x:f>NORMDIST($F107-'Vehicle Economics'!$G$16,0,1,TRUE)</x:f>
        <x:v>0.1019844452045599</x:v>
      </x:c>
      <x:c r="K107" s="53" t="n">
        <x:f>SUMPRODUCT(G107:J107,$D$20:$G$20)/$H$20</x:f>
        <x:v>0.12353674832168113</x:v>
      </x:c>
      <x:c r="L107" s="54" t="n">
        <x:f>'AD Fees &amp; TLF'!$D$8</x:f>
        <x:v>0.157</x:v>
      </x:c>
    </x:row>
    <x:row r="108" ht="18" customHeight="1">
      <x:c r="A108" s="2"/>
      <x:c r="B108" s="2"/>
      <x:c r="C108" s="2" t="n">
        <x:v>5</x:v>
      </x:c>
      <x:c r="D108" s="53" t="n">
        <x:f>IF(K107&lt;L107,F107,D107)</x:f>
        <x:v>-1</x:v>
      </x:c>
      <x:c r="E108" s="53" t="n">
        <x:f>IF(K107&lt;L107,E107,F107)</x:f>
        <x:v>0</x:v>
      </x:c>
      <x:c r="F108" s="53" t="n">
        <x:f>(D108+E108)/2</x:f>
        <x:v>-0.5</x:v>
      </x:c>
      <x:c r="G108" s="54" t="n">
        <x:f>NORMDIST($F108-'Vehicle Economics'!$D$16,0,1,TRUE)</x:f>
        <x:v>0.3085375387259869</x:v>
      </x:c>
      <x:c r="H108" s="54" t="n">
        <x:f>NORMDIST($F108-'Vehicle Economics'!$E$16,0,1,TRUE)</x:f>
        <x:v>0.22544909328126578</x:v>
      </x:c>
      <x:c r="I108" s="54" t="n">
        <x:f>NORMDIST($F108-'Vehicle Economics'!$F$16,0,1,TRUE)</x:f>
        <x:v>0.27882933049916064</x:v>
      </x:c>
      <x:c r="J108" s="54" t="n">
        <x:f>NORMDIST($F108-'Vehicle Economics'!$G$16,0,1,TRUE)</x:f>
        <x:v>0.22055356832755285</x:v>
      </x:c>
      <x:c r="K108" s="53" t="n">
        <x:f>SUMPRODUCT(G108:J108,$D$20:$G$20)/$H$20</x:f>
        <x:v>0.2543711897147146</x:v>
      </x:c>
      <x:c r="L108" s="54" t="n">
        <x:f>'AD Fees &amp; TLF'!$D$8</x:f>
        <x:v>0.157</x:v>
      </x:c>
    </x:row>
    <x:row r="109" ht="18" customHeight="1">
      <x:c r="A109" s="2"/>
      <x:c r="B109" s="2"/>
      <x:c r="C109" s="2" t="n">
        <x:v>6</x:v>
      </x:c>
      <x:c r="D109" s="53" t="n">
        <x:f>IF(K108&lt;L108,F108,D108)</x:f>
        <x:v>-1</x:v>
      </x:c>
      <x:c r="E109" s="53" t="n">
        <x:f>IF(K108&lt;L108,E108,F108)</x:f>
        <x:v>-0.5</x:v>
      </x:c>
      <x:c r="F109" s="53" t="n">
        <x:f>(D109+E109)/2</x:f>
        <x:v>-0.75</x:v>
      </x:c>
      <x:c r="G109" s="54" t="n">
        <x:f>NORMDIST($F109-'Vehicle Economics'!$D$16,0,1,TRUE)</x:f>
        <x:v>0.2266273523768682</x:v>
      </x:c>
      <x:c r="H109" s="54" t="n">
        <x:f>NORMDIST($F109-'Vehicle Economics'!$E$16,0,1,TRUE)</x:f>
        <x:v>0.1577089595002803</x:v>
      </x:c>
      <x:c r="I109" s="54" t="n">
        <x:f>NORMDIST($F109-'Vehicle Economics'!$F$16,0,1,TRUE)</x:f>
        <x:v>0.20148668540911974</x:v>
      </x:c>
      <x:c r="J109" s="54" t="n">
        <x:f>NORMDIST($F109-'Vehicle Economics'!$G$16,0,1,TRUE)</x:f>
        <x:v>0.153787177835205</x:v>
      </x:c>
      <x:c r="K109" s="53" t="n">
        <x:f>SUMPRODUCT(G109:J109,$D$20:$G$20)/$H$20</x:f>
        <x:v>0.1816359462775784</x:v>
      </x:c>
      <x:c r="L109" s="54" t="n">
        <x:f>'AD Fees &amp; TLF'!$D$8</x:f>
        <x:v>0.157</x:v>
      </x:c>
    </x:row>
    <x:row r="110" ht="18" customHeight="1">
      <x:c r="A110" s="2"/>
      <x:c r="B110" s="2"/>
      <x:c r="C110" s="2" t="n">
        <x:v>7</x:v>
      </x:c>
      <x:c r="D110" s="53" t="n">
        <x:f>IF(K109&lt;L109,F109,D109)</x:f>
        <x:v>-1</x:v>
      </x:c>
      <x:c r="E110" s="53" t="n">
        <x:f>IF(K109&lt;L109,E109,F109)</x:f>
        <x:v>-0.75</x:v>
      </x:c>
      <x:c r="F110" s="53" t="n">
        <x:f>(D110+E110)/2</x:f>
        <x:v>-0.875</x:v>
      </x:c>
      <x:c r="G110" s="54" t="n">
        <x:f>NORMDIST($F110-'Vehicle Economics'!$D$16,0,1,TRUE)</x:f>
        <x:v>0.19078695285251057</x:v>
      </x:c>
      <x:c r="H110" s="54" t="n">
        <x:f>NORMDIST($F110-'Vehicle Economics'!$E$16,0,1,TRUE)</x:f>
        <x:v>0.12946611680894954</x:v>
      </x:c>
      <x:c r="I110" s="54" t="n">
        <x:f>NORMDIST($F110-'Vehicle Economics'!$F$16,0,1,TRUE)</x:f>
        <x:v>0.16819496198212436</x:v>
      </x:c>
      <x:c r="J110" s="54" t="n">
        <x:f>NORMDIST($F110-'Vehicle Economics'!$G$16,0,1,TRUE)</x:f>
        <x:v>0.12603727906156736</x:v>
      </x:c>
      <x:c r="K110" s="53" t="n">
        <x:f>SUMPRODUCT(G110:J110,$D$20:$G$20)/$H$20</x:f>
        <x:v>0.1507273144219306</x:v>
      </x:c>
      <x:c r="L110" s="54" t="n">
        <x:f>'AD Fees &amp; TLF'!$D$8</x:f>
        <x:v>0.157</x:v>
      </x:c>
    </x:row>
    <x:row r="111" ht="18" customHeight="1">
      <x:c r="A111" s="2"/>
      <x:c r="B111" s="2"/>
      <x:c r="C111" s="2" t="n">
        <x:v>8</x:v>
      </x:c>
      <x:c r="D111" s="53" t="n">
        <x:f>IF(K110&lt;L110,F110,D110)</x:f>
        <x:v>-0.875</x:v>
      </x:c>
      <x:c r="E111" s="53" t="n">
        <x:f>IF(K110&lt;L110,E110,F110)</x:f>
        <x:v>-0.75</x:v>
      </x:c>
      <x:c r="F111" s="53" t="n">
        <x:f>(D111+E111)/2</x:f>
        <x:v>-0.8125</x:v>
      </x:c>
      <x:c r="G111" s="54" t="n">
        <x:f>NORMDIST($F111-'Vehicle Economics'!$D$16,0,1,TRUE)</x:f>
        <x:v>0.20825239328810896</x:v>
      </x:c>
      <x:c r="H111" s="54" t="n">
        <x:f>NORMDIST($F111-'Vehicle Economics'!$E$16,0,1,TRUE)</x:f>
        <x:v>0.14311726077280928</x:v>
      </x:c>
      <x:c r="I111" s="54" t="n">
        <x:f>NORMDIST($F111-'Vehicle Economics'!$F$16,0,1,TRUE)</x:f>
        <x:v>0.18437354620203444</x:v>
      </x:c>
      <x:c r="J111" s="54" t="n">
        <x:f>NORMDIST($F111-'Vehicle Economics'!$G$16,0,1,TRUE)</x:f>
        <x:v>0.13944305575727828</x:v>
      </x:c>
      <x:c r="K111" s="53" t="n">
        <x:f>SUMPRODUCT(G111:J111,$D$20:$G$20)/$H$20</x:f>
        <x:v>0.16571588389862635</x:v>
      </x:c>
      <x:c r="L111" s="54" t="n">
        <x:f>'AD Fees &amp; TLF'!$D$8</x:f>
        <x:v>0.157</x:v>
      </x:c>
    </x:row>
    <x:row r="112" ht="18" customHeight="1">
      <x:c r="A112" s="2"/>
      <x:c r="B112" s="2"/>
      <x:c r="C112" s="2" t="n">
        <x:v>9</x:v>
      </x:c>
      <x:c r="D112" s="53" t="n">
        <x:f>IF(K111&lt;L111,F111,D111)</x:f>
        <x:v>-0.875</x:v>
      </x:c>
      <x:c r="E112" s="53" t="n">
        <x:f>IF(K111&lt;L111,E111,F111)</x:f>
        <x:v>-0.8125</x:v>
      </x:c>
      <x:c r="F112" s="53" t="n">
        <x:f>(D112+E112)/2</x:f>
        <x:v>-0.84375</x:v>
      </x:c>
      <x:c r="G112" s="54" t="n">
        <x:f>NORMDIST($F112-'Vehicle Economics'!$D$16,0,1,TRUE)</x:f>
        <x:v>0.19940456047137278</x:v>
      </x:c>
      <x:c r="H112" s="54" t="n">
        <x:f>NORMDIST($F112-'Vehicle Economics'!$E$16,0,1,TRUE)</x:f>
        <x:v>0.1361746439312561</x:v>
      </x:c>
      <x:c r="I112" s="54" t="n">
        <x:f>NORMDIST($F112-'Vehicle Economics'!$F$16,0,1,TRUE)</x:f>
        <x:v>0.1761667152129689</x:v>
      </x:c>
      <x:c r="J112" s="54" t="n">
        <x:f>NORMDIST($F112-'Vehicle Economics'!$G$16,0,1,TRUE)</x:f>
        <x:v>0.13262350868133826</x:v>
      </x:c>
      <x:c r="K112" s="53" t="n">
        <x:f>SUMPRODUCT(G112:J112,$D$20:$G$20)/$H$20</x:f>
        <x:v>0.15810500992656196</x:v>
      </x:c>
      <x:c r="L112" s="54" t="n">
        <x:f>'AD Fees &amp; TLF'!$D$8</x:f>
        <x:v>0.157</x:v>
      </x:c>
    </x:row>
    <x:row r="113" ht="18" customHeight="1">
      <x:c r="A113" s="2"/>
      <x:c r="B113" s="2"/>
      <x:c r="C113" s="2" t="n">
        <x:v>10</x:v>
      </x:c>
      <x:c r="D113" s="53" t="n">
        <x:f>IF(K112&lt;L112,F112,D112)</x:f>
        <x:v>-0.875</x:v>
      </x:c>
      <x:c r="E113" s="53" t="n">
        <x:f>IF(K112&lt;L112,E112,F112)</x:f>
        <x:v>-0.84375</x:v>
      </x:c>
      <x:c r="F113" s="53" t="n">
        <x:f>(D113+E113)/2</x:f>
        <x:v>-0.859375</x:v>
      </x:c>
      <x:c r="G113" s="54" t="n">
        <x:f>NORMDIST($F113-'Vehicle Economics'!$D$16,0,1,TRUE)</x:f>
        <x:v>0.19506682894860794</x:v>
      </x:c>
      <x:c r="H113" s="54" t="n">
        <x:f>NORMDIST($F113-'Vehicle Economics'!$E$16,0,1,TRUE)</x:f>
        <x:v>0.13279120763924468</x:v>
      </x:c>
      <x:c r="I113" s="54" t="n">
        <x:f>NORMDIST($F113-'Vehicle Economics'!$F$16,0,1,TRUE)</x:f>
        <x:v>0.17215139102577426</x:v>
      </x:c>
      <x:c r="J113" s="54" t="n">
        <x:f>NORMDIST($F113-'Vehicle Economics'!$G$16,0,1,TRUE)</x:f>
        <x:v>0.1293013309066754</x:v>
      </x:c>
      <x:c r="K113" s="53" t="n">
        <x:f>SUMPRODUCT(G113:J113,$D$20:$G$20)/$H$20</x:f>
        <x:v>0.15438702066765084</x:v>
      </x:c>
      <x:c r="L113" s="54" t="n">
        <x:f>'AD Fees &amp; TLF'!$D$8</x:f>
        <x:v>0.157</x:v>
      </x:c>
    </x:row>
    <x:row r="114" ht="18" customHeight="1">
      <x:c r="A114" s="2"/>
      <x:c r="B114" s="2"/>
      <x:c r="C114" s="2" t="n">
        <x:v>11</x:v>
      </x:c>
      <x:c r="D114" s="53" t="n">
        <x:f>IF(K113&lt;L113,F113,D113)</x:f>
        <x:v>-0.859375</x:v>
      </x:c>
      <x:c r="E114" s="53" t="n">
        <x:f>IF(K113&lt;L113,E113,F113)</x:f>
        <x:v>-0.84375</x:v>
      </x:c>
      <x:c r="F114" s="53" t="n">
        <x:f>(D114+E114)/2</x:f>
        <x:v>-0.8515625</x:v>
      </x:c>
      <x:c r="G114" s="54" t="n">
        <x:f>NORMDIST($F114-'Vehicle Economics'!$D$16,0,1,TRUE)</x:f>
        <x:v>0.1972284802234902</x:v>
      </x:c>
      <x:c r="H114" s="54" t="n">
        <x:f>NORMDIST($F114-'Vehicle Economics'!$E$16,0,1,TRUE)</x:f>
        <x:v>0.13447562054673529</x:v>
      </x:c>
      <x:c r="I114" s="54" t="n">
        <x:f>NORMDIST($F114-'Vehicle Economics'!$F$16,0,1,TRUE)</x:f>
        <x:v>0.17415169789039697</x:v>
      </x:c>
      <x:c r="J114" s="54" t="n">
        <x:f>NORMDIST($F114-'Vehicle Economics'!$G$16,0,1,TRUE)</x:f>
        <x:v>0.13095514036653477</x:v>
      </x:c>
      <x:c r="K114" s="53" t="n">
        <x:f>SUMPRODUCT(G114:J114,$D$20:$G$20)/$H$20</x:f>
        <x:v>0.15623872810607004</x:v>
      </x:c>
      <x:c r="L114" s="54" t="n">
        <x:f>'AD Fees &amp; TLF'!$D$8</x:f>
        <x:v>0.157</x:v>
      </x:c>
    </x:row>
    <x:row r="115" ht="18" customHeight="1">
      <x:c r="A115" s="2"/>
      <x:c r="B115" s="2"/>
      <x:c r="C115" s="2" t="n">
        <x:v>12</x:v>
      </x:c>
      <x:c r="D115" s="53" t="n">
        <x:f>IF(K114&lt;L114,F114,D114)</x:f>
        <x:v>-0.8515625</x:v>
      </x:c>
      <x:c r="E115" s="53" t="n">
        <x:f>IF(K114&lt;L114,E114,F114)</x:f>
        <x:v>-0.84375</x:v>
      </x:c>
      <x:c r="F115" s="53" t="n">
        <x:f>(D115+E115)/2</x:f>
        <x:v>-0.84765625</x:v>
      </x:c>
      <x:c r="G115" s="54" t="n">
        <x:f>NORMDIST($F115-'Vehicle Economics'!$D$16,0,1,TRUE)</x:f>
        <x:v>0.1983147190154082</x:v>
      </x:c>
      <x:c r="H115" s="54" t="n">
        <x:f>NORMDIST($F115-'Vehicle Economics'!$E$16,0,1,TRUE)</x:f>
        <x:v>0.13532330450860452</x:v>
      </x:c>
      <x:c r="I115" s="54" t="n">
        <x:f>NORMDIST($F115-'Vehicle Economics'!$F$16,0,1,TRUE)</x:f>
        <x:v>0.17515736868123621</x:v>
      </x:c>
      <x:c r="J115" s="54" t="n">
        <x:f>NORMDIST($F115-'Vehicle Economics'!$G$16,0,1,TRUE)</x:f>
        <x:v>0.13178750304040154</x:v>
      </x:c>
      <x:c r="K115" s="53" t="n">
        <x:f>SUMPRODUCT(G115:J115,$D$20:$G$20)/$H$20</x:f>
        <x:v>0.1571700470863746</x:v>
      </x:c>
      <x:c r="L115" s="54" t="n">
        <x:f>'AD Fees &amp; TLF'!$D$8</x:f>
        <x:v>0.157</x:v>
      </x:c>
    </x:row>
    <x:row r="116" ht="18" customHeight="1">
      <x:c r="A116" s="2"/>
      <x:c r="B116" s="2"/>
      <x:c r="C116" s="2" t="n">
        <x:v>13</x:v>
      </x:c>
      <x:c r="D116" s="53" t="n">
        <x:f>IF(K115&lt;L115,F115,D115)</x:f>
        <x:v>-0.8515625</x:v>
      </x:c>
      <x:c r="E116" s="53" t="n">
        <x:f>IF(K115&lt;L115,E115,F115)</x:f>
        <x:v>-0.84765625</x:v>
      </x:c>
      <x:c r="F116" s="53" t="n">
        <x:f>(D116+E116)/2</x:f>
        <x:v>-0.849609375</x:v>
      </x:c>
      <x:c r="G116" s="54" t="n">
        <x:f>NORMDIST($F116-'Vehicle Economics'!$D$16,0,1,TRUE)</x:f>
        <x:v>0.19777114899534953</x:v>
      </x:c>
      <x:c r="H116" s="54" t="n">
        <x:f>NORMDIST($F116-'Vehicle Economics'!$E$16,0,1,TRUE)</x:f>
        <x:v>0.1348990057687901</x:v>
      </x:c>
      <x:c r="I116" s="54" t="n">
        <x:f>NORMDIST($F116-'Vehicle Economics'!$F$16,0,1,TRUE)</x:f>
        <x:v>0.17465407369645325</x:v>
      </x:c>
      <x:c r="J116" s="54" t="n">
        <x:f>NORMDIST($F116-'Vehicle Economics'!$G$16,0,1,TRUE)</x:f>
        <x:v>0.13137086653213326</x:v>
      </x:c>
      <x:c r="K116" s="53" t="n">
        <x:f>SUMPRODUCT(G116:J116,$D$20:$G$20)/$H$20</x:f>
        <x:v>0.1567039321260133</x:v>
      </x:c>
      <x:c r="L116" s="54" t="n">
        <x:f>'AD Fees &amp; TLF'!$D$8</x:f>
        <x:v>0.157</x:v>
      </x:c>
    </x:row>
    <x:row r="117" ht="18" customHeight="1">
      <x:c r="A117" s="2"/>
      <x:c r="B117" s="2"/>
      <x:c r="C117" s="2" t="n">
        <x:v>14</x:v>
      </x:c>
      <x:c r="D117" s="53" t="n">
        <x:f>IF(K116&lt;L116,F116,D116)</x:f>
        <x:v>-0.849609375</x:v>
      </x:c>
      <x:c r="E117" s="53" t="n">
        <x:f>IF(K116&lt;L116,E116,F116)</x:f>
        <x:v>-0.84765625</x:v>
      </x:c>
      <x:c r="F117" s="53" t="n">
        <x:f>(D117+E117)/2</x:f>
        <x:v>-0.8486328125</x:v>
      </x:c>
      <x:c r="G117" s="54" t="n">
        <x:f>NORMDIST($F117-'Vehicle Economics'!$D$16,0,1,TRUE)</x:f>
        <x:v>0.1980428213854345</x:v>
      </x:c>
      <x:c r="H117" s="54" t="n">
        <x:f>NORMDIST($F117-'Vehicle Economics'!$E$16,0,1,TRUE)</x:f>
        <x:v>0.13511104092701953</x:v>
      </x:c>
      <x:c r="I117" s="54" t="n">
        <x:f>NORMDIST($F117-'Vehicle Economics'!$F$16,0,1,TRUE)</x:f>
        <x:v>0.1749056063064316</x:v>
      </x:c>
      <x:c r="J117" s="54" t="n">
        <x:f>NORMDIST($F117-'Vehicle Economics'!$G$16,0,1,TRUE)</x:f>
        <x:v>0.13157907096825272</x:v>
      </x:c>
      <x:c r="K117" s="53" t="n">
        <x:f>SUMPRODUCT(G117:J117,$D$20:$G$20)/$H$20</x:f>
        <x:v>0.15693687573684115</x:v>
      </x:c>
      <x:c r="L117" s="54" t="n">
        <x:f>'AD Fees &amp; TLF'!$D$8</x:f>
        <x:v>0.157</x:v>
      </x:c>
    </x:row>
    <x:row r="118" ht="18" customHeight="1">
      <x:c r="A118" s="2"/>
      <x:c r="B118" s="2"/>
      <x:c r="C118" s="2" t="n">
        <x:v>15</x:v>
      </x:c>
      <x:c r="D118" s="53" t="n">
        <x:f>IF(K117&lt;L117,F117,D117)</x:f>
        <x:v>-0.8486328125</x:v>
      </x:c>
      <x:c r="E118" s="53" t="n">
        <x:f>IF(K117&lt;L117,E117,F117)</x:f>
        <x:v>-0.84765625</x:v>
      </x:c>
      <x:c r="F118" s="53" t="n">
        <x:f>(D118+E118)/2</x:f>
        <x:v>-0.84814453125</x:v>
      </x:c>
      <x:c r="G118" s="54" t="n">
        <x:f>NORMDIST($F118-'Vehicle Economics'!$D$16,0,1,TRUE)</x:f>
        <x:v>0.1981787420499721</x:v>
      </x:c>
      <x:c r="H118" s="54" t="n">
        <x:f>NORMDIST($F118-'Vehicle Economics'!$E$16,0,1,TRUE)</x:f>
        <x:v>0.13521714416216907</x:v>
      </x:c>
      <x:c r="I118" s="54" t="n">
        <x:f>NORMDIST($F118-'Vehicle Economics'!$F$16,0,1,TRUE)</x:f>
        <x:v>0.17503145877512205</x:v>
      </x:c>
      <x:c r="J118" s="54" t="n">
        <x:f>NORMDIST($F118-'Vehicle Economics'!$G$16,0,1,TRUE)</x:f>
        <x:v>0.1316832585466966</x:v>
      </x:c>
      <x:c r="K118" s="53" t="n">
        <x:f>SUMPRODUCT(G118:J118,$D$20:$G$20)/$H$20</x:f>
        <x:v>0.15705343294406784</x:v>
      </x:c>
      <x:c r="L118" s="54" t="n">
        <x:f>'AD Fees &amp; TLF'!$D$8</x:f>
        <x:v>0.157</x:v>
      </x:c>
    </x:row>
    <x:row r="119" ht="18" customHeight="1">
      <x:c r="A119" s="2"/>
      <x:c r="B119" s="2"/>
      <x:c r="C119" s="2" t="n">
        <x:v>16</x:v>
      </x:c>
      <x:c r="D119" s="53" t="n">
        <x:f>IF(K118&lt;L118,F118,D118)</x:f>
        <x:v>-0.8486328125</x:v>
      </x:c>
      <x:c r="E119" s="53" t="n">
        <x:f>IF(K118&lt;L118,E118,F118)</x:f>
        <x:v>-0.84814453125</x:v>
      </x:c>
      <x:c r="F119" s="53" t="n">
        <x:f>(D119+E119)/2</x:f>
        <x:v>-0.848388671875</x:v>
      </x:c>
      <x:c r="G119" s="54" t="n">
        <x:f>NORMDIST($F119-'Vehicle Economics'!$D$16,0,1,TRUE)</x:f>
        <x:v>0.19811077467952276</x:v>
      </x:c>
      <x:c r="H119" s="54" t="n">
        <x:f>NORMDIST($F119-'Vehicle Economics'!$E$16,0,1,TRUE)</x:f>
        <x:v>0.13516408540602304</x:v>
      </x:c>
      <x:c r="I119" s="54" t="n">
        <x:f>NORMDIST($F119-'Vehicle Economics'!$F$16,0,1,TRUE)</x:f>
        <x:v>0.17496852536086138</x:v>
      </x:c>
      <x:c r="J119" s="54" t="n">
        <x:f>NORMDIST($F119-'Vehicle Economics'!$G$16,0,1,TRUE)</x:f>
        <x:v>0.131631157643457</x:v>
      </x:c>
      <x:c r="K119" s="53" t="n">
        <x:f>SUMPRODUCT(G119:J119,$D$20:$G$20)/$H$20</x:f>
        <x:v>0.1569951472235937</x:v>
      </x:c>
      <x:c r="L119" s="54" t="n">
        <x:f>'AD Fees &amp; TLF'!$D$8</x:f>
        <x:v>0.157</x:v>
      </x:c>
    </x:row>
    <x:row r="120" ht="18" customHeight="1">
      <x:c r="A120" s="2"/>
      <x:c r="B120" s="2"/>
      <x:c r="C120" s="2" t="n">
        <x:v>17</x:v>
      </x:c>
      <x:c r="D120" s="53" t="n">
        <x:f>IF(K119&lt;L119,F119,D119)</x:f>
        <x:v>-0.848388671875</x:v>
      </x:c>
      <x:c r="E120" s="53" t="n">
        <x:f>IF(K119&lt;L119,E119,F119)</x:f>
        <x:v>-0.84814453125</x:v>
      </x:c>
      <x:c r="F120" s="53" t="n">
        <x:f>(D120+E120)/2</x:f>
        <x:v>-0.8482666015625</x:v>
      </x:c>
      <x:c r="G120" s="54" t="n">
        <x:f>NORMDIST($F120-'Vehicle Economics'!$D$16,0,1,TRUE)</x:f>
        <x:v>0.1981447566052733</x:v>
      </x:c>
      <x:c r="H120" s="54" t="n">
        <x:f>NORMDIST($F120-'Vehicle Economics'!$E$16,0,1,TRUE)</x:f>
        <x:v>0.1351906129994107</x:v>
      </x:c>
      <x:c r="I120" s="54" t="n">
        <x:f>NORMDIST($F120-'Vehicle Economics'!$F$16,0,1,TRUE)</x:f>
        <x:v>0.17499999027304247</x:v>
      </x:c>
      <x:c r="J120" s="54" t="n">
        <x:f>NORMDIST($F120-'Vehicle Economics'!$G$16,0,1,TRUE)</x:f>
        <x:v>0.13165720631652356</x:v>
      </x:c>
      <x:c r="K120" s="53" t="n">
        <x:f>SUMPRODUCT(G120:J120,$D$20:$G$20)/$H$20</x:f>
        <x:v>0.15702428830461249</x:v>
      </x:c>
      <x:c r="L120" s="54" t="n">
        <x:f>'AD Fees &amp; TLF'!$D$8</x:f>
        <x:v>0.157</x:v>
      </x:c>
    </x:row>
    <x:row r="121" ht="18" customHeight="1">
      <x:c r="A121" s="2"/>
      <x:c r="B121" s="2"/>
      <x:c r="C121" s="2" t="n">
        <x:v>18</x:v>
      </x:c>
      <x:c r="D121" s="53" t="n">
        <x:f>IF(K120&lt;L120,F120,D120)</x:f>
        <x:v>-0.848388671875</x:v>
      </x:c>
      <x:c r="E121" s="53" t="n">
        <x:f>IF(K120&lt;L120,E120,F120)</x:f>
        <x:v>-0.8482666015625</x:v>
      </x:c>
      <x:c r="F121" s="53" t="n">
        <x:f>(D121+E121)/2</x:f>
        <x:v>-0.84832763671875</x:v>
      </x:c>
      <x:c r="G121" s="54" t="n">
        <x:f>NORMDIST($F121-'Vehicle Economics'!$D$16,0,1,TRUE)</x:f>
        <x:v>0.19812776520252062</x:v>
      </x:c>
      <x:c r="H121" s="54" t="n">
        <x:f>NORMDIST($F121-'Vehicle Economics'!$E$16,0,1,TRUE)</x:f>
        <x:v>0.13517734875655085</x:v>
      </x:c>
      <x:c r="I121" s="54" t="n">
        <x:f>NORMDIST($F121-'Vehicle Economics'!$F$16,0,1,TRUE)</x:f>
        <x:v>0.17498425736821083</x:v>
      </x:c>
      <x:c r="J121" s="54" t="n">
        <x:f>NORMDIST($F121-'Vehicle Economics'!$G$16,0,1,TRUE)</x:f>
        <x:v>0.13164418153535806</x:v>
      </x:c>
      <x:c r="K121" s="53" t="n">
        <x:f>SUMPRODUCT(G121:J121,$D$20:$G$20)/$H$20</x:f>
        <x:v>0.15700971731929889</x:v>
      </x:c>
      <x:c r="L121" s="54" t="n">
        <x:f>'AD Fees &amp; TLF'!$D$8</x:f>
        <x:v>0.157</x:v>
      </x:c>
    </x:row>
    <x:row r="122" ht="18" customHeight="1">
      <x:c r="A122" s="2"/>
      <x:c r="B122" s="2"/>
      <x:c r="C122" s="2" t="n">
        <x:v>19</x:v>
      </x:c>
      <x:c r="D122" s="53" t="n">
        <x:f>IF(K121&lt;L121,F121,D121)</x:f>
        <x:v>-0.848388671875</x:v>
      </x:c>
      <x:c r="E122" s="53" t="n">
        <x:f>IF(K121&lt;L121,E121,F121)</x:f>
        <x:v>-0.84832763671875</x:v>
      </x:c>
      <x:c r="F122" s="53" t="n">
        <x:f>(D122+E122)/2</x:f>
        <x:v>-0.848358154296875</x:v>
      </x:c>
      <x:c r="G122" s="54" t="n">
        <x:f>NORMDIST($F122-'Vehicle Economics'!$D$16,0,1,TRUE)</x:f>
        <x:v>0.19811926983105127</x:v>
      </x:c>
      <x:c r="H122" s="54" t="n">
        <x:f>NORMDIST($F122-'Vehicle Economics'!$E$16,0,1,TRUE)</x:f>
        <x:v>0.13517071696974614</x:v>
      </x:c>
      <x:c r="I122" s="54" t="n">
        <x:f>NORMDIST($F122-'Vehicle Economics'!$F$16,0,1,TRUE)</x:f>
        <x:v>0.17497639125235037</x:v>
      </x:c>
      <x:c r="J122" s="54" t="n">
        <x:f>NORMDIST($F122-'Vehicle Economics'!$G$16,0,1,TRUE)</x:f>
        <x:v>0.13163766947825017</x:v>
      </x:c>
      <x:c r="K122" s="53" t="n">
        <x:f>SUMPRODUCT(G122:J122,$D$20:$G$20)/$H$20</x:f>
        <x:v>0.15700243216024534</x:v>
      </x:c>
      <x:c r="L122" s="54" t="n">
        <x:f>'AD Fees &amp; TLF'!$D$8</x:f>
        <x:v>0.157</x:v>
      </x:c>
    </x:row>
    <x:row r="123" ht="18" customHeight="1">
      <x:c r="A123" s="2"/>
      <x:c r="B123" s="2"/>
      <x:c r="C123" s="2" t="n">
        <x:v>20</x:v>
      </x:c>
      <x:c r="D123" s="53" t="n">
        <x:f>IF(K122&lt;L122,F122,D122)</x:f>
        <x:v>-0.848388671875</x:v>
      </x:c>
      <x:c r="E123" s="53" t="n">
        <x:f>IF(K122&lt;L122,E122,F122)</x:f>
        <x:v>-0.848358154296875</x:v>
      </x:c>
      <x:c r="F123" s="53" t="n">
        <x:f>(D123+E123)/2</x:f>
        <x:v>-0.8483734130859375</x:v>
      </x:c>
      <x:c r="G123" s="54" t="n">
        <x:f>NORMDIST($F123-'Vehicle Economics'!$D$16,0,1,TRUE)</x:f>
        <x:v>0.1981150222277943</x:v>
      </x:c>
      <x:c r="H123" s="54" t="n">
        <x:f>NORMDIST($F123-'Vehicle Economics'!$E$16,0,1,TRUE)</x:f>
        <x:v>0.13516740115999948</x:v>
      </x:c>
      <x:c r="I123" s="54" t="n">
        <x:f>NORMDIST($F123-'Vehicle Economics'!$F$16,0,1,TRUE)</x:f>
        <x:v>0.17497245827855934</x:v>
      </x:c>
      <x:c r="J123" s="54" t="n">
        <x:f>NORMDIST($F123-'Vehicle Economics'!$G$16,0,1,TRUE)</x:f>
        <x:v>0.13163441353306438</x:v>
      </x:c>
      <x:c r="K123" s="53" t="n">
        <x:f>SUMPRODUCT(G123:J123,$D$20:$G$20)/$H$20</x:f>
        <x:v>0.1569987896641193</x:v>
      </x:c>
      <x:c r="L123" s="54" t="n">
        <x:f>'AD Fees &amp; TLF'!$D$8</x:f>
        <x:v>0.157</x:v>
      </x:c>
    </x:row>
    <x:row r="124" ht="18" customHeight="1">
      <x:c r="A124" s="2"/>
      <x:c r="B124" s="2"/>
      <x:c r="C124" s="2" t="n">
        <x:v>21</x:v>
      </x:c>
      <x:c r="D124" s="53" t="n">
        <x:f>IF(K123&lt;L123,F123,D123)</x:f>
        <x:v>-0.8483734130859375</x:v>
      </x:c>
      <x:c r="E124" s="53" t="n">
        <x:f>IF(K123&lt;L123,E123,F123)</x:f>
        <x:v>-0.848358154296875</x:v>
      </x:c>
      <x:c r="F124" s="53" t="n">
        <x:f>(D124+E124)/2</x:f>
        <x:v>-0.8483657836914062</x:v>
      </x:c>
      <x:c r="G124" s="54" t="n">
        <x:f>NORMDIST($F124-'Vehicle Economics'!$D$16,0,1,TRUE)</x:f>
        <x:v>0.1981171460225496</x:v>
      </x:c>
      <x:c r="H124" s="54" t="n">
        <x:f>NORMDIST($F124-'Vehicle Economics'!$E$16,0,1,TRUE)</x:f>
        <x:v>0.13516905905790155</x:v>
      </x:c>
      <x:c r="I124" s="54" t="n">
        <x:f>NORMDIST($F124-'Vehicle Economics'!$F$16,0,1,TRUE)</x:f>
        <x:v>0.17497442475844327</x:v>
      </x:c>
      <x:c r="J124" s="54" t="n">
        <x:f>NORMDIST($F124-'Vehicle Economics'!$G$16,0,1,TRUE)</x:f>
        <x:v>0.1316360414987099</x:v>
      </x:c>
      <x:c r="K124" s="53" t="n">
        <x:f>SUMPRODUCT(G124:J124,$D$20:$G$20)/$H$20</x:f>
        <x:v>0.15700061090523226</x:v>
      </x:c>
      <x:c r="L124" s="54" t="n">
        <x:f>'AD Fees &amp; TLF'!$D$8</x:f>
        <x:v>0.157</x:v>
      </x:c>
    </x:row>
    <x:row r="125" ht="18" customHeight="1">
      <x:c r="A125" s="2"/>
      <x:c r="B125" s="2"/>
      <x:c r="C125" s="2" t="n">
        <x:v>22</x:v>
      </x:c>
      <x:c r="D125" s="53" t="n">
        <x:f>IF(K124&lt;L124,F124,D124)</x:f>
        <x:v>-0.8483734130859375</x:v>
      </x:c>
      <x:c r="E125" s="53" t="n">
        <x:f>IF(K124&lt;L124,E124,F124)</x:f>
        <x:v>-0.8483657836914062</x:v>
      </x:c>
      <x:c r="F125" s="53" t="n">
        <x:f>(D125+E125)/2</x:f>
        <x:v>-0.8483695983886719</x:v>
      </x:c>
      <x:c r="G125" s="54" t="n">
        <x:f>NORMDIST($F125-'Vehicle Economics'!$D$16,0,1,TRUE)</x:f>
        <x:v>0.19811608412345366</x:v>
      </x:c>
      <x:c r="H125" s="54" t="n">
        <x:f>NORMDIST($F125-'Vehicle Economics'!$E$16,0,1,TRUE)</x:f>
        <x:v>0.1351682301072077</x:v>
      </x:c>
      <x:c r="I125" s="54" t="n">
        <x:f>NORMDIST($F125-'Vehicle Economics'!$F$16,0,1,TRUE)</x:f>
        <x:v>0.17497344151674843</x:v>
      </x:c>
      <x:c r="J125" s="54" t="n">
        <x:f>NORMDIST($F125-'Vehicle Economics'!$G$16,0,1,TRUE)</x:f>
        <x:v>0.13163522751415035</x:v>
      </x:c>
      <x:c r="K125" s="53" t="n">
        <x:f>SUMPRODUCT(G125:J125,$D$20:$G$20)/$H$20</x:f>
        <x:v>0.15699970028293828</x:v>
      </x:c>
      <x:c r="L125" s="54" t="n">
        <x:f>'AD Fees &amp; TLF'!$D$8</x:f>
        <x:v>0.157</x:v>
      </x:c>
    </x:row>
    <x:row r="126" ht="18" customHeight="1">
      <x:c r="A126" s="2"/>
      <x:c r="B126" s="2"/>
      <x:c r="C126" s="2" t="n">
        <x:v>23</x:v>
      </x:c>
      <x:c r="D126" s="53" t="n">
        <x:f>IF(K125&lt;L125,F125,D125)</x:f>
        <x:v>-0.8483695983886719</x:v>
      </x:c>
      <x:c r="E126" s="53" t="n">
        <x:f>IF(K125&lt;L125,E125,F125)</x:f>
        <x:v>-0.8483657836914062</x:v>
      </x:c>
      <x:c r="F126" s="53" t="n">
        <x:f>(D126+E126)/2</x:f>
        <x:v>-0.8483676910400391</x:v>
      </x:c>
      <x:c r="G126" s="54" t="n">
        <x:f>NORMDIST($F126-'Vehicle Economics'!$D$16,0,1,TRUE)</x:f>
        <x:v>0.19811661507257206</x:v>
      </x:c>
      <x:c r="H126" s="54" t="n">
        <x:f>NORMDIST($F126-'Vehicle Economics'!$E$16,0,1,TRUE)</x:f>
        <x:v>0.13516864458211886</x:v>
      </x:c>
      <x:c r="I126" s="54" t="n">
        <x:f>NORMDIST($F126-'Vehicle Economics'!$F$16,0,1,TRUE)</x:f>
        <x:v>0.1749739331371576</x:v>
      </x:c>
      <x:c r="J126" s="54" t="n">
        <x:f>NORMDIST($F126-'Vehicle Economics'!$G$16,0,1,TRUE)</x:f>
        <x:v>0.1316356345059959</x:v>
      </x:c>
      <x:c r="K126" s="53" t="n">
        <x:f>SUMPRODUCT(G126:J126,$D$20:$G$20)/$H$20</x:f>
        <x:v>0.15700015559365085</x:v>
      </x:c>
      <x:c r="L126" s="54" t="n">
        <x:f>'AD Fees &amp; TLF'!$D$8</x:f>
        <x:v>0.157</x:v>
      </x:c>
    </x:row>
    <x:row r="127" ht="18" customHeight="1">
      <x:c r="A127" s="2"/>
      <x:c r="B127" s="2"/>
      <x:c r="C127" s="2" t="n">
        <x:v>24</x:v>
      </x:c>
      <x:c r="D127" s="53" t="n">
        <x:f>IF(K126&lt;L126,F126,D126)</x:f>
        <x:v>-0.8483695983886719</x:v>
      </x:c>
      <x:c r="E127" s="53" t="n">
        <x:f>IF(K126&lt;L126,E126,F126)</x:f>
        <x:v>-0.8483676910400391</x:v>
      </x:c>
      <x:c r="F127" s="53" t="n">
        <x:f>(D127+E127)/2</x:f>
        <x:v>-0.8483686447143555</x:v>
      </x:c>
      <x:c r="G127" s="54" t="n">
        <x:f>NORMDIST($F127-'Vehicle Economics'!$D$16,0,1,TRUE)</x:f>
        <x:v>0.19811634959790547</x:v>
      </x:c>
      <x:c r="H127" s="54" t="n">
        <x:f>NORMDIST($F127-'Vehicle Economics'!$E$16,0,1,TRUE)</x:f>
        <x:v>0.1351684373445543</x:v>
      </x:c>
      <x:c r="I127" s="54" t="n">
        <x:f>NORMDIST($F127-'Vehicle Economics'!$F$16,0,1,TRUE)</x:f>
        <x:v>0.17497368732684343</x:v>
      </x:c>
      <x:c r="J127" s="54" t="n">
        <x:f>NORMDIST($F127-'Vehicle Economics'!$G$16,0,1,TRUE)</x:f>
        <x:v>0.13163543100996455</x:v>
      </x:c>
      <x:c r="K127" s="53" t="n">
        <x:f>SUMPRODUCT(G127:J127,$D$20:$G$20)/$H$20</x:f>
        <x:v>0.15699992793818596</x:v>
      </x:c>
      <x:c r="L127" s="54" t="n">
        <x:f>'AD Fees &amp; TLF'!$D$8</x:f>
        <x:v>0.157</x:v>
      </x:c>
    </x:row>
    <x:row r="128" ht="18" customHeight="1">
      <x:c r="A128" s="2"/>
      <x:c r="B128" s="2"/>
      <x:c r="C128" s="2" t="n">
        <x:v>25</x:v>
      </x:c>
      <x:c r="D128" s="53" t="n">
        <x:f>IF(K127&lt;L127,F127,D127)</x:f>
        <x:v>-0.8483686447143555</x:v>
      </x:c>
      <x:c r="E128" s="53" t="n">
        <x:f>IF(K127&lt;L127,E127,F127)</x:f>
        <x:v>-0.8483676910400391</x:v>
      </x:c>
      <x:c r="F128" s="53" t="n">
        <x:f>(D128+E128)/2</x:f>
        <x:v>-0.8483681678771973</x:v>
      </x:c>
      <x:c r="G128" s="54" t="n">
        <x:f>NORMDIST($F128-'Vehicle Economics'!$D$16,0,1,TRUE)</x:f>
        <x:v>0.19811648233521184</x:v>
      </x:c>
      <x:c r="H128" s="54" t="n">
        <x:f>NORMDIST($F128-'Vehicle Economics'!$E$16,0,1,TRUE)</x:f>
        <x:v>0.13516854096330932</x:v>
      </x:c>
      <x:c r="I128" s="54" t="n">
        <x:f>NORMDIST($F128-'Vehicle Economics'!$F$16,0,1,TRUE)</x:f>
        <x:v>0.17497381023197311</x:v>
      </x:c>
      <x:c r="J128" s="54" t="n">
        <x:f>NORMDIST($F128-'Vehicle Economics'!$G$16,0,1,TRUE)</x:f>
        <x:v>0.1316355327579531</x:v>
      </x:c>
      <x:c r="K128" s="53" t="n">
        <x:f>SUMPRODUCT(G128:J128,$D$20:$G$20)/$H$20</x:f>
        <x:v>0.15700004176589122</x:v>
      </x:c>
      <x:c r="L128" s="54" t="n">
        <x:f>'AD Fees &amp; TLF'!$D$8</x:f>
        <x:v>0.157</x:v>
      </x:c>
    </x:row>
    <x:row r="129" ht="18" customHeight="1">
      <x:c r="A129" s="2"/>
      <x:c r="B129" s="2"/>
      <x:c r="C129" s="2" t="n">
        <x:v>26</x:v>
      </x:c>
      <x:c r="D129" s="53" t="n">
        <x:f>IF(K128&lt;L128,F128,D128)</x:f>
        <x:v>-0.8483686447143555</x:v>
      </x:c>
      <x:c r="E129" s="53" t="n">
        <x:f>IF(K128&lt;L128,E128,F128)</x:f>
        <x:v>-0.8483681678771973</x:v>
      </x:c>
      <x:c r="F129" s="53" t="n">
        <x:f>(D129+E129)/2</x:f>
        <x:v>-0.8483684062957764</x:v>
      </x:c>
      <x:c r="G129" s="54" t="n">
        <x:f>NORMDIST($F129-'Vehicle Economics'!$D$16,0,1,TRUE)</x:f>
        <x:v>0.19811641596655194</x:v>
      </x:c>
      <x:c r="H129" s="54" t="n">
        <x:f>NORMDIST($F129-'Vehicle Economics'!$E$16,0,1,TRUE)</x:f>
        <x:v>0.135168489153925</x:v>
      </x:c>
      <x:c r="I129" s="54" t="n">
        <x:f>NORMDIST($F129-'Vehicle Economics'!$F$16,0,1,TRUE)</x:f>
        <x:v>0.17497374877940142</x:v>
      </x:c>
      <x:c r="J129" s="54" t="n">
        <x:f>NORMDIST($F129-'Vehicle Economics'!$G$16,0,1,TRUE)</x:f>
        <x:v>0.13163548188395202</x:v>
      </x:c>
      <x:c r="K129" s="53" t="n">
        <x:f>SUMPRODUCT(G129:J129,$D$20:$G$20)/$H$20</x:f>
        <x:v>0.1569999848520318</x:v>
      </x:c>
      <x:c r="L129" s="54" t="n">
        <x:f>'AD Fees &amp; TLF'!$D$8</x:f>
        <x:v>0.157</x:v>
      </x:c>
    </x:row>
    <x:row r="130" ht="18" customHeight="1">
      <x:c r="A130" s="2"/>
      <x:c r="B130" s="2"/>
      <x:c r="C130" s="2" t="n">
        <x:v>27</x:v>
      </x:c>
      <x:c r="D130" s="53" t="n">
        <x:f>IF(K129&lt;L129,F129,D129)</x:f>
        <x:v>-0.8483684062957764</x:v>
      </x:c>
      <x:c r="E130" s="53" t="n">
        <x:f>IF(K129&lt;L129,E129,F129)</x:f>
        <x:v>-0.8483681678771973</x:v>
      </x:c>
      <x:c r="F130" s="53" t="n">
        <x:f>(D130+E130)/2</x:f>
        <x:v>-0.8483682870864868</x:v>
      </x:c>
      <x:c r="G130" s="54" t="n">
        <x:f>NORMDIST($F130-'Vehicle Economics'!$D$16,0,1,TRUE)</x:f>
        <x:v>0.19811644915088034</x:v>
      </x:c>
      <x:c r="H130" s="54" t="n">
        <x:f>NORMDIST($F130-'Vehicle Economics'!$E$16,0,1,TRUE)</x:f>
        <x:v>0.1351685150586155</x:v>
      </x:c>
      <x:c r="I130" s="54" t="n">
        <x:f>NORMDIST($F130-'Vehicle Economics'!$F$16,0,1,TRUE)</x:f>
        <x:v>0.17497377950568554</x:v>
      </x:c>
      <x:c r="J130" s="54" t="n">
        <x:f>NORMDIST($F130-'Vehicle Economics'!$G$16,0,1,TRUE)</x:f>
        <x:v>0.13163550732095086</x:v>
      </x:c>
      <x:c r="K130" s="53" t="n">
        <x:f>SUMPRODUCT(G130:J130,$D$20:$G$20)/$H$20</x:f>
        <x:v>0.15700001330895985</x:v>
      </x:c>
      <x:c r="L130" s="54" t="n">
        <x:f>'AD Fees &amp; TLF'!$D$8</x:f>
        <x:v>0.157</x:v>
      </x:c>
    </x:row>
    <x:row r="131" ht="18" customHeight="1">
      <x:c r="A131" s="2"/>
      <x:c r="B131" s="2"/>
      <x:c r="C131" s="2" t="n">
        <x:v>28</x:v>
      </x:c>
      <x:c r="D131" s="53" t="n">
        <x:f>IF(K130&lt;L130,F130,D130)</x:f>
        <x:v>-0.8483684062957764</x:v>
      </x:c>
      <x:c r="E131" s="53" t="n">
        <x:f>IF(K130&lt;L130,E130,F130)</x:f>
        <x:v>-0.8483682870864868</x:v>
      </x:c>
      <x:c r="F131" s="53" t="n">
        <x:f>(D131+E131)/2</x:f>
        <x:v>-0.8483683466911316</x:v>
      </x:c>
      <x:c r="G131" s="54" t="n">
        <x:f>NORMDIST($F131-'Vehicle Economics'!$D$16,0,1,TRUE)</x:f>
        <x:v>0.1981164325587157</x:v>
      </x:c>
      <x:c r="H131" s="54" t="n">
        <x:f>NORMDIST($F131-'Vehicle Economics'!$E$16,0,1,TRUE)</x:f>
        <x:v>0.13516850210626985</x:v>
      </x:c>
      <x:c r="I131" s="54" t="n">
        <x:f>NORMDIST($F131-'Vehicle Economics'!$F$16,0,1,TRUE)</x:f>
        <x:v>0.17497376414254306</x:v>
      </x:c>
      <x:c r="J131" s="54" t="n">
        <x:f>NORMDIST($F131-'Vehicle Economics'!$G$16,0,1,TRUE)</x:f>
        <x:v>0.13163549460245105</x:v>
      </x:c>
      <x:c r="K131" s="53" t="n">
        <x:f>SUMPRODUCT(G131:J131,$D$20:$G$20)/$H$20</x:f>
        <x:v>0.15699999908049542</x:v>
      </x:c>
      <x:c r="L131" s="54" t="n">
        <x:f>'AD Fees &amp; TLF'!$D$8</x:f>
        <x:v>0.157</x:v>
      </x:c>
    </x:row>
    <x:row r="132" ht="18" customHeight="1">
      <x:c r="A132" s="2"/>
      <x:c r="B132" s="2"/>
      <x:c r="C132" s="2" t="n">
        <x:v>29</x:v>
      </x:c>
      <x:c r="D132" s="53" t="n">
        <x:f>IF(K131&lt;L131,F131,D131)</x:f>
        <x:v>-0.8483683466911316</x:v>
      </x:c>
      <x:c r="E132" s="53" t="n">
        <x:f>IF(K131&lt;L131,E131,F131)</x:f>
        <x:v>-0.8483682870864868</x:v>
      </x:c>
      <x:c r="F132" s="53" t="n">
        <x:f>(D132+E132)/2</x:f>
        <x:v>-0.8483683168888092</x:v>
      </x:c>
      <x:c r="G132" s="54" t="n">
        <x:f>NORMDIST($F132-'Vehicle Economics'!$D$16,0,1,TRUE)</x:f>
        <x:v>0.19811644085479785</x:v>
      </x:c>
      <x:c r="H132" s="54" t="n">
        <x:f>NORMDIST($F132-'Vehicle Economics'!$E$16,0,1,TRUE)</x:f>
        <x:v>0.13516850858244256</x:v>
      </x:c>
      <x:c r="I132" s="54" t="n">
        <x:f>NORMDIST($F132-'Vehicle Economics'!$F$16,0,1,TRUE)</x:f>
        <x:v>0.17497377182411428</x:v>
      </x:c>
      <x:c r="J132" s="54" t="n">
        <x:f>NORMDIST($F132-'Vehicle Economics'!$G$16,0,1,TRUE)</x:f>
        <x:v>0.13163550096170085</x:v>
      </x:c>
      <x:c r="K132" s="53" t="n">
        <x:f>SUMPRODUCT(G132:J132,$D$20:$G$20)/$H$20</x:f>
        <x:v>0.15700000619472748</x:v>
      </x:c>
      <x:c r="L132" s="54" t="n">
        <x:f>'AD Fees &amp; TLF'!$D$8</x:f>
        <x:v>0.157</x:v>
      </x:c>
    </x:row>
    <x:row r="133" ht="18" customHeight="1">
      <x:c r="A133" s="2"/>
      <x:c r="B133" s="2"/>
      <x:c r="C133" s="2" t="n">
        <x:v>30</x:v>
      </x:c>
      <x:c r="D133" s="53" t="n">
        <x:f>IF(K132&lt;L132,F132,D132)</x:f>
        <x:v>-0.8483683466911316</x:v>
      </x:c>
      <x:c r="E133" s="53" t="n">
        <x:f>IF(K132&lt;L132,E132,F132)</x:f>
        <x:v>-0.8483683168888092</x:v>
      </x:c>
      <x:c r="F133" s="53" t="n">
        <x:f>(D133+E133)/2</x:f>
        <x:v>-0.8483683317899704</x:v>
      </x:c>
      <x:c r="G133" s="54" t="n">
        <x:f>NORMDIST($F133-'Vehicle Economics'!$D$16,0,1,TRUE)</x:f>
        <x:v>0.19811643670675677</x:v>
      </x:c>
      <x:c r="H133" s="54" t="n">
        <x:f>NORMDIST($F133-'Vehicle Economics'!$E$16,0,1,TRUE)</x:f>
        <x:v>0.13516850534435615</x:v>
      </x:c>
      <x:c r="I133" s="54" t="n">
        <x:f>NORMDIST($F133-'Vehicle Economics'!$F$16,0,1,TRUE)</x:f>
        <x:v>0.17497376798332864</x:v>
      </x:c>
      <x:c r="J133" s="54" t="n">
        <x:f>NORMDIST($F133-'Vehicle Economics'!$G$16,0,1,TRUE)</x:f>
        <x:v>0.13163549778207595</x:v>
      </x:c>
      <x:c r="K133" s="53" t="n">
        <x:f>SUMPRODUCT(G133:J133,$D$20:$G$20)/$H$20</x:f>
        <x:v>0.15700000263761144</x:v>
      </x:c>
      <x:c r="L133" s="54" t="n">
        <x:f>'AD Fees &amp; TLF'!$D$8</x:f>
        <x:v>0.157</x:v>
      </x:c>
    </x:row>
    <x:row r="134" ht="18" customHeight="1">
      <x:c r="A134" s="2"/>
      <x:c r="B134" s="2"/>
      <x:c r="C134" s="2" t="n">
        <x:v>31</x:v>
      </x:c>
      <x:c r="D134" s="53" t="n">
        <x:f>IF(K133&lt;L133,F133,D133)</x:f>
        <x:v>-0.8483683466911316</x:v>
      </x:c>
      <x:c r="E134" s="53" t="n">
        <x:f>IF(K133&lt;L133,E133,F133)</x:f>
        <x:v>-0.8483683317899704</x:v>
      </x:c>
      <x:c r="F134" s="53" t="n">
        <x:f>(D134+E134)/2</x:f>
        <x:v>-0.848368339240551</x:v>
      </x:c>
      <x:c r="G134" s="54" t="n">
        <x:f>NORMDIST($F134-'Vehicle Economics'!$D$16,0,1,TRUE)</x:f>
        <x:v>0.1981164346327362</x:v>
      </x:c>
      <x:c r="H134" s="54" t="n">
        <x:f>NORMDIST($F134-'Vehicle Economics'!$E$16,0,1,TRUE)</x:f>
        <x:v>0.13516850372531303</x:v>
      </x:c>
      <x:c r="I134" s="54" t="n">
        <x:f>NORMDIST($F134-'Vehicle Economics'!$F$16,0,1,TRUE)</x:f>
        <x:v>0.1749737660629358</x:v>
      </x:c>
      <x:c r="J134" s="54" t="n">
        <x:f>NORMDIST($F134-'Vehicle Economics'!$G$16,0,1,TRUE)</x:f>
        <x:v>0.1316354961922635</x:v>
      </x:c>
      <x:c r="K134" s="53" t="n">
        <x:f>SUMPRODUCT(G134:J134,$D$20:$G$20)/$H$20</x:f>
        <x:v>0.1570000008590534</x:v>
      </x:c>
      <x:c r="L134" s="54" t="n">
        <x:f>'AD Fees &amp; TLF'!$D$8</x:f>
        <x:v>0.157</x:v>
      </x:c>
    </x:row>
    <x:row r="135" ht="18" customHeight="1">
      <x:c r="A135" s="2"/>
      <x:c r="B135" s="2"/>
      <x:c r="C135" s="2" t="n">
        <x:v>32</x:v>
      </x:c>
      <x:c r="D135" s="53" t="n">
        <x:f>IF(K134&lt;L134,F134,D134)</x:f>
        <x:v>-0.8483683466911316</x:v>
      </x:c>
      <x:c r="E135" s="53" t="n">
        <x:f>IF(K134&lt;L134,E134,F134)</x:f>
        <x:v>-0.848368339240551</x:v>
      </x:c>
      <x:c r="F135" s="53" t="n">
        <x:f>(D135+E135)/2</x:f>
        <x:v>-0.8483683429658413</x:v>
      </x:c>
      <x:c r="G135" s="54" t="n">
        <x:f>NORMDIST($F135-'Vehicle Economics'!$D$16,0,1,TRUE)</x:f>
        <x:v>0.19811643359572595</x:v>
      </x:c>
      <x:c r="H135" s="54" t="n">
        <x:f>NORMDIST($F135-'Vehicle Economics'!$E$16,0,1,TRUE)</x:f>
        <x:v>0.1351685029157914</x:v>
      </x:c>
      <x:c r="I135" s="54" t="n">
        <x:f>NORMDIST($F135-'Vehicle Economics'!$F$16,0,1,TRUE)</x:f>
        <x:v>0.17497376510273943</x:v>
      </x:c>
      <x:c r="J135" s="54" t="n">
        <x:f>NORMDIST($F135-'Vehicle Economics'!$G$16,0,1,TRUE)</x:f>
        <x:v>0.13163549539735725</x:v>
      </x:c>
      <x:c r="K135" s="53" t="n">
        <x:f>SUMPRODUCT(G135:J135,$D$20:$G$20)/$H$20</x:f>
        <x:v>0.1569999999697744</x:v>
      </x:c>
      <x:c r="L135" s="54" t="n">
        <x:f>'AD Fees &amp; TLF'!$D$8</x:f>
        <x:v>0.157</x:v>
      </x:c>
    </x:row>
    <x:row r="136" ht="18" customHeight="1">
      <x:c r="A136" s="2"/>
      <x:c r="B136" s="2"/>
      <x:c r="C136" s="2"/>
      <x:c r="D136" s="52"/>
      <x:c r="E136" s="52"/>
      <x:c r="F136" s="52"/>
      <x:c r="G136" s="52"/>
      <x:c r="H136" s="52"/>
      <x:c r="I136" s="52"/>
      <x:c r="J136" s="52"/>
      <x:c r="K136" s="52"/>
      <x:c r="L136" s="52"/>
    </x:row>
    <x:row r="137" ht="18" customHeight="1">
      <x:c r="A137" s="2"/>
      <x:c r="B137" s="2"/>
      <x:c r="C137" s="2"/>
      <x:c r="D137" s="52"/>
      <x:c r="E137" s="52"/>
      <x:c r="F137" s="52"/>
      <x:c r="G137" s="52"/>
      <x:c r="H137" s="52"/>
      <x:c r="I137" s="52"/>
      <x:c r="J137" s="52"/>
      <x:c r="K137" s="52"/>
      <x:c r="L137" s="52"/>
    </x:row>
    <x:row r="138" ht="18" customHeight="1">
      <x:c r="A138" s="2"/>
      <x:c r="B138" s="2"/>
      <x:c r="C138" s="2"/>
      <x:c r="D138" s="52"/>
      <x:c r="E138" s="52"/>
      <x:c r="F138" s="52"/>
      <x:c r="G138" s="52"/>
      <x:c r="H138" s="52"/>
      <x:c r="I138" s="52"/>
      <x:c r="J138" s="52"/>
      <x:c r="K138" s="52"/>
      <x:c r="L138" s="52"/>
    </x:row>
    <x:row r="139" ht="21" customHeight="1">
      <x:c r="A139" s="2"/>
      <x:c r="B139" s="2"/>
      <x:c r="C139" s="9" t="str">
        <x:v>7–9: bisection solve</x:v>
      </x:c>
      <x:c r="D139" s="55"/>
      <x:c r="E139" s="55"/>
      <x:c r="F139" s="55"/>
      <x:c r="G139" s="55"/>
      <x:c r="H139" s="55"/>
      <x:c r="I139" s="55"/>
      <x:c r="J139" s="55"/>
      <x:c r="K139" s="55"/>
      <x:c r="L139" s="55"/>
    </x:row>
    <x:row r="140" ht="29" customHeight="1">
      <x:c r="A140" s="2"/>
      <x:c r="B140" s="2"/>
      <x:c r="C140" s="10" t="str">
        <x:v>Iteration</x:v>
      </x:c>
      <x:c r="D140" s="56" t="str">
        <x:v>Lower</x:v>
      </x:c>
      <x:c r="E140" s="56" t="str">
        <x:v>Upper</x:v>
      </x:c>
      <x:c r="F140" s="56" t="str">
        <x:v>Index</x:v>
      </x:c>
      <x:c r="G140" s="56" t="str">
        <x:v>Car P</x:v>
      </x:c>
      <x:c r="H140" s="56" t="str">
        <x:v>SUV P</x:v>
      </x:c>
      <x:c r="I140" s="56" t="str">
        <x:v>Pickup P</x:v>
      </x:c>
      <x:c r="J140" s="56" t="str">
        <x:v>Van P</x:v>
      </x:c>
      <x:c r="K140" s="56" t="str">
        <x:v>Weighted P</x:v>
      </x:c>
      <x:c r="L140" s="56" t="str">
        <x:v>Target</x:v>
      </x:c>
    </x:row>
    <x:row r="141" ht="18" customHeight="1">
      <x:c r="A141" s="2"/>
      <x:c r="B141" s="2"/>
      <x:c r="C141" s="2" t="n">
        <x:v>1</x:v>
      </x:c>
      <x:c r="D141" s="52" t="n">
        <x:v>-8</x:v>
      </x:c>
      <x:c r="E141" s="52" t="n">
        <x:v>8</x:v>
      </x:c>
      <x:c r="F141" s="53" t="n">
        <x:f>(D141+E141)/2</x:f>
        <x:v>0</x:v>
      </x:c>
      <x:c r="G141" s="54" t="n">
        <x:f>NORMDIST($F141-'Vehicle Economics'!$D$16,0,1,TRUE)</x:f>
        <x:v>0.5</x:v>
      </x:c>
      <x:c r="H141" s="54" t="n">
        <x:f>NORMDIST($F141-'Vehicle Economics'!$E$16,0,1,TRUE)</x:f>
        <x:v>0.3997792773780073</x:v>
      </x:c>
      <x:c r="I141" s="54" t="n">
        <x:f>NORMDIST($F141-'Vehicle Economics'!$F$16,0,1,TRUE)</x:f>
        <x:v>0.4656049360893372</x:v>
      </x:c>
      <x:c r="J141" s="54" t="n">
        <x:f>NORMDIST($F141-'Vehicle Economics'!$G$16,0,1,TRUE)</x:f>
        <x:v>0.3934551210988128</x:v>
      </x:c>
      <x:c r="K141" s="53" t="n">
        <x:f>SUMPRODUCT(G141:J141,$D$21:$G$21)/$H$21</x:f>
        <x:v>0.44488893027009463</x:v>
      </x:c>
      <x:c r="L141" s="54" t="n">
        <x:f>'AD Fees &amp; TLF'!$D$9</x:f>
        <x:v>0.23399999999999999</x:v>
      </x:c>
    </x:row>
    <x:row r="142" ht="18" customHeight="1">
      <x:c r="A142" s="2"/>
      <x:c r="B142" s="2"/>
      <x:c r="C142" s="2" t="n">
        <x:v>2</x:v>
      </x:c>
      <x:c r="D142" s="53" t="n">
        <x:f>IF(K141&lt;L141,F141,D141)</x:f>
        <x:v>-8</x:v>
      </x:c>
      <x:c r="E142" s="53" t="n">
        <x:f>IF(K141&lt;L141,E141,F141)</x:f>
        <x:v>0</x:v>
      </x:c>
      <x:c r="F142" s="53" t="n">
        <x:f>(D142+E142)/2</x:f>
        <x:v>-4</x:v>
      </x:c>
      <x:c r="G142" s="54" t="n">
        <x:f>NORMDIST($F142-'Vehicle Economics'!$D$16,0,1,TRUE)</x:f>
        <x:v>0.00003167124183311998</x:v>
      </x:c>
      <x:c r="H142" s="54" t="n">
        <x:f>NORMDIST($F142-'Vehicle Economics'!$E$16,0,1,TRUE)</x:f>
        <x:v>0.000010503091136260245</x:v>
      </x:c>
      <x:c r="I142" s="54" t="n">
        <x:f>NORMDIST($F142-'Vehicle Economics'!$F$16,0,1,TRUE)</x:f>
        <x:v>0.000021913203029577666</x:v>
      </x:c>
      <x:c r="J142" s="54" t="n">
        <x:f>NORMDIST($F142-'Vehicle Economics'!$G$16,0,1,TRUE)</x:f>
        <x:v>0.00000975941677439085</x:v>
      </x:c>
      <x:c r="K142" s="53" t="n">
        <x:f>SUMPRODUCT(G142:J142,$D$21:$G$21)/$H$21</x:f>
        <x:v>0.000019760697826256205</x:v>
      </x:c>
      <x:c r="L142" s="54" t="n">
        <x:f>'AD Fees &amp; TLF'!$D$9</x:f>
        <x:v>0.23399999999999999</x:v>
      </x:c>
    </x:row>
    <x:row r="143" ht="18" customHeight="1">
      <x:c r="A143" s="2"/>
      <x:c r="B143" s="2"/>
      <x:c r="C143" s="2" t="n">
        <x:v>3</x:v>
      </x:c>
      <x:c r="D143" s="53" t="n">
        <x:f>IF(K142&lt;L142,F142,D142)</x:f>
        <x:v>-4</x:v>
      </x:c>
      <x:c r="E143" s="53" t="n">
        <x:f>IF(K142&lt;L142,E142,F142)</x:f>
        <x:v>0</x:v>
      </x:c>
      <x:c r="F143" s="53" t="n">
        <x:f>(D143+E143)/2</x:f>
        <x:v>-2</x:v>
      </x:c>
      <x:c r="G143" s="54" t="n">
        <x:f>NORMDIST($F143-'Vehicle Economics'!$D$16,0,1,TRUE)</x:f>
        <x:v>0.02275013194817921</x:v>
      </x:c>
      <x:c r="H143" s="54" t="n">
        <x:f>NORMDIST($F143-'Vehicle Economics'!$E$16,0,1,TRUE)</x:f>
        <x:v>0.012100649135212083</x:v>
      </x:c>
      <x:c r="I143" s="54" t="n">
        <x:f>NORMDIST($F143-'Vehicle Economics'!$F$16,0,1,TRUE)</x:f>
        <x:v>0.018474699658395266</x:v>
      </x:c>
      <x:c r="J143" s="54" t="n">
        <x:f>NORMDIST($F143-'Vehicle Economics'!$G$16,0,1,TRUE)</x:f>
        <x:v>0.011593935975388714</x:v>
      </x:c>
      <x:c r="K143" s="53" t="n">
        <x:f>SUMPRODUCT(G143:J143,$D$21:$G$21)/$H$21</x:f>
        <x:v>0.01682768048507314</x:v>
      </x:c>
      <x:c r="L143" s="54" t="n">
        <x:f>'AD Fees &amp; TLF'!$D$9</x:f>
        <x:v>0.23399999999999999</x:v>
      </x:c>
    </x:row>
    <x:row r="144" ht="18" customHeight="1">
      <x:c r="A144" s="2"/>
      <x:c r="B144" s="2"/>
      <x:c r="C144" s="2" t="n">
        <x:v>4</x:v>
      </x:c>
      <x:c r="D144" s="53" t="n">
        <x:f>IF(K143&lt;L143,F143,D143)</x:f>
        <x:v>-2</x:v>
      </x:c>
      <x:c r="E144" s="53" t="n">
        <x:f>IF(K143&lt;L143,E143,F143)</x:f>
        <x:v>0</x:v>
      </x:c>
      <x:c r="F144" s="53" t="n">
        <x:f>(D144+E144)/2</x:f>
        <x:v>-1</x:v>
      </x:c>
      <x:c r="G144" s="54" t="n">
        <x:f>NORMDIST($F144-'Vehicle Economics'!$D$16,0,1,TRUE)</x:f>
        <x:v>0.15865525393145707</x:v>
      </x:c>
      <x:c r="H144" s="54" t="n">
        <x:f>NORMDIST($F144-'Vehicle Economics'!$E$16,0,1,TRUE)</x:f>
        <x:v>0.10493582268156831</x:v>
      </x:c>
      <x:c r="I144" s="54" t="n">
        <x:f>NORMDIST($F144-'Vehicle Economics'!$F$16,0,1,TRUE)</x:f>
        <x:v>0.13866811769162857</x:v>
      </x:c>
      <x:c r="J144" s="54" t="n">
        <x:f>NORMDIST($F144-'Vehicle Economics'!$G$16,0,1,TRUE)</x:f>
        <x:v>0.1019844452045599</x:v>
      </x:c>
      <x:c r="K144" s="53" t="n">
        <x:f>SUMPRODUCT(G144:J144,$D$21:$G$21)/$H$21</x:f>
        <x:v>0.12895064336419265</x:v>
      </x:c>
      <x:c r="L144" s="54" t="n">
        <x:f>'AD Fees &amp; TLF'!$D$9</x:f>
        <x:v>0.23399999999999999</x:v>
      </x:c>
    </x:row>
    <x:row r="145" ht="18" customHeight="1">
      <x:c r="A145" s="2"/>
      <x:c r="B145" s="2"/>
      <x:c r="C145" s="2" t="n">
        <x:v>5</x:v>
      </x:c>
      <x:c r="D145" s="53" t="n">
        <x:f>IF(K144&lt;L144,F144,D144)</x:f>
        <x:v>-1</x:v>
      </x:c>
      <x:c r="E145" s="53" t="n">
        <x:f>IF(K144&lt;L144,E144,F144)</x:f>
        <x:v>0</x:v>
      </x:c>
      <x:c r="F145" s="53" t="n">
        <x:f>(D145+E145)/2</x:f>
        <x:v>-0.5</x:v>
      </x:c>
      <x:c r="G145" s="54" t="n">
        <x:f>NORMDIST($F145-'Vehicle Economics'!$D$16,0,1,TRUE)</x:f>
        <x:v>0.3085375387259869</x:v>
      </x:c>
      <x:c r="H145" s="54" t="n">
        <x:f>NORMDIST($F145-'Vehicle Economics'!$E$16,0,1,TRUE)</x:f>
        <x:v>0.22544909328126578</x:v>
      </x:c>
      <x:c r="I145" s="54" t="n">
        <x:f>NORMDIST($F145-'Vehicle Economics'!$F$16,0,1,TRUE)</x:f>
        <x:v>0.27882933049916064</x:v>
      </x:c>
      <x:c r="J145" s="54" t="n">
        <x:f>NORMDIST($F145-'Vehicle Economics'!$G$16,0,1,TRUE)</x:f>
        <x:v>0.22055356832755285</x:v>
      </x:c>
      <x:c r="K145" s="53" t="n">
        <x:f>SUMPRODUCT(G145:J145,$D$21:$G$21)/$H$21</x:f>
        <x:v>0.2627215145161618</x:v>
      </x:c>
      <x:c r="L145" s="54" t="n">
        <x:f>'AD Fees &amp; TLF'!$D$9</x:f>
        <x:v>0.23399999999999999</x:v>
      </x:c>
    </x:row>
    <x:row r="146" ht="18" customHeight="1">
      <x:c r="A146" s="2"/>
      <x:c r="B146" s="2"/>
      <x:c r="C146" s="2" t="n">
        <x:v>6</x:v>
      </x:c>
      <x:c r="D146" s="53" t="n">
        <x:f>IF(K145&lt;L145,F145,D145)</x:f>
        <x:v>-1</x:v>
      </x:c>
      <x:c r="E146" s="53" t="n">
        <x:f>IF(K145&lt;L145,E145,F145)</x:f>
        <x:v>-0.5</x:v>
      </x:c>
      <x:c r="F146" s="53" t="n">
        <x:f>(D146+E146)/2</x:f>
        <x:v>-0.75</x:v>
      </x:c>
      <x:c r="G146" s="54" t="n">
        <x:f>NORMDIST($F146-'Vehicle Economics'!$D$16,0,1,TRUE)</x:f>
        <x:v>0.2266273523768682</x:v>
      </x:c>
      <x:c r="H146" s="54" t="n">
        <x:f>NORMDIST($F146-'Vehicle Economics'!$E$16,0,1,TRUE)</x:f>
        <x:v>0.1577089595002803</x:v>
      </x:c>
      <x:c r="I146" s="54" t="n">
        <x:f>NORMDIST($F146-'Vehicle Economics'!$F$16,0,1,TRUE)</x:f>
        <x:v>0.20148668540911974</x:v>
      </x:c>
      <x:c r="J146" s="54" t="n">
        <x:f>NORMDIST($F146-'Vehicle Economics'!$G$16,0,1,TRUE)</x:f>
        <x:v>0.153787177835205</x:v>
      </x:c>
      <x:c r="K146" s="53" t="n">
        <x:f>SUMPRODUCT(G146:J146,$D$21:$G$21)/$H$21</x:f>
        <x:v>0.18857185503016388</x:v>
      </x:c>
      <x:c r="L146" s="54" t="n">
        <x:f>'AD Fees &amp; TLF'!$D$9</x:f>
        <x:v>0.23399999999999999</x:v>
      </x:c>
    </x:row>
    <x:row r="147" ht="18" customHeight="1">
      <x:c r="A147" s="2"/>
      <x:c r="B147" s="2"/>
      <x:c r="C147" s="2" t="n">
        <x:v>7</x:v>
      </x:c>
      <x:c r="D147" s="53" t="n">
        <x:f>IF(K146&lt;L146,F146,D146)</x:f>
        <x:v>-0.75</x:v>
      </x:c>
      <x:c r="E147" s="53" t="n">
        <x:f>IF(K146&lt;L146,E146,F146)</x:f>
        <x:v>-0.5</x:v>
      </x:c>
      <x:c r="F147" s="53" t="n">
        <x:f>(D147+E147)/2</x:f>
        <x:v>-0.625</x:v>
      </x:c>
      <x:c r="G147" s="54" t="n">
        <x:f>NORMDIST($F147-'Vehicle Economics'!$D$16,0,1,TRUE)</x:f>
        <x:v>0.26598552904870054</x:v>
      </x:c>
      <x:c r="H147" s="54" t="n">
        <x:f>NORMDIST($F147-'Vehicle Economics'!$E$16,0,1,TRUE)</x:f>
        <x:v>0.18972274498820274</x:v>
      </x:c>
      <x:c r="I147" s="54" t="n">
        <x:f>NORMDIST($F147-'Vehicle Economics'!$F$16,0,1,TRUE)</x:f>
        <x:v>0.23844213554454258</x:v>
      </x:c>
      <x:c r="J147" s="54" t="n">
        <x:f>NORMDIST($F147-'Vehicle Economics'!$G$16,0,1,TRUE)</x:f>
        <x:v>0.1853066928755912</x:v>
      </x:c>
      <x:c r="K147" s="53" t="n">
        <x:f>SUMPRODUCT(G147:J147,$D$21:$G$21)/$H$21</x:f>
        <x:v>0.22390399543903977</x:v>
      </x:c>
      <x:c r="L147" s="54" t="n">
        <x:f>'AD Fees &amp; TLF'!$D$9</x:f>
        <x:v>0.23399999999999999</x:v>
      </x:c>
    </x:row>
    <x:row r="148" ht="18" customHeight="1">
      <x:c r="A148" s="2"/>
      <x:c r="B148" s="2"/>
      <x:c r="C148" s="2" t="n">
        <x:v>8</x:v>
      </x:c>
      <x:c r="D148" s="53" t="n">
        <x:f>IF(K147&lt;L147,F147,D147)</x:f>
        <x:v>-0.625</x:v>
      </x:c>
      <x:c r="E148" s="53" t="n">
        <x:f>IF(K147&lt;L147,E147,F147)</x:f>
        <x:v>-0.5</x:v>
      </x:c>
      <x:c r="F148" s="53" t="n">
        <x:f>(D148+E148)/2</x:f>
        <x:v>-0.5625</x:v>
      </x:c>
      <x:c r="G148" s="54" t="n">
        <x:f>NORMDIST($F148-'Vehicle Economics'!$D$16,0,1,TRUE)</x:f>
        <x:v>0.2868877018163652</x:v>
      </x:c>
      <x:c r="H148" s="54" t="n">
        <x:f>NORMDIST($F148-'Vehicle Economics'!$E$16,0,1,TRUE)</x:f>
        <x:v>0.20713042169106177</x:v>
      </x:c>
      <x:c r="I148" s="54" t="n">
        <x:f>NORMDIST($F148-'Vehicle Economics'!$F$16,0,1,TRUE)</x:f>
        <x:v>0.2582264827945487</x:v>
      </x:c>
      <x:c r="J148" s="54" t="n">
        <x:f>NORMDIST($F148-'Vehicle Economics'!$G$16,0,1,TRUE)</x:f>
        <x:v>0.20247171957903864</x:v>
      </x:c>
      <x:c r="K148" s="53" t="n">
        <x:f>SUMPRODUCT(G148:J148,$D$21:$G$21)/$H$21</x:f>
        <x:v>0.24289323947648225</x:v>
      </x:c>
      <x:c r="L148" s="54" t="n">
        <x:f>'AD Fees &amp; TLF'!$D$9</x:f>
        <x:v>0.23399999999999999</x:v>
      </x:c>
    </x:row>
    <x:row r="149" ht="18" customHeight="1">
      <x:c r="A149" s="2"/>
      <x:c r="B149" s="2"/>
      <x:c r="C149" s="2" t="n">
        <x:v>9</x:v>
      </x:c>
      <x:c r="D149" s="53" t="n">
        <x:f>IF(K148&lt;L148,F148,D148)</x:f>
        <x:v>-0.625</x:v>
      </x:c>
      <x:c r="E149" s="53" t="n">
        <x:f>IF(K148&lt;L148,E148,F148)</x:f>
        <x:v>-0.5625</x:v>
      </x:c>
      <x:c r="F149" s="53" t="n">
        <x:f>(D149+E149)/2</x:f>
        <x:v>-0.59375</x:v>
      </x:c>
      <x:c r="G149" s="54" t="n">
        <x:f>NORMDIST($F149-'Vehicle Economics'!$D$16,0,1,TRUE)</x:f>
        <x:v>0.276339667782706</x:v>
      </x:c>
      <x:c r="H149" s="54" t="n">
        <x:f>NORMDIST($F149-'Vehicle Economics'!$E$16,0,1,TRUE)</x:f>
        <x:v>0.19831131869046936</x:v>
      </x:c>
      <x:c r="I149" s="54" t="n">
        <x:f>NORMDIST($F149-'Vehicle Economics'!$F$16,0,1,TRUE)</x:f>
        <x:v>0.24822920609288635</x:v>
      </x:c>
      <x:c r="J149" s="54" t="n">
        <x:f>NORMDIST($F149-'Vehicle Economics'!$G$16,0,1,TRUE)</x:f>
        <x:v>0.19377334870865182</x:v>
      </x:c>
      <x:c r="K149" s="53" t="n">
        <x:f>SUMPRODUCT(G149:J149,$D$21:$G$21)/$H$21</x:f>
        <x:v>0.2332914009518023</x:v>
      </x:c>
      <x:c r="L149" s="54" t="n">
        <x:f>'AD Fees &amp; TLF'!$D$9</x:f>
        <x:v>0.23399999999999999</x:v>
      </x:c>
    </x:row>
    <x:row r="150" ht="18" customHeight="1">
      <x:c r="A150" s="2"/>
      <x:c r="B150" s="2"/>
      <x:c r="C150" s="2" t="n">
        <x:v>10</x:v>
      </x:c>
      <x:c r="D150" s="53" t="n">
        <x:f>IF(K149&lt;L149,F149,D149)</x:f>
        <x:v>-0.59375</x:v>
      </x:c>
      <x:c r="E150" s="53" t="n">
        <x:f>IF(K149&lt;L149,E149,F149)</x:f>
        <x:v>-0.5625</x:v>
      </x:c>
      <x:c r="F150" s="53" t="n">
        <x:f>(D150+E150)/2</x:f>
        <x:v>-0.578125</x:v>
      </x:c>
      <x:c r="G150" s="54" t="n">
        <x:f>NORMDIST($F150-'Vehicle Economics'!$D$16,0,1,TRUE)</x:f>
        <x:v>0.2815898648126308</x:v>
      </x:c>
      <x:c r="H150" s="54" t="n">
        <x:f>NORMDIST($F150-'Vehicle Economics'!$E$16,0,1,TRUE)</x:f>
        <x:v>0.20269220759575401</x:v>
      </x:c>
      <x:c r="I150" s="54" t="n">
        <x:f>NORMDIST($F150-'Vehicle Economics'!$F$16,0,1,TRUE)</x:f>
        <x:v>0.253201897283648</x:v>
      </x:c>
      <x:c r="J150" s="54" t="n">
        <x:f>NORMDIST($F150-'Vehicle Economics'!$G$16,0,1,TRUE)</x:f>
        <x:v>0.19809370650929825</x:v>
      </x:c>
      <x:c r="K150" s="53" t="n">
        <x:f>SUMPRODUCT(G150:J150,$D$21:$G$21)/$H$21</x:f>
        <x:v>0.23806578843220158</x:v>
      </x:c>
      <x:c r="L150" s="54" t="n">
        <x:f>'AD Fees &amp; TLF'!$D$9</x:f>
        <x:v>0.23399999999999999</x:v>
      </x:c>
    </x:row>
    <x:row r="151" ht="18" customHeight="1">
      <x:c r="A151" s="2"/>
      <x:c r="B151" s="2"/>
      <x:c r="C151" s="2" t="n">
        <x:v>11</x:v>
      </x:c>
      <x:c r="D151" s="53" t="n">
        <x:f>IF(K150&lt;L150,F150,D150)</x:f>
        <x:v>-0.59375</x:v>
      </x:c>
      <x:c r="E151" s="53" t="n">
        <x:f>IF(K150&lt;L150,E150,F150)</x:f>
        <x:v>-0.578125</x:v>
      </x:c>
      <x:c r="F151" s="53" t="n">
        <x:f>(D151+E151)/2</x:f>
        <x:v>-0.5859375</x:v>
      </x:c>
      <x:c r="G151" s="54" t="n">
        <x:f>NORMDIST($F151-'Vehicle Economics'!$D$16,0,1,TRUE)</x:f>
        <x:v>0.27895875796504405</x:v>
      </x:c>
      <x:c r="H151" s="54" t="n">
        <x:f>NORMDIST($F151-'Vehicle Economics'!$E$16,0,1,TRUE)</x:f>
        <x:v>0.20049457704206908</x:v>
      </x:c>
      <x:c r="I151" s="54" t="n">
        <x:f>NORMDIST($F151-'Vehicle Economics'!$F$16,0,1,TRUE)</x:f>
        <x:v>0.2507090225518946</x:v>
      </x:c>
      <x:c r="J151" s="54" t="n">
        <x:f>NORMDIST($F151-'Vehicle Economics'!$G$16,0,1,TRUE)</x:f>
        <x:v>0.19592630235953512</x:v>
      </x:c>
      <x:c r="K151" s="53" t="n">
        <x:f>SUMPRODUCT(G151:J151,$D$21:$G$21)/$H$21</x:f>
        <x:v>0.23567192645938356</x:v>
      </x:c>
      <x:c r="L151" s="54" t="n">
        <x:f>'AD Fees &amp; TLF'!$D$9</x:f>
        <x:v>0.23399999999999999</x:v>
      </x:c>
    </x:row>
    <x:row r="152" ht="18" customHeight="1">
      <x:c r="A152" s="2"/>
      <x:c r="B152" s="2"/>
      <x:c r="C152" s="2" t="n">
        <x:v>12</x:v>
      </x:c>
      <x:c r="D152" s="53" t="n">
        <x:f>IF(K151&lt;L151,F151,D151)</x:f>
        <x:v>-0.59375</x:v>
      </x:c>
      <x:c r="E152" s="53" t="n">
        <x:f>IF(K151&lt;L151,E151,F151)</x:f>
        <x:v>-0.5859375</x:v>
      </x:c>
      <x:c r="F152" s="53" t="n">
        <x:f>(D152+E152)/2</x:f>
        <x:v>-0.58984375</x:v>
      </x:c>
      <x:c r="G152" s="54" t="n">
        <x:f>NORMDIST($F152-'Vehicle Economics'!$D$16,0,1,TRUE)</x:f>
        <x:v>0.27764770423000107</x:v>
      </x:c>
      <x:c r="H152" s="54" t="n">
        <x:f>NORMDIST($F152-'Vehicle Economics'!$E$16,0,1,TRUE)</x:f>
        <x:v>0.19940114889470978</x:v>
      </x:c>
      <x:c r="I152" s="54" t="n">
        <x:f>NORMDIST($F152-'Vehicle Economics'!$F$16,0,1,TRUE)</x:f>
        <x:v>0.24946747685593307</x:v>
      </x:c>
      <x:c r="J152" s="54" t="n">
        <x:f>NORMDIST($F152-'Vehicle Economics'!$G$16,0,1,TRUE)</x:f>
        <x:v>0.19484801703865384</x:v>
      </x:c>
      <x:c r="K152" s="53" t="n">
        <x:f>SUMPRODUCT(G152:J152,$D$21:$G$21)/$H$21</x:f>
        <x:v>0.2344799923453461</x:v>
      </x:c>
      <x:c r="L152" s="54" t="n">
        <x:f>'AD Fees &amp; TLF'!$D$9</x:f>
        <x:v>0.23399999999999999</x:v>
      </x:c>
    </x:row>
    <x:row r="153" ht="18" customHeight="1">
      <x:c r="A153" s="2"/>
      <x:c r="B153" s="2"/>
      <x:c r="C153" s="2" t="n">
        <x:v>13</x:v>
      </x:c>
      <x:c r="D153" s="53" t="n">
        <x:f>IF(K152&lt;L152,F152,D152)</x:f>
        <x:v>-0.59375</x:v>
      </x:c>
      <x:c r="E153" s="53" t="n">
        <x:f>IF(K152&lt;L152,E152,F152)</x:f>
        <x:v>-0.58984375</x:v>
      </x:c>
      <x:c r="F153" s="53" t="n">
        <x:f>(D153+E153)/2</x:f>
        <x:v>-0.591796875</x:v>
      </x:c>
      <x:c r="G153" s="54" t="n">
        <x:f>NORMDIST($F153-'Vehicle Economics'!$D$16,0,1,TRUE)</x:f>
        <x:v>0.276993308031964</x:v>
      </x:c>
      <x:c r="H153" s="54" t="n">
        <x:f>NORMDIST($F153-'Vehicle Economics'!$E$16,0,1,TRUE)</x:f>
        <x:v>0.19885578375078716</x:v>
      </x:c>
      <x:c r="I153" s="54" t="n">
        <x:f>NORMDIST($F153-'Vehicle Economics'!$F$16,0,1,TRUE)</x:f>
        <x:v>0.24884793146694517</x:v>
      </x:c>
      <x:c r="J153" s="54" t="n">
        <x:f>NORMDIST($F153-'Vehicle Economics'!$G$16,0,1,TRUE)</x:f>
        <x:v>0.19431023048373552</x:v>
      </x:c>
      <x:c r="K153" s="53" t="n">
        <x:f>SUMPRODUCT(G153:J153,$D$21:$G$21)/$H$21</x:f>
        <x:v>0.2338852782775548</x:v>
      </x:c>
      <x:c r="L153" s="54" t="n">
        <x:f>'AD Fees &amp; TLF'!$D$9</x:f>
        <x:v>0.23399999999999999</x:v>
      </x:c>
    </x:row>
    <x:row r="154" ht="18" customHeight="1">
      <x:c r="A154" s="2"/>
      <x:c r="B154" s="2"/>
      <x:c r="C154" s="2" t="n">
        <x:v>14</x:v>
      </x:c>
      <x:c r="D154" s="53" t="n">
        <x:f>IF(K153&lt;L153,F153,D153)</x:f>
        <x:v>-0.591796875</x:v>
      </x:c>
      <x:c r="E154" s="53" t="n">
        <x:f>IF(K153&lt;L153,E153,F153)</x:f>
        <x:v>-0.58984375</x:v>
      </x:c>
      <x:c r="F154" s="53" t="n">
        <x:f>(D154+E154)/2</x:f>
        <x:v>-0.5908203125</x:v>
      </x:c>
      <x:c r="G154" s="54" t="n">
        <x:f>NORMDIST($F154-'Vehicle Economics'!$D$16,0,1,TRUE)</x:f>
        <x:v>0.27732041173876454</x:v>
      </x:c>
      <x:c r="H154" s="54" t="n">
        <x:f>NORMDIST($F154-'Vehicle Economics'!$E$16,0,1,TRUE)</x:f>
        <x:v>0.19912835384935534</x:v>
      </x:c>
      <x:c r="I154" s="54" t="n">
        <x:f>NORMDIST($F154-'Vehicle Economics'!$F$16,0,1,TRUE)</x:f>
        <x:v>0.24915760173936896</x:v>
      </x:c>
      <x:c r="J154" s="54" t="n">
        <x:f>NORMDIST($F154-'Vehicle Economics'!$G$16,0,1,TRUE)</x:f>
        <x:v>0.19457901069666805</x:v>
      </x:c>
      <x:c r="K154" s="53" t="n">
        <x:f>SUMPRODUCT(G154:J154,$D$21:$G$21)/$H$21</x:f>
        <x:v>0.23418253078476153</x:v>
      </x:c>
      <x:c r="L154" s="54" t="n">
        <x:f>'AD Fees &amp; TLF'!$D$9</x:f>
        <x:v>0.23399999999999999</x:v>
      </x:c>
    </x:row>
    <x:row r="155" ht="18" customHeight="1">
      <x:c r="A155" s="2"/>
      <x:c r="B155" s="2"/>
      <x:c r="C155" s="2" t="n">
        <x:v>15</x:v>
      </x:c>
      <x:c r="D155" s="53" t="n">
        <x:f>IF(K154&lt;L154,F154,D154)</x:f>
        <x:v>-0.591796875</x:v>
      </x:c>
      <x:c r="E155" s="53" t="n">
        <x:f>IF(K154&lt;L154,E154,F154)</x:f>
        <x:v>-0.5908203125</x:v>
      </x:c>
      <x:c r="F155" s="53" t="n">
        <x:f>(D155+E155)/2</x:f>
        <x:v>-0.59130859375</x:v>
      </x:c>
      <x:c r="G155" s="54" t="n">
        <x:f>NORMDIST($F155-'Vehicle Economics'!$D$16,0,1,TRUE)</x:f>
        <x:v>0.27715683627461873</x:v>
      </x:c>
      <x:c r="H155" s="54" t="n">
        <x:f>NORMDIST($F155-'Vehicle Economics'!$E$16,0,1,TRUE)</x:f>
        <x:v>0.19899204067707166</x:v>
      </x:c>
      <x:c r="I155" s="54" t="n">
        <x:f>NORMDIST($F155-'Vehicle Economics'!$F$16,0,1,TRUE)</x:f>
        <x:v>0.24900274098764552</x:v>
      </x:c>
      <x:c r="J155" s="54" t="n">
        <x:f>NORMDIST($F155-'Vehicle Economics'!$G$16,0,1,TRUE)</x:f>
        <x:v>0.19444459231993205</x:v>
      </x:c>
      <x:c r="K155" s="53" t="n">
        <x:f>SUMPRODUCT(G155:J155,$D$21:$G$21)/$H$21</x:f>
        <x:v>0.23403387839120873</x:v>
      </x:c>
      <x:c r="L155" s="54" t="n">
        <x:f>'AD Fees &amp; TLF'!$D$9</x:f>
        <x:v>0.23399999999999999</x:v>
      </x:c>
    </x:row>
    <x:row r="156" ht="18" customHeight="1">
      <x:c r="A156" s="2"/>
      <x:c r="B156" s="2"/>
      <x:c r="C156" s="2" t="n">
        <x:v>16</x:v>
      </x:c>
      <x:c r="D156" s="53" t="n">
        <x:f>IF(K155&lt;L155,F155,D155)</x:f>
        <x:v>-0.591796875</x:v>
      </x:c>
      <x:c r="E156" s="53" t="n">
        <x:f>IF(K155&lt;L155,E155,F155)</x:f>
        <x:v>-0.59130859375</x:v>
      </x:c>
      <x:c r="F156" s="53" t="n">
        <x:f>(D156+E156)/2</x:f>
        <x:v>-0.591552734375</x:v>
      </x:c>
      <x:c r="G156" s="54" t="n">
        <x:f>NORMDIST($F156-'Vehicle Economics'!$D$16,0,1,TRUE)</x:f>
        <x:v>0.2770750662490202</x:v>
      </x:c>
      <x:c r="H156" s="54" t="n">
        <x:f>NORMDIST($F156-'Vehicle Economics'!$E$16,0,1,TRUE)</x:f>
        <x:v>0.19892390518259978</x:v>
      </x:c>
      <x:c r="I156" s="54" t="n">
        <x:f>NORMDIST($F156-'Vehicle Economics'!$F$16,0,1,TRUE)</x:f>
        <x:v>0.24892532982216986</x:v>
      </x:c>
      <x:c r="J156" s="54" t="n">
        <x:f>NORMDIST($F156-'Vehicle Economics'!$G$16,0,1,TRUE)</x:f>
        <x:v>0.19437740433375073</x:v>
      </x:c>
      <x:c r="K156" s="53" t="n">
        <x:f>SUMPRODUCT(G156:J156,$D$21:$G$21)/$H$21</x:f>
        <x:v>0.23395957179836133</x:v>
      </x:c>
      <x:c r="L156" s="54" t="n">
        <x:f>'AD Fees &amp; TLF'!$D$9</x:f>
        <x:v>0.23399999999999999</x:v>
      </x:c>
    </x:row>
    <x:row r="157" ht="18" customHeight="1">
      <x:c r="A157" s="2"/>
      <x:c r="B157" s="2"/>
      <x:c r="C157" s="2" t="n">
        <x:v>17</x:v>
      </x:c>
      <x:c r="D157" s="53" t="n">
        <x:f>IF(K156&lt;L156,F156,D156)</x:f>
        <x:v>-0.591552734375</x:v>
      </x:c>
      <x:c r="E157" s="53" t="n">
        <x:f>IF(K156&lt;L156,E156,F156)</x:f>
        <x:v>-0.59130859375</x:v>
      </x:c>
      <x:c r="F157" s="53" t="n">
        <x:f>(D157+E157)/2</x:f>
        <x:v>-0.5914306640625</x:v>
      </x:c>
      <x:c r="G157" s="54" t="n">
        <x:f>NORMDIST($F157-'Vehicle Economics'!$D$16,0,1,TRUE)</x:f>
        <x:v>0.2771159497859498</x:v>
      </x:c>
      <x:c r="H157" s="54" t="n">
        <x:f>NORMDIST($F157-'Vehicle Economics'!$E$16,0,1,TRUE)</x:f>
        <x:v>0.1989579711720757</x:v>
      </x:c>
      <x:c r="I157" s="54" t="n">
        <x:f>NORMDIST($F157-'Vehicle Economics'!$F$16,0,1,TRUE)</x:f>
        <x:v>0.2489640338037823</x:v>
      </x:c>
      <x:c r="J157" s="54" t="n">
        <x:f>NORMDIST($F157-'Vehicle Economics'!$G$16,0,1,TRUE)</x:f>
        <x:v>0.19441099655988503</x:v>
      </x:c>
      <x:c r="K157" s="53" t="n">
        <x:f>SUMPRODUCT(G157:J157,$D$21:$G$21)/$H$21</x:f>
        <x:v>0.233996723460909</x:v>
      </x:c>
      <x:c r="L157" s="54" t="n">
        <x:f>'AD Fees &amp; TLF'!$D$9</x:f>
        <x:v>0.23399999999999999</x:v>
      </x:c>
    </x:row>
    <x:row r="158" ht="18" customHeight="1">
      <x:c r="A158" s="2"/>
      <x:c r="B158" s="2"/>
      <x:c r="C158" s="2" t="n">
        <x:v>18</x:v>
      </x:c>
      <x:c r="D158" s="53" t="n">
        <x:f>IF(K157&lt;L157,F157,D157)</x:f>
        <x:v>-0.5914306640625</x:v>
      </x:c>
      <x:c r="E158" s="53" t="n">
        <x:f>IF(K157&lt;L157,E157,F157)</x:f>
        <x:v>-0.59130859375</x:v>
      </x:c>
      <x:c r="F158" s="53" t="n">
        <x:f>(D158+E158)/2</x:f>
        <x:v>-0.59136962890625</x:v>
      </x:c>
      <x:c r="G158" s="54" t="n">
        <x:f>NORMDIST($F158-'Vehicle Economics'!$D$16,0,1,TRUE)</x:f>
        <x:v>0.27713639266134155</x:v>
      </x:c>
      <x:c r="H158" s="54" t="n">
        <x:f>NORMDIST($F158-'Vehicle Economics'!$E$16,0,1,TRUE)</x:f>
        <x:v>0.19897500548514274</x:v>
      </x:c>
      <x:c r="I158" s="54" t="n">
        <x:f>NORMDIST($F158-'Vehicle Economics'!$F$16,0,1,TRUE)</x:f>
        <x:v>0.24898338699545208</x:v>
      </x:c>
      <x:c r="J158" s="54" t="n">
        <x:f>NORMDIST($F158-'Vehicle Economics'!$G$16,0,1,TRUE)</x:f>
        <x:v>0.1944277939981775</x:v>
      </x:c>
      <x:c r="K158" s="53" t="n">
        <x:f>SUMPRODUCT(G158:J158,$D$21:$G$21)/$H$21</x:f>
        <x:v>0.234015300517606</x:v>
      </x:c>
      <x:c r="L158" s="54" t="n">
        <x:f>'AD Fees &amp; TLF'!$D$9</x:f>
        <x:v>0.23399999999999999</x:v>
      </x:c>
    </x:row>
    <x:row r="159" ht="18" customHeight="1">
      <x:c r="A159" s="2"/>
      <x:c r="B159" s="2"/>
      <x:c r="C159" s="2" t="n">
        <x:v>19</x:v>
      </x:c>
      <x:c r="D159" s="53" t="n">
        <x:f>IF(K158&lt;L158,F158,D158)</x:f>
        <x:v>-0.5914306640625</x:v>
      </x:c>
      <x:c r="E159" s="53" t="n">
        <x:f>IF(K158&lt;L158,E158,F158)</x:f>
        <x:v>-0.59136962890625</x:v>
      </x:c>
      <x:c r="F159" s="53" t="n">
        <x:f>(D159+E159)/2</x:f>
        <x:v>-0.591400146484375</x:v>
      </x:c>
      <x:c r="G159" s="54" t="n">
        <x:f>NORMDIST($F159-'Vehicle Economics'!$D$16,0,1,TRUE)</x:f>
        <x:v>0.27712617113140686</x:v>
      </x:c>
      <x:c r="H159" s="54" t="n">
        <x:f>NORMDIST($F159-'Vehicle Economics'!$E$16,0,1,TRUE)</x:f>
        <x:v>0.1989664882187503</x:v>
      </x:c>
      <x:c r="I159" s="54" t="n">
        <x:f>NORMDIST($F159-'Vehicle Economics'!$F$16,0,1,TRUE)</x:f>
        <x:v>0.24897371029954923</x:v>
      </x:c>
      <x:c r="J159" s="54" t="n">
        <x:f>NORMDIST($F159-'Vehicle Economics'!$G$16,0,1,TRUE)</x:f>
        <x:v>0.19441939516859752</x:v>
      </x:c>
      <x:c r="K159" s="53" t="n">
        <x:f>SUMPRODUCT(G159:J159,$D$21:$G$21)/$H$21</x:f>
        <x:v>0.23400601188714218</x:v>
      </x:c>
      <x:c r="L159" s="54" t="n">
        <x:f>'AD Fees &amp; TLF'!$D$9</x:f>
        <x:v>0.23399999999999999</x:v>
      </x:c>
    </x:row>
    <x:row r="160" ht="18" customHeight="1">
      <x:c r="A160" s="2"/>
      <x:c r="B160" s="2"/>
      <x:c r="C160" s="2" t="n">
        <x:v>20</x:v>
      </x:c>
      <x:c r="D160" s="53" t="n">
        <x:f>IF(K159&lt;L159,F159,D159)</x:f>
        <x:v>-0.5914306640625</x:v>
      </x:c>
      <x:c r="E160" s="53" t="n">
        <x:f>IF(K159&lt;L159,E159,F159)</x:f>
        <x:v>-0.591400146484375</x:v>
      </x:c>
      <x:c r="F160" s="53" t="n">
        <x:f>(D160+E160)/2</x:f>
        <x:v>-0.5914154052734375</x:v>
      </x:c>
      <x:c r="G160" s="54" t="n">
        <x:f>NORMDIST($F160-'Vehicle Economics'!$D$16,0,1,TRUE)</x:f>
        <x:v>0.2771210604356182</x:v>
      </x:c>
      <x:c r="H160" s="54" t="n">
        <x:f>NORMDIST($F160-'Vehicle Economics'!$E$16,0,1,TRUE)</x:f>
        <x:v>0.1989622296679482</x:v>
      </x:c>
      <x:c r="I160" s="54" t="n">
        <x:f>NORMDIST($F160-'Vehicle Economics'!$F$16,0,1,TRUE)</x:f>
        <x:v>0.24896887202664847</x:v>
      </x:c>
      <x:c r="J160" s="54" t="n">
        <x:f>NORMDIST($F160-'Vehicle Economics'!$G$16,0,1,TRUE)</x:f>
        <x:v>0.1944151958366327</x:v>
      </x:c>
      <x:c r="K160" s="53" t="n">
        <x:f>SUMPRODUCT(G160:J160,$D$21:$G$21)/$H$21</x:f>
        <x:v>0.23400136764849655</x:v>
      </x:c>
      <x:c r="L160" s="54" t="n">
        <x:f>'AD Fees &amp; TLF'!$D$9</x:f>
        <x:v>0.23399999999999999</x:v>
      </x:c>
    </x:row>
    <x:row r="161" ht="18" customHeight="1">
      <x:c r="A161" s="2"/>
      <x:c r="B161" s="2"/>
      <x:c r="C161" s="2" t="n">
        <x:v>21</x:v>
      </x:c>
      <x:c r="D161" s="53" t="n">
        <x:f>IF(K160&lt;L160,F160,D160)</x:f>
        <x:v>-0.5914306640625</x:v>
      </x:c>
      <x:c r="E161" s="53" t="n">
        <x:f>IF(K160&lt;L160,E160,F160)</x:f>
        <x:v>-0.5914154052734375</x:v>
      </x:c>
      <x:c r="F161" s="53" t="n">
        <x:f>(D161+E161)/2</x:f>
        <x:v>-0.5914230346679688</x:v>
      </x:c>
      <x:c r="G161" s="54" t="n">
        <x:f>NORMDIST($F161-'Vehicle Economics'!$D$16,0,1,TRUE)</x:f>
        <x:v>0.27711850510501884</x:v>
      </x:c>
      <x:c r="H161" s="54" t="n">
        <x:f>NORMDIST($F161-'Vehicle Economics'!$E$16,0,1,TRUE)</x:f>
        <x:v>0.1989601004131457</x:v>
      </x:c>
      <x:c r="I161" s="54" t="n">
        <x:f>NORMDIST($F161-'Vehicle Economics'!$F$16,0,1,TRUE)</x:f>
        <x:v>0.24896645290896102</x:v>
      </x:c>
      <x:c r="J161" s="54" t="n">
        <x:f>NORMDIST($F161-'Vehicle Economics'!$G$16,0,1,TRUE)</x:f>
        <x:v>0.19441309619135672</x:v>
      </x:c>
      <x:c r="K161" s="53" t="n">
        <x:f>SUMPRODUCT(G161:J161,$D$21:$G$21)/$H$21</x:f>
        <x:v>0.23399904554832046</x:v>
      </x:c>
      <x:c r="L161" s="54" t="n">
        <x:f>'AD Fees &amp; TLF'!$D$9</x:f>
        <x:v>0.23399999999999999</x:v>
      </x:c>
    </x:row>
    <x:row r="162" ht="18" customHeight="1">
      <x:c r="A162" s="2"/>
      <x:c r="B162" s="2"/>
      <x:c r="C162" s="2" t="n">
        <x:v>22</x:v>
      </x:c>
      <x:c r="D162" s="53" t="n">
        <x:f>IF(K161&lt;L161,F161,D161)</x:f>
        <x:v>-0.5914230346679688</x:v>
      </x:c>
      <x:c r="E162" s="53" t="n">
        <x:f>IF(K161&lt;L161,E161,F161)</x:f>
        <x:v>-0.5914154052734375</x:v>
      </x:c>
      <x:c r="F162" s="53" t="n">
        <x:f>(D162+E162)/2</x:f>
        <x:v>-0.5914192199707031</x:v>
      </x:c>
      <x:c r="G162" s="54" t="n">
        <x:f>NORMDIST($F162-'Vehicle Economics'!$D$16,0,1,TRUE)</x:f>
        <x:v>0.2771197827688772</x:v>
      </x:c>
      <x:c r="H162" s="54" t="n">
        <x:f>NORMDIST($F162-'Vehicle Economics'!$E$16,0,1,TRUE)</x:f>
        <x:v>0.19896116503883038</x:v>
      </x:c>
      <x:c r="I162" s="54" t="n">
        <x:f>NORMDIST($F162-'Vehicle Economics'!$F$16,0,1,TRUE)</x:f>
        <x:v>0.2489676624662412</x:v>
      </x:c>
      <x:c r="J162" s="54" t="n">
        <x:f>NORMDIST($F162-'Vehicle Economics'!$G$16,0,1,TRUE)</x:f>
        <x:v>0.19441414601226914</x:v>
      </x:c>
      <x:c r="K162" s="53" t="n">
        <x:f>SUMPRODUCT(G162:J162,$D$21:$G$21)/$H$21</x:f>
        <x:v>0.2340002065968129</x:v>
      </x:c>
      <x:c r="L162" s="54" t="n">
        <x:f>'AD Fees &amp; TLF'!$D$9</x:f>
        <x:v>0.23399999999999999</x:v>
      </x:c>
    </x:row>
    <x:row r="163" ht="18" customHeight="1">
      <x:c r="A163" s="2"/>
      <x:c r="B163" s="2"/>
      <x:c r="C163" s="2" t="n">
        <x:v>23</x:v>
      </x:c>
      <x:c r="D163" s="53" t="n">
        <x:f>IF(K162&lt;L162,F162,D162)</x:f>
        <x:v>-0.5914230346679688</x:v>
      </x:c>
      <x:c r="E163" s="53" t="n">
        <x:f>IF(K162&lt;L162,E162,F162)</x:f>
        <x:v>-0.5914192199707031</x:v>
      </x:c>
      <x:c r="F163" s="53" t="n">
        <x:f>(D163+E163)/2</x:f>
        <x:v>-0.5914211273193359</x:v>
      </x:c>
      <x:c r="G163" s="54" t="n">
        <x:f>NORMDIST($F163-'Vehicle Economics'!$D$16,0,1,TRUE)</x:f>
        <x:v>0.2771191439365877</x:v>
      </x:c>
      <x:c r="H163" s="54" t="n">
        <x:f>NORMDIST($F163-'Vehicle Economics'!$E$16,0,1,TRUE)</x:f>
        <x:v>0.19896063272555886</x:v>
      </x:c>
      <x:c r="I163" s="54" t="n">
        <x:f>NORMDIST($F163-'Vehicle Economics'!$F$16,0,1,TRUE)</x:f>
        <x:v>0.24896705768721022</x:v>
      </x:c>
      <x:c r="J163" s="54" t="n">
        <x:f>NORMDIST($F163-'Vehicle Economics'!$G$16,0,1,TRUE)</x:f>
        <x:v>0.1944136211013816</x:v>
      </x:c>
      <x:c r="K163" s="53" t="n">
        <x:f>SUMPRODUCT(G163:J163,$D$21:$G$21)/$H$21</x:f>
        <x:v>0.2339996260721678</x:v>
      </x:c>
      <x:c r="L163" s="54" t="n">
        <x:f>'AD Fees &amp; TLF'!$D$9</x:f>
        <x:v>0.23399999999999999</x:v>
      </x:c>
    </x:row>
    <x:row r="164" ht="18" customHeight="1">
      <x:c r="A164" s="2"/>
      <x:c r="B164" s="2"/>
      <x:c r="C164" s="2" t="n">
        <x:v>24</x:v>
      </x:c>
      <x:c r="D164" s="53" t="n">
        <x:f>IF(K163&lt;L163,F163,D163)</x:f>
        <x:v>-0.5914211273193359</x:v>
      </x:c>
      <x:c r="E164" s="53" t="n">
        <x:f>IF(K163&lt;L163,E163,F163)</x:f>
        <x:v>-0.5914192199707031</x:v>
      </x:c>
      <x:c r="F164" s="53" t="n">
        <x:f>(D164+E164)/2</x:f>
        <x:v>-0.5914201736450195</x:v>
      </x:c>
      <x:c r="G164" s="54" t="n">
        <x:f>NORMDIST($F164-'Vehicle Economics'!$D$16,0,1,TRUE)</x:f>
        <x:v>0.27711946335264237</x:v>
      </x:c>
      <x:c r="H164" s="54" t="n">
        <x:f>NORMDIST($F164-'Vehicle Economics'!$E$16,0,1,TRUE)</x:f>
        <x:v>0.1989608988820874</x:v>
      </x:c>
      <x:c r="I164" s="54" t="n">
        <x:f>NORMDIST($F164-'Vehicle Economics'!$F$16,0,1,TRUE)</x:f>
        <x:v>0.2489673600766279</x:v>
      </x:c>
      <x:c r="J164" s="54" t="n">
        <x:f>NORMDIST($F164-'Vehicle Economics'!$G$16,0,1,TRUE)</x:f>
        <x:v>0.19441388355671751</x:v>
      </x:c>
      <x:c r="K164" s="53" t="n">
        <x:f>SUMPRODUCT(G164:J164,$D$21:$G$21)/$H$21</x:f>
        <x:v>0.2339999163343906</x:v>
      </x:c>
      <x:c r="L164" s="54" t="n">
        <x:f>'AD Fees &amp; TLF'!$D$9</x:f>
        <x:v>0.23399999999999999</x:v>
      </x:c>
    </x:row>
    <x:row r="165" ht="18" customHeight="1">
      <x:c r="A165" s="2"/>
      <x:c r="B165" s="2"/>
      <x:c r="C165" s="2" t="n">
        <x:v>25</x:v>
      </x:c>
      <x:c r="D165" s="53" t="n">
        <x:f>IF(K164&lt;L164,F164,D164)</x:f>
        <x:v>-0.5914201736450195</x:v>
      </x:c>
      <x:c r="E165" s="53" t="n">
        <x:f>IF(K164&lt;L164,E164,F164)</x:f>
        <x:v>-0.5914192199707031</x:v>
      </x:c>
      <x:c r="F165" s="53" t="n">
        <x:f>(D165+E165)/2</x:f>
        <x:v>-0.5914196968078613</x:v>
      </x:c>
      <x:c r="G165" s="54" t="n">
        <x:f>NORMDIST($F165-'Vehicle Economics'!$D$16,0,1,TRUE)</x:f>
        <x:v>0.2771196230607374</x:v>
      </x:c>
      <x:c r="H165" s="54" t="n">
        <x:f>NORMDIST($F165-'Vehicle Economics'!$E$16,0,1,TRUE)</x:f>
        <x:v>0.19896103196043202</x:v>
      </x:c>
      <x:c r="I165" s="54" t="n">
        <x:f>NORMDIST($F165-'Vehicle Economics'!$F$16,0,1,TRUE)</x:f>
        <x:v>0.2489675112714101</x:v>
      </x:c>
      <x:c r="J165" s="54" t="n">
        <x:f>NORMDIST($F165-'Vehicle Economics'!$G$16,0,1,TRUE)</x:f>
        <x:v>0.1944140147844663</x:v>
      </x:c>
      <x:c r="K165" s="53" t="n">
        <x:f>SUMPRODUCT(G165:J165,$D$21:$G$21)/$H$21</x:f>
        <x:v>0.2340000614655769</x:v>
      </x:c>
      <x:c r="L165" s="54" t="n">
        <x:f>'AD Fees &amp; TLF'!$D$9</x:f>
        <x:v>0.23399999999999999</x:v>
      </x:c>
    </x:row>
    <x:row r="166" ht="18" customHeight="1">
      <x:c r="A166" s="2"/>
      <x:c r="B166" s="2"/>
      <x:c r="C166" s="2" t="n">
        <x:v>26</x:v>
      </x:c>
      <x:c r="D166" s="53" t="n">
        <x:f>IF(K165&lt;L165,F165,D165)</x:f>
        <x:v>-0.5914201736450195</x:v>
      </x:c>
      <x:c r="E166" s="53" t="n">
        <x:f>IF(K165&lt;L165,E165,F165)</x:f>
        <x:v>-0.5914196968078613</x:v>
      </x:c>
      <x:c r="F166" s="53" t="n">
        <x:f>(D166+E166)/2</x:f>
        <x:v>-0.5914199352264404</x:v>
      </x:c>
      <x:c r="G166" s="54" t="n">
        <x:f>NORMDIST($F166-'Vehicle Economics'!$D$16,0,1,TRUE)</x:f>
        <x:v>0.2771195432066843</x:v>
      </x:c>
      <x:c r="H166" s="54" t="n">
        <x:f>NORMDIST($F166-'Vehicle Economics'!$E$16,0,1,TRUE)</x:f>
        <x:v>0.19896096542125302</x:v>
      </x:c>
      <x:c r="I166" s="54" t="n">
        <x:f>NORMDIST($F166-'Vehicle Economics'!$F$16,0,1,TRUE)</x:f>
        <x:v>0.24896743567401286</x:v>
      </x:c>
      <x:c r="J166" s="54" t="n">
        <x:f>NORMDIST($F166-'Vehicle Economics'!$G$16,0,1,TRUE)</x:f>
        <x:v>0.1944139491705852</x:v>
      </x:c>
      <x:c r="K166" s="53" t="n">
        <x:f>SUMPRODUCT(G166:J166,$D$21:$G$21)/$H$21</x:f>
        <x:v>0.23399998889997753</x:v>
      </x:c>
      <x:c r="L166" s="54" t="n">
        <x:f>'AD Fees &amp; TLF'!$D$9</x:f>
        <x:v>0.23399999999999999</x:v>
      </x:c>
    </x:row>
    <x:row r="167" ht="18" customHeight="1">
      <x:c r="A167" s="2"/>
      <x:c r="B167" s="2"/>
      <x:c r="C167" s="2" t="n">
        <x:v>27</x:v>
      </x:c>
      <x:c r="D167" s="53" t="n">
        <x:f>IF(K166&lt;L166,F166,D166)</x:f>
        <x:v>-0.5914199352264404</x:v>
      </x:c>
      <x:c r="E167" s="53" t="n">
        <x:f>IF(K166&lt;L166,E166,F166)</x:f>
        <x:v>-0.5914196968078613</x:v>
      </x:c>
      <x:c r="F167" s="53" t="n">
        <x:f>(D167+E167)/2</x:f>
        <x:v>-0.5914198160171509</x:v>
      </x:c>
      <x:c r="G167" s="54" t="n">
        <x:f>NORMDIST($F167-'Vehicle Economics'!$D$16,0,1,TRUE)</x:f>
        <x:v>0.2771195831337094</x:v>
      </x:c>
      <x:c r="H167" s="54" t="n">
        <x:f>NORMDIST($F167-'Vehicle Economics'!$E$16,0,1,TRUE)</x:f>
        <x:v>0.19896099869084083</x:v>
      </x:c>
      <x:c r="I167" s="54" t="n">
        <x:f>NORMDIST($F167-'Vehicle Economics'!$F$16,0,1,TRUE)</x:f>
        <x:v>0.24896747347270998</x:v>
      </x:c>
      <x:c r="J167" s="54" t="n">
        <x:f>NORMDIST($F167-'Vehicle Economics'!$G$16,0,1,TRUE)</x:f>
        <x:v>0.19441398197752402</x:v>
      </x:c>
      <x:c r="K167" s="53" t="n">
        <x:f>SUMPRODUCT(G167:J167,$D$21:$G$21)/$H$21</x:f>
        <x:v>0.23400002518277566</x:v>
      </x:c>
      <x:c r="L167" s="54" t="n">
        <x:f>'AD Fees &amp; TLF'!$D$9</x:f>
        <x:v>0.23399999999999999</x:v>
      </x:c>
    </x:row>
    <x:row r="168" ht="18" customHeight="1">
      <x:c r="A168" s="2"/>
      <x:c r="B168" s="2"/>
      <x:c r="C168" s="2" t="n">
        <x:v>28</x:v>
      </x:c>
      <x:c r="D168" s="53" t="n">
        <x:f>IF(K167&lt;L167,F167,D167)</x:f>
        <x:v>-0.5914199352264404</x:v>
      </x:c>
      <x:c r="E168" s="53" t="n">
        <x:f>IF(K167&lt;L167,E167,F167)</x:f>
        <x:v>-0.5914198160171509</x:v>
      </x:c>
      <x:c r="F168" s="53" t="n">
        <x:f>(D168+E168)/2</x:f>
        <x:v>-0.5914198756217957</x:v>
      </x:c>
      <x:c r="G168" s="54" t="n">
        <x:f>NORMDIST($F168-'Vehicle Economics'!$D$16,0,1,TRUE)</x:f>
        <x:v>0.27711956317019654</x:v>
      </x:c>
      <x:c r="H168" s="54" t="n">
        <x:f>NORMDIST($F168-'Vehicle Economics'!$E$16,0,1,TRUE)</x:f>
        <x:v>0.1989609820560465</x:v>
      </x:c>
      <x:c r="I168" s="54" t="n">
        <x:f>NORMDIST($F168-'Vehicle Economics'!$F$16,0,1,TRUE)</x:f>
        <x:v>0.2489674545733611</x:v>
      </x:c>
      <x:c r="J168" s="54" t="n">
        <x:f>NORMDIST($F168-'Vehicle Economics'!$G$16,0,1,TRUE)</x:f>
        <x:v>0.19441396557405421</x:v>
      </x:c>
      <x:c r="K168" s="53" t="n">
        <x:f>SUMPRODUCT(G168:J168,$D$21:$G$21)/$H$21</x:f>
        <x:v>0.23400000704137622</x:v>
      </x:c>
      <x:c r="L168" s="54" t="n">
        <x:f>'AD Fees &amp; TLF'!$D$9</x:f>
        <x:v>0.23399999999999999</x:v>
      </x:c>
    </x:row>
    <x:row r="169" ht="18" customHeight="1">
      <x:c r="A169" s="2"/>
      <x:c r="B169" s="2"/>
      <x:c r="C169" s="2" t="n">
        <x:v>29</x:v>
      </x:c>
      <x:c r="D169" s="53" t="n">
        <x:f>IF(K168&lt;L168,F168,D168)</x:f>
        <x:v>-0.5914199352264404</x:v>
      </x:c>
      <x:c r="E169" s="53" t="n">
        <x:f>IF(K168&lt;L168,E168,F168)</x:f>
        <x:v>-0.5914198756217957</x:v>
      </x:c>
      <x:c r="F169" s="53" t="n">
        <x:f>(D169+E169)/2</x:f>
        <x:v>-0.591419905424118</x:v>
      </x:c>
      <x:c r="G169" s="54" t="n">
        <x:f>NORMDIST($F169-'Vehicle Economics'!$D$16,0,1,TRUE)</x:f>
        <x:v>0.2771195531884404</x:v>
      </x:c>
      <x:c r="H169" s="54" t="n">
        <x:f>NORMDIST($F169-'Vehicle Economics'!$E$16,0,1,TRUE)</x:f>
        <x:v>0.19896097373864963</x:v>
      </x:c>
      <x:c r="I169" s="54" t="n">
        <x:f>NORMDIST($F169-'Vehicle Economics'!$F$16,0,1,TRUE)</x:f>
        <x:v>0.24896744512368685</x:v>
      </x:c>
      <x:c r="J169" s="54" t="n">
        <x:f>NORMDIST($F169-'Vehicle Economics'!$G$16,0,1,TRUE)</x:f>
        <x:v>0.1944139573723196</x:v>
      </x:c>
      <x:c r="K169" s="53" t="n">
        <x:f>SUMPRODUCT(G169:J169,$D$21:$G$21)/$H$21</x:f>
        <x:v>0.2339999979706768</x:v>
      </x:c>
      <x:c r="L169" s="54" t="n">
        <x:f>'AD Fees &amp; TLF'!$D$9</x:f>
        <x:v>0.23399999999999999</x:v>
      </x:c>
    </x:row>
    <x:row r="170" ht="18" customHeight="1">
      <x:c r="A170" s="2"/>
      <x:c r="B170" s="2"/>
      <x:c r="C170" s="2" t="n">
        <x:v>30</x:v>
      </x:c>
      <x:c r="D170" s="53" t="n">
        <x:f>IF(K169&lt;L169,F169,D169)</x:f>
        <x:v>-0.591419905424118</x:v>
      </x:c>
      <x:c r="E170" s="53" t="n">
        <x:f>IF(K169&lt;L169,E169,F169)</x:f>
        <x:v>-0.5914198756217957</x:v>
      </x:c>
      <x:c r="F170" s="53" t="n">
        <x:f>(D170+E170)/2</x:f>
        <x:v>-0.5914198905229568</x:v>
      </x:c>
      <x:c r="G170" s="54" t="n">
        <x:f>NORMDIST($F170-'Vehicle Economics'!$D$16,0,1,TRUE)</x:f>
        <x:v>0.2771195581793183</x:v>
      </x:c>
      <x:c r="H170" s="54" t="n">
        <x:f>NORMDIST($F170-'Vehicle Economics'!$E$16,0,1,TRUE)</x:f>
        <x:v>0.198960977897348</x:v>
      </x:c>
      <x:c r="I170" s="54" t="n">
        <x:f>NORMDIST($F170-'Vehicle Economics'!$F$16,0,1,TRUE)</x:f>
        <x:v>0.24896744984852393</x:v>
      </x:c>
      <x:c r="J170" s="54" t="n">
        <x:f>NORMDIST($F170-'Vehicle Economics'!$G$16,0,1,TRUE)</x:f>
        <x:v>0.1944139614731869</x:v>
      </x:c>
      <x:c r="K170" s="53" t="n">
        <x:f>SUMPRODUCT(G170:J170,$D$21:$G$21)/$H$21</x:f>
        <x:v>0.2340000025060264</x:v>
      </x:c>
      <x:c r="L170" s="54" t="n">
        <x:f>'AD Fees &amp; TLF'!$D$9</x:f>
        <x:v>0.23399999999999999</x:v>
      </x:c>
    </x:row>
    <x:row r="171" ht="18" customHeight="1">
      <x:c r="A171" s="2"/>
      <x:c r="B171" s="2"/>
      <x:c r="C171" s="2" t="n">
        <x:v>31</x:v>
      </x:c>
      <x:c r="D171" s="53" t="n">
        <x:f>IF(K170&lt;L170,F170,D170)</x:f>
        <x:v>-0.591419905424118</x:v>
      </x:c>
      <x:c r="E171" s="53" t="n">
        <x:f>IF(K170&lt;L170,E170,F170)</x:f>
        <x:v>-0.5914198905229568</x:v>
      </x:c>
      <x:c r="F171" s="53" t="n">
        <x:f>(D171+E171)/2</x:f>
        <x:v>-0.5914198979735374</x:v>
      </x:c>
      <x:c r="G171" s="54" t="n">
        <x:f>NORMDIST($F171-'Vehicle Economics'!$D$16,0,1,TRUE)</x:f>
        <x:v>0.2771195556838793</x:v>
      </x:c>
      <x:c r="H171" s="54" t="n">
        <x:f>NORMDIST($F171-'Vehicle Economics'!$E$16,0,1,TRUE)</x:f>
        <x:v>0.19896097581799888</x:v>
      </x:c>
      <x:c r="I171" s="54" t="n">
        <x:f>NORMDIST($F171-'Vehicle Economics'!$F$16,0,1,TRUE)</x:f>
        <x:v>0.24896744748610533</x:v>
      </x:c>
      <x:c r="J171" s="54" t="n">
        <x:f>NORMDIST($F171-'Vehicle Economics'!$G$16,0,1,TRUE)</x:f>
        <x:v>0.1944139594227533</x:v>
      </x:c>
      <x:c r="K171" s="53" t="n">
        <x:f>SUMPRODUCT(G171:J171,$D$21:$G$21)/$H$21</x:f>
        <x:v>0.2340000002383516</x:v>
      </x:c>
      <x:c r="L171" s="54" t="n">
        <x:f>'AD Fees &amp; TLF'!$D$9</x:f>
        <x:v>0.23399999999999999</x:v>
      </x:c>
    </x:row>
    <x:row r="172" ht="18" customHeight="1">
      <x:c r="A172" s="2"/>
      <x:c r="B172" s="2"/>
      <x:c r="C172" s="2" t="n">
        <x:v>32</x:v>
      </x:c>
      <x:c r="D172" s="53" t="n">
        <x:f>IF(K171&lt;L171,F171,D171)</x:f>
        <x:v>-0.591419905424118</x:v>
      </x:c>
      <x:c r="E172" s="53" t="n">
        <x:f>IF(K171&lt;L171,E171,F171)</x:f>
        <x:v>-0.5914198979735374</x:v>
      </x:c>
      <x:c r="F172" s="53" t="n">
        <x:f>(D172+E172)/2</x:f>
        <x:v>-0.5914199016988277</x:v>
      </x:c>
      <x:c r="G172" s="54" t="n">
        <x:f>NORMDIST($F172-'Vehicle Economics'!$D$16,0,1,TRUE)</x:f>
        <x:v>0.27711955443615977</x:v>
      </x:c>
      <x:c r="H172" s="54" t="n">
        <x:f>NORMDIST($F172-'Vehicle Economics'!$E$16,0,1,TRUE)</x:f>
        <x:v>0.1989609747783242</x:v>
      </x:c>
      <x:c r="I172" s="54" t="n">
        <x:f>NORMDIST($F172-'Vehicle Economics'!$F$16,0,1,TRUE)</x:f>
        <x:v>0.2489674463048962</x:v>
      </x:c>
      <x:c r="J172" s="54" t="n">
        <x:f>NORMDIST($F172-'Vehicle Economics'!$G$16,0,1,TRUE)</x:f>
        <x:v>0.1944139583975364</x:v>
      </x:c>
      <x:c r="K172" s="53" t="n">
        <x:f>SUMPRODUCT(G172:J172,$D$21:$G$21)/$H$21</x:f>
        <x:v>0.2339999991045141</x:v>
      </x:c>
      <x:c r="L172" s="54" t="n">
        <x:f>'AD Fees &amp; TLF'!$D$9</x:f>
        <x:v>0.23399999999999999</x:v>
      </x:c>
    </x:row>
    <x:row r="173" ht="18" customHeight="1">
      <x:c r="A173" s="2"/>
      <x:c r="B173" s="2"/>
      <x:c r="C173" s="2"/>
      <x:c r="D173" s="52"/>
      <x:c r="E173" s="52"/>
      <x:c r="F173" s="52"/>
      <x:c r="G173" s="52"/>
      <x:c r="H173" s="52"/>
      <x:c r="I173" s="52"/>
      <x:c r="J173" s="52"/>
      <x:c r="K173" s="52"/>
      <x:c r="L173" s="52"/>
    </x:row>
    <x:row r="174" ht="18" customHeight="1">
      <x:c r="A174" s="2"/>
      <x:c r="B174" s="2"/>
      <x:c r="C174" s="2"/>
      <x:c r="D174" s="52"/>
      <x:c r="E174" s="52"/>
      <x:c r="F174" s="52"/>
      <x:c r="G174" s="52"/>
      <x:c r="H174" s="52"/>
      <x:c r="I174" s="52"/>
      <x:c r="J174" s="52"/>
      <x:c r="K174" s="52"/>
      <x:c r="L174" s="52"/>
    </x:row>
    <x:row r="175" ht="18" customHeight="1">
      <x:c r="A175" s="2"/>
      <x:c r="B175" s="2"/>
      <x:c r="C175" s="2"/>
      <x:c r="D175" s="52"/>
      <x:c r="E175" s="52"/>
      <x:c r="F175" s="52"/>
      <x:c r="G175" s="52"/>
      <x:c r="H175" s="52"/>
      <x:c r="I175" s="52"/>
      <x:c r="J175" s="52"/>
      <x:c r="K175" s="52"/>
      <x:c r="L175" s="52"/>
    </x:row>
    <x:row r="176" ht="21" customHeight="1">
      <x:c r="A176" s="2"/>
      <x:c r="B176" s="2"/>
      <x:c r="C176" s="9" t="str">
        <x:v>10–12: bisection solve</x:v>
      </x:c>
      <x:c r="D176" s="55"/>
      <x:c r="E176" s="55"/>
      <x:c r="F176" s="55"/>
      <x:c r="G176" s="55"/>
      <x:c r="H176" s="55"/>
      <x:c r="I176" s="55"/>
      <x:c r="J176" s="55"/>
      <x:c r="K176" s="55"/>
      <x:c r="L176" s="55"/>
    </x:row>
    <x:row r="177" ht="29" customHeight="1">
      <x:c r="A177" s="2"/>
      <x:c r="B177" s="2"/>
      <x:c r="C177" s="10" t="str">
        <x:v>Iteration</x:v>
      </x:c>
      <x:c r="D177" s="56" t="str">
        <x:v>Lower</x:v>
      </x:c>
      <x:c r="E177" s="56" t="str">
        <x:v>Upper</x:v>
      </x:c>
      <x:c r="F177" s="56" t="str">
        <x:v>Index</x:v>
      </x:c>
      <x:c r="G177" s="56" t="str">
        <x:v>Car P</x:v>
      </x:c>
      <x:c r="H177" s="56" t="str">
        <x:v>SUV P</x:v>
      </x:c>
      <x:c r="I177" s="56" t="str">
        <x:v>Pickup P</x:v>
      </x:c>
      <x:c r="J177" s="56" t="str">
        <x:v>Van P</x:v>
      </x:c>
      <x:c r="K177" s="56" t="str">
        <x:v>Weighted P</x:v>
      </x:c>
      <x:c r="L177" s="56" t="str">
        <x:v>Target</x:v>
      </x:c>
    </x:row>
    <x:row r="178" ht="18" customHeight="1">
      <x:c r="A178" s="2"/>
      <x:c r="B178" s="2"/>
      <x:c r="C178" s="2" t="n">
        <x:v>1</x:v>
      </x:c>
      <x:c r="D178" s="52" t="n">
        <x:v>-8</x:v>
      </x:c>
      <x:c r="E178" s="52" t="n">
        <x:v>8</x:v>
      </x:c>
      <x:c r="F178" s="53" t="n">
        <x:f>(D178+E178)/2</x:f>
        <x:v>0</x:v>
      </x:c>
      <x:c r="G178" s="54" t="n">
        <x:f>NORMDIST($F178-'Vehicle Economics'!$D$16,0,1,TRUE)</x:f>
        <x:v>0.5</x:v>
      </x:c>
      <x:c r="H178" s="54" t="n">
        <x:f>NORMDIST($F178-'Vehicle Economics'!$E$16,0,1,TRUE)</x:f>
        <x:v>0.3997792773780073</x:v>
      </x:c>
      <x:c r="I178" s="54" t="n">
        <x:f>NORMDIST($F178-'Vehicle Economics'!$F$16,0,1,TRUE)</x:f>
        <x:v>0.4656049360893372</x:v>
      </x:c>
      <x:c r="J178" s="54" t="n">
        <x:f>NORMDIST($F178-'Vehicle Economics'!$G$16,0,1,TRUE)</x:f>
        <x:v>0.3934551210988128</x:v>
      </x:c>
      <x:c r="K178" s="53" t="n">
        <x:f>SUMPRODUCT(G178:J178,$D$22:$G$22)/$H$22</x:f>
        <x:v>0.456171682606529</x:v>
      </x:c>
      <x:c r="L178" s="54" t="n">
        <x:f>'AD Fees &amp; TLF'!$D$10</x:f>
        <x:v>0.32299999999999995</x:v>
      </x:c>
    </x:row>
    <x:row r="179" ht="18" customHeight="1">
      <x:c r="A179" s="2"/>
      <x:c r="B179" s="2"/>
      <x:c r="C179" s="2" t="n">
        <x:v>2</x:v>
      </x:c>
      <x:c r="D179" s="53" t="n">
        <x:f>IF(K178&lt;L178,F178,D178)</x:f>
        <x:v>-8</x:v>
      </x:c>
      <x:c r="E179" s="53" t="n">
        <x:f>IF(K178&lt;L178,E178,F178)</x:f>
        <x:v>0</x:v>
      </x:c>
      <x:c r="F179" s="53" t="n">
        <x:f>(D179+E179)/2</x:f>
        <x:v>-4</x:v>
      </x:c>
      <x:c r="G179" s="54" t="n">
        <x:f>NORMDIST($F179-'Vehicle Economics'!$D$16,0,1,TRUE)</x:f>
        <x:v>0.00003167124183311998</x:v>
      </x:c>
      <x:c r="H179" s="54" t="n">
        <x:f>NORMDIST($F179-'Vehicle Economics'!$E$16,0,1,TRUE)</x:f>
        <x:v>0.000010503091136260245</x:v>
      </x:c>
      <x:c r="I179" s="54" t="n">
        <x:f>NORMDIST($F179-'Vehicle Economics'!$F$16,0,1,TRUE)</x:f>
        <x:v>0.000021913203029577666</x:v>
      </x:c>
      <x:c r="J179" s="54" t="n">
        <x:f>NORMDIST($F179-'Vehicle Economics'!$G$16,0,1,TRUE)</x:f>
        <x:v>0.00000975941677439085</x:v>
      </x:c>
      <x:c r="K179" s="53" t="n">
        <x:f>SUMPRODUCT(G179:J179,$D$22:$G$22)/$H$22</x:f>
        <x:v>0.00002219911389911145</x:v>
      </x:c>
      <x:c r="L179" s="54" t="n">
        <x:f>'AD Fees &amp; TLF'!$D$10</x:f>
        <x:v>0.32299999999999995</x:v>
      </x:c>
    </x:row>
    <x:row r="180" ht="18" customHeight="1">
      <x:c r="A180" s="2"/>
      <x:c r="B180" s="2"/>
      <x:c r="C180" s="2" t="n">
        <x:v>3</x:v>
      </x:c>
      <x:c r="D180" s="53" t="n">
        <x:f>IF(K179&lt;L179,F179,D179)</x:f>
        <x:v>-4</x:v>
      </x:c>
      <x:c r="E180" s="53" t="n">
        <x:f>IF(K179&lt;L179,E179,F179)</x:f>
        <x:v>0</x:v>
      </x:c>
      <x:c r="F180" s="53" t="n">
        <x:f>(D180+E180)/2</x:f>
        <x:v>-2</x:v>
      </x:c>
      <x:c r="G180" s="54" t="n">
        <x:f>NORMDIST($F180-'Vehicle Economics'!$D$16,0,1,TRUE)</x:f>
        <x:v>0.02275013194817921</x:v>
      </x:c>
      <x:c r="H180" s="54" t="n">
        <x:f>NORMDIST($F180-'Vehicle Economics'!$E$16,0,1,TRUE)</x:f>
        <x:v>0.012100649135212083</x:v>
      </x:c>
      <x:c r="I180" s="54" t="n">
        <x:f>NORMDIST($F180-'Vehicle Economics'!$F$16,0,1,TRUE)</x:f>
        <x:v>0.018474699658395266</x:v>
      </x:c>
      <x:c r="J180" s="54" t="n">
        <x:f>NORMDIST($F180-'Vehicle Economics'!$G$16,0,1,TRUE)</x:f>
        <x:v>0.011593935975388714</x:v>
      </x:c>
      <x:c r="K180" s="53" t="n">
        <x:f>SUMPRODUCT(G180:J180,$D$22:$G$22)/$H$22</x:f>
        <x:v>0.018040169253849832</x:v>
      </x:c>
      <x:c r="L180" s="54" t="n">
        <x:f>'AD Fees &amp; TLF'!$D$10</x:f>
        <x:v>0.32299999999999995</x:v>
      </x:c>
    </x:row>
    <x:row r="181" ht="18" customHeight="1">
      <x:c r="A181" s="2"/>
      <x:c r="B181" s="2"/>
      <x:c r="C181" s="2" t="n">
        <x:v>4</x:v>
      </x:c>
      <x:c r="D181" s="53" t="n">
        <x:f>IF(K180&lt;L180,F180,D180)</x:f>
        <x:v>-2</x:v>
      </x:c>
      <x:c r="E181" s="53" t="n">
        <x:f>IF(K180&lt;L180,E180,F180)</x:f>
        <x:v>0</x:v>
      </x:c>
      <x:c r="F181" s="53" t="n">
        <x:f>(D181+E181)/2</x:f>
        <x:v>-1</x:v>
      </x:c>
      <x:c r="G181" s="54" t="n">
        <x:f>NORMDIST($F181-'Vehicle Economics'!$D$16,0,1,TRUE)</x:f>
        <x:v>0.15865525393145707</x:v>
      </x:c>
      <x:c r="H181" s="54" t="n">
        <x:f>NORMDIST($F181-'Vehicle Economics'!$E$16,0,1,TRUE)</x:f>
        <x:v>0.10493582268156831</x:v>
      </x:c>
      <x:c r="I181" s="54" t="n">
        <x:f>NORMDIST($F181-'Vehicle Economics'!$F$16,0,1,TRUE)</x:f>
        <x:v>0.13866811769162857</x:v>
      </x:c>
      <x:c r="J181" s="54" t="n">
        <x:f>NORMDIST($F181-'Vehicle Economics'!$G$16,0,1,TRUE)</x:f>
        <x:v>0.1019844452045599</x:v>
      </x:c>
      <x:c r="K181" s="53" t="n">
        <x:f>SUMPRODUCT(G181:J181,$D$22:$G$22)/$H$22</x:f>
        <x:v>0.135031994459775</x:v>
      </x:c>
      <x:c r="L181" s="54" t="n">
        <x:f>'AD Fees &amp; TLF'!$D$10</x:f>
        <x:v>0.32299999999999995</x:v>
      </x:c>
    </x:row>
    <x:row r="182" ht="18" customHeight="1">
      <x:c r="A182" s="2"/>
      <x:c r="B182" s="2"/>
      <x:c r="C182" s="2" t="n">
        <x:v>5</x:v>
      </x:c>
      <x:c r="D182" s="53" t="n">
        <x:f>IF(K181&lt;L181,F181,D181)</x:f>
        <x:v>-1</x:v>
      </x:c>
      <x:c r="E182" s="53" t="n">
        <x:f>IF(K181&lt;L181,E181,F181)</x:f>
        <x:v>0</x:v>
      </x:c>
      <x:c r="F182" s="53" t="n">
        <x:f>(D182+E182)/2</x:f>
        <x:v>-0.5</x:v>
      </x:c>
      <x:c r="G182" s="54" t="n">
        <x:f>NORMDIST($F182-'Vehicle Economics'!$D$16,0,1,TRUE)</x:f>
        <x:v>0.3085375387259869</x:v>
      </x:c>
      <x:c r="H182" s="54" t="n">
        <x:f>NORMDIST($F182-'Vehicle Economics'!$E$16,0,1,TRUE)</x:f>
        <x:v>0.22544909328126578</x:v>
      </x:c>
      <x:c r="I182" s="54" t="n">
        <x:f>NORMDIST($F182-'Vehicle Economics'!$F$16,0,1,TRUE)</x:f>
        <x:v>0.27882933049916064</x:v>
      </x:c>
      <x:c r="J182" s="54" t="n">
        <x:f>NORMDIST($F182-'Vehicle Economics'!$G$16,0,1,TRUE)</x:f>
        <x:v>0.22055356832755285</x:v>
      </x:c>
      <x:c r="K182" s="53" t="n">
        <x:f>SUMPRODUCT(G182:J182,$D$22:$G$22)/$H$22</x:f>
        <x:v>0.27210131528455506</x:v>
      </x:c>
      <x:c r="L182" s="54" t="n">
        <x:f>'AD Fees &amp; TLF'!$D$10</x:f>
        <x:v>0.32299999999999995</x:v>
      </x:c>
    </x:row>
    <x:row r="183" ht="18" customHeight="1">
      <x:c r="A183" s="2"/>
      <x:c r="B183" s="2"/>
      <x:c r="C183" s="2" t="n">
        <x:v>6</x:v>
      </x:c>
      <x:c r="D183" s="53" t="n">
        <x:f>IF(K182&lt;L182,F182,D182)</x:f>
        <x:v>-0.5</x:v>
      </x:c>
      <x:c r="E183" s="53" t="n">
        <x:f>IF(K182&lt;L182,E182,F182)</x:f>
        <x:v>0</x:v>
      </x:c>
      <x:c r="F183" s="53" t="n">
        <x:f>(D183+E183)/2</x:f>
        <x:v>-0.25</x:v>
      </x:c>
      <x:c r="G183" s="54" t="n">
        <x:f>NORMDIST($F183-'Vehicle Economics'!$D$16,0,1,TRUE)</x:f>
        <x:v>0.40129367431707624</x:v>
      </x:c>
      <x:c r="H183" s="54" t="n">
        <x:f>NORMDIST($F183-'Vehicle Economics'!$E$16,0,1,TRUE)</x:f>
        <x:v>0.3071593396726585</x:v>
      </x:c>
      <x:c r="I183" s="54" t="n">
        <x:f>NORMDIST($F183-'Vehicle Economics'!$F$16,0,1,TRUE)</x:f>
        <x:v>0.36831375663016996</x:v>
      </x:c>
      <x:c r="J183" s="54" t="n">
        <x:f>NORMDIST($F183-'Vehicle Economics'!$G$16,0,1,TRUE)</x:f>
        <x:v>0.3014185408340783</x:v>
      </x:c>
      <x:c r="K183" s="53" t="n">
        <x:f>SUMPRODUCT(G183:J183,$D$22:$G$22)/$H$22</x:f>
        <x:v>0.36007060297531407</x:v>
      </x:c>
      <x:c r="L183" s="54" t="n">
        <x:f>'AD Fees &amp; TLF'!$D$10</x:f>
        <x:v>0.32299999999999995</x:v>
      </x:c>
    </x:row>
    <x:row r="184" ht="18" customHeight="1">
      <x:c r="A184" s="2"/>
      <x:c r="B184" s="2"/>
      <x:c r="C184" s="2" t="n">
        <x:v>7</x:v>
      </x:c>
      <x:c r="D184" s="53" t="n">
        <x:f>IF(K183&lt;L183,F183,D183)</x:f>
        <x:v>-0.5</x:v>
      </x:c>
      <x:c r="E184" s="53" t="n">
        <x:f>IF(K183&lt;L183,E183,F183)</x:f>
        <x:v>-0.25</x:v>
      </x:c>
      <x:c r="F184" s="53" t="n">
        <x:f>(D184+E184)/2</x:f>
        <x:v>-0.375</x:v>
      </x:c>
      <x:c r="G184" s="54" t="n">
        <x:f>NORMDIST($F184-'Vehicle Economics'!$D$16,0,1,TRUE)</x:f>
        <x:v>0.3538302333272762</x:v>
      </x:c>
      <x:c r="H184" s="54" t="n">
        <x:f>NORMDIST($F184-'Vehicle Economics'!$E$16,0,1,TRUE)</x:f>
        <x:v>0.26470122073041497</x:v>
      </x:c>
      <x:c r="I184" s="54" t="n">
        <x:f>NORMDIST($F184-'Vehicle Economics'!$F$16,0,1,TRUE)</x:f>
        <x:v>0.32228354081435695</x:v>
      </x:c>
      <x:c r="J184" s="54" t="n">
        <x:f>NORMDIST($F184-'Vehicle Economics'!$G$16,0,1,TRUE)</x:f>
        <x:v>0.25935830101433455</x:v>
      </x:c>
      <x:c r="K184" s="53" t="n">
        <x:f>SUMPRODUCT(G184:J184,$D$22:$G$22)/$H$22</x:f>
        <x:v>0.31477214830846717</x:v>
      </x:c>
      <x:c r="L184" s="54" t="n">
        <x:f>'AD Fees &amp; TLF'!$D$10</x:f>
        <x:v>0.32299999999999995</x:v>
      </x:c>
    </x:row>
    <x:row r="185" ht="18" customHeight="1">
      <x:c r="A185" s="2"/>
      <x:c r="B185" s="2"/>
      <x:c r="C185" s="2" t="n">
        <x:v>8</x:v>
      </x:c>
      <x:c r="D185" s="53" t="n">
        <x:f>IF(K184&lt;L184,F184,D184)</x:f>
        <x:v>-0.375</x:v>
      </x:c>
      <x:c r="E185" s="53" t="n">
        <x:f>IF(K184&lt;L184,E184,F184)</x:f>
        <x:v>-0.25</x:v>
      </x:c>
      <x:c r="F185" s="53" t="n">
        <x:f>(D185+E185)/2</x:f>
        <x:v>-0.3125</x:v>
      </x:c>
      <x:c r="G185" s="54" t="n">
        <x:f>NORMDIST($F185-'Vehicle Economics'!$D$16,0,1,TRUE)</x:f>
        <x:v>0.3773302815298429</x:v>
      </x:c>
      <x:c r="H185" s="54" t="n">
        <x:f>NORMDIST($F185-'Vehicle Economics'!$E$16,0,1,TRUE)</x:f>
        <x:v>0.28555467510585836</x:v>
      </x:c>
      <x:c r="I185" s="54" t="n">
        <x:f>NORMDIST($F185-'Vehicle Economics'!$F$16,0,1,TRUE)</x:f>
        <x:v>0.34501191479044707</x:v>
      </x:c>
      <x:c r="J185" s="54" t="n">
        <x:f>NORMDIST($F185-'Vehicle Economics'!$G$16,0,1,TRUE)</x:f>
        <x:v>0.2800055604132611</x:v>
      </x:c>
      <x:c r="K185" s="53" t="n">
        <x:f>SUMPRODUCT(G185:J185,$D$22:$G$22)/$H$22</x:f>
        <x:v>0.33712629060268595</x:v>
      </x:c>
      <x:c r="L185" s="54" t="n">
        <x:f>'AD Fees &amp; TLF'!$D$10</x:f>
        <x:v>0.32299999999999995</x:v>
      </x:c>
    </x:row>
    <x:row r="186" ht="18" customHeight="1">
      <x:c r="A186" s="2"/>
      <x:c r="B186" s="2"/>
      <x:c r="C186" s="2" t="n">
        <x:v>9</x:v>
      </x:c>
      <x:c r="D186" s="53" t="n">
        <x:f>IF(K185&lt;L185,F185,D185)</x:f>
        <x:v>-0.375</x:v>
      </x:c>
      <x:c r="E186" s="53" t="n">
        <x:f>IF(K185&lt;L185,E185,F185)</x:f>
        <x:v>-0.3125</x:v>
      </x:c>
      <x:c r="F186" s="53" t="n">
        <x:f>(D186+E186)/2</x:f>
        <x:v>-0.34375</x:v>
      </x:c>
      <x:c r="G186" s="54" t="n">
        <x:f>NORMDIST($F186-'Vehicle Economics'!$D$16,0,1,TRUE)</x:f>
        <x:v>0.3655171526900426</x:v>
      </x:c>
      <x:c r="H186" s="54" t="n">
        <x:f>NORMDIST($F186-'Vehicle Economics'!$E$16,0,1,TRUE)</x:f>
        <x:v>0.27503058795352575</x:v>
      </x:c>
      <x:c r="I186" s="54" t="n">
        <x:f>NORMDIST($F186-'Vehicle Economics'!$F$16,0,1,TRUE)</x:f>
        <x:v>0.33357136912087837</x:v>
      </x:c>
      <x:c r="J186" s="54" t="n">
        <x:f>NORMDIST($F186-'Vehicle Economics'!$G$16,0,1,TRUE)</x:f>
        <x:v>0.26958288739475245</x:v>
      </x:c>
      <x:c r="K186" s="53" t="n">
        <x:f>SUMPRODUCT(G186:J186,$D$22:$G$22)/$H$22</x:f>
        <x:v>0.32587101026072013</x:v>
      </x:c>
      <x:c r="L186" s="54" t="n">
        <x:f>'AD Fees &amp; TLF'!$D$10</x:f>
        <x:v>0.32299999999999995</x:v>
      </x:c>
    </x:row>
    <x:row r="187" ht="18" customHeight="1">
      <x:c r="A187" s="2"/>
      <x:c r="B187" s="2"/>
      <x:c r="C187" s="2" t="n">
        <x:v>10</x:v>
      </x:c>
      <x:c r="D187" s="53" t="n">
        <x:f>IF(K186&lt;L186,F186,D186)</x:f>
        <x:v>-0.375</x:v>
      </x:c>
      <x:c r="E187" s="53" t="n">
        <x:f>IF(K186&lt;L186,E186,F186)</x:f>
        <x:v>-0.34375</x:v>
      </x:c>
      <x:c r="F187" s="53" t="n">
        <x:f>(D187+E187)/2</x:f>
        <x:v>-0.359375</x:v>
      </x:c>
      <x:c r="G187" s="54" t="n">
        <x:f>NORMDIST($F187-'Vehicle Economics'!$D$16,0,1,TRUE)</x:f>
        <x:v>0.3596572871877113</x:v>
      </x:c>
      <x:c r="H187" s="54" t="n">
        <x:f>NORMDIST($F187-'Vehicle Economics'!$E$16,0,1,TRUE)</x:f>
        <x:v>0.2698411592014076</x:v>
      </x:c>
      <x:c r="I187" s="54" t="n">
        <x:f>NORMDIST($F187-'Vehicle Economics'!$F$16,0,1,TRUE)</x:f>
        <x:v>0.32790780326161617</x:v>
      </x:c>
      <x:c r="J187" s="54" t="n">
        <x:f>NORMDIST($F187-'Vehicle Economics'!$G$16,0,1,TRUE)</x:f>
        <x:v>0.26444544483342136</x:v>
      </x:c>
      <x:c r="K187" s="53" t="n">
        <x:f>SUMPRODUCT(G187:J187,$D$22:$G$22)/$H$22</x:f>
        <x:v>0.32030149471614344</x:v>
      </x:c>
      <x:c r="L187" s="54" t="n">
        <x:f>'AD Fees &amp; TLF'!$D$10</x:f>
        <x:v>0.32299999999999995</x:v>
      </x:c>
    </x:row>
    <x:row r="188" ht="18" customHeight="1">
      <x:c r="A188" s="2"/>
      <x:c r="B188" s="2"/>
      <x:c r="C188" s="2" t="n">
        <x:v>11</x:v>
      </x:c>
      <x:c r="D188" s="53" t="n">
        <x:f>IF(K187&lt;L187,F187,D187)</x:f>
        <x:v>-0.359375</x:v>
      </x:c>
      <x:c r="E188" s="53" t="n">
        <x:f>IF(K187&lt;L187,E187,F187)</x:f>
        <x:v>-0.34375</x:v>
      </x:c>
      <x:c r="F188" s="53" t="n">
        <x:f>(D188+E188)/2</x:f>
        <x:v>-0.3515625</x:v>
      </x:c>
      <x:c r="G188" s="54" t="n">
        <x:f>NORMDIST($F188-'Vehicle Economics'!$D$16,0,1,TRUE)</x:f>
        <x:v>0.36258319631154823</x:v>
      </x:c>
      <x:c r="H188" s="54" t="n">
        <x:f>NORMDIST($F188-'Vehicle Economics'!$E$16,0,1,TRUE)</x:f>
        <x:v>0.27242973670549225</x:v>
      </x:c>
      <x:c r="I188" s="54" t="n">
        <x:f>NORMDIST($F188-'Vehicle Economics'!$F$16,0,1,TRUE)</x:f>
        <x:v>0.3307347424865777</x:v>
      </x:c>
      <x:c r="J188" s="54" t="n">
        <x:f>NORMDIST($F188-'Vehicle Economics'!$G$16,0,1,TRUE)</x:f>
        <x:v>0.2670079260970548</x:v>
      </x:c>
      <x:c r="K188" s="53" t="n">
        <x:f>SUMPRODUCT(G188:J188,$D$22:$G$22)/$H$22</x:f>
        <x:v>0.32308129684578235</x:v>
      </x:c>
      <x:c r="L188" s="54" t="n">
        <x:f>'AD Fees &amp; TLF'!$D$10</x:f>
        <x:v>0.32299999999999995</x:v>
      </x:c>
    </x:row>
    <x:row r="189" ht="18" customHeight="1">
      <x:c r="A189" s="2"/>
      <x:c r="B189" s="2"/>
      <x:c r="C189" s="2" t="n">
        <x:v>12</x:v>
      </x:c>
      <x:c r="D189" s="53" t="n">
        <x:f>IF(K188&lt;L188,F188,D188)</x:f>
        <x:v>-0.359375</x:v>
      </x:c>
      <x:c r="E189" s="53" t="n">
        <x:f>IF(K188&lt;L188,E188,F188)</x:f>
        <x:v>-0.3515625</x:v>
      </x:c>
      <x:c r="F189" s="53" t="n">
        <x:f>(D189+E189)/2</x:f>
        <x:v>-0.35546875</x:v>
      </x:c>
      <x:c r="G189" s="54" t="n">
        <x:f>NORMDIST($F189-'Vehicle Economics'!$D$16,0,1,TRUE)</x:f>
        <x:v>0.3611192260584488</x:v>
      </x:c>
      <x:c r="H189" s="54" t="n">
        <x:f>NORMDIST($F189-'Vehicle Economics'!$E$16,0,1,TRUE)</x:f>
        <x:v>0.2711339074815098</x:v>
      </x:c>
      <x:c r="I189" s="54" t="n">
        <x:f>NORMDIST($F189-'Vehicle Economics'!$F$16,0,1,TRUE)</x:f>
        <x:v>0.3293200532298018</x:v>
      </x:c>
      <x:c r="J189" s="54" t="n">
        <x:f>NORMDIST($F189-'Vehicle Economics'!$G$16,0,1,TRUE)</x:f>
        <x:v>0.2657251194672949</x:v>
      </x:c>
      <x:c r="K189" s="53" t="n">
        <x:f>SUMPRODUCT(G189:J189,$D$22:$G$22)/$H$22</x:f>
        <x:v>0.32169014861745016</x:v>
      </x:c>
      <x:c r="L189" s="54" t="n">
        <x:f>'AD Fees &amp; TLF'!$D$10</x:f>
        <x:v>0.32299999999999995</x:v>
      </x:c>
    </x:row>
    <x:row r="190" ht="18" customHeight="1">
      <x:c r="A190" s="2"/>
      <x:c r="B190" s="2"/>
      <x:c r="C190" s="2" t="n">
        <x:v>13</x:v>
      </x:c>
      <x:c r="D190" s="53" t="n">
        <x:f>IF(K189&lt;L189,F189,D189)</x:f>
        <x:v>-0.35546875</x:v>
      </x:c>
      <x:c r="E190" s="53" t="n">
        <x:f>IF(K189&lt;L189,E189,F189)</x:f>
        <x:v>-0.3515625</x:v>
      </x:c>
      <x:c r="F190" s="53" t="n">
        <x:f>(D190+E190)/2</x:f>
        <x:v>-0.353515625</x:v>
      </x:c>
      <x:c r="G190" s="54" t="n">
        <x:f>NORMDIST($F190-'Vehicle Economics'!$D$16,0,1,TRUE)</x:f>
        <x:v>0.3618509584817885</x:v>
      </x:c>
      <x:c r="H190" s="54" t="n">
        <x:f>NORMDIST($F190-'Vehicle Economics'!$E$16,0,1,TRUE)</x:f>
        <x:v>0.2717814377524397</x:v>
      </x:c>
      <x:c r="I190" s="54" t="n">
        <x:f>NORMDIST($F190-'Vehicle Economics'!$F$16,0,1,TRUE)</x:f>
        <x:v>0.3300270940328208</x:v>
      </x:c>
      <x:c r="J190" s="54" t="n">
        <x:f>NORMDIST($F190-'Vehicle Economics'!$G$16,0,1,TRUE)</x:f>
        <x:v>0.26636613202703696</x:v>
      </x:c>
      <x:c r="K190" s="53" t="n">
        <x:f>SUMPRODUCT(G190:J190,$D$22:$G$22)/$H$22</x:f>
        <x:v>0.3223854119682794</x:v>
      </x:c>
      <x:c r="L190" s="54" t="n">
        <x:f>'AD Fees &amp; TLF'!$D$10</x:f>
        <x:v>0.32299999999999995</x:v>
      </x:c>
    </x:row>
    <x:row r="191" ht="18" customHeight="1">
      <x:c r="A191" s="2"/>
      <x:c r="B191" s="2"/>
      <x:c r="C191" s="2" t="n">
        <x:v>14</x:v>
      </x:c>
      <x:c r="D191" s="53" t="n">
        <x:f>IF(K190&lt;L190,F190,D190)</x:f>
        <x:v>-0.353515625</x:v>
      </x:c>
      <x:c r="E191" s="53" t="n">
        <x:f>IF(K190&lt;L190,E190,F190)</x:f>
        <x:v>-0.3515625</x:v>
      </x:c>
      <x:c r="F191" s="53" t="n">
        <x:f>(D191+E191)/2</x:f>
        <x:v>-0.3525390625</x:v>
      </x:c>
      <x:c r="G191" s="54" t="n">
        <x:f>NORMDIST($F191-'Vehicle Economics'!$D$16,0,1,TRUE)</x:f>
        <x:v>0.3622170143736178</x:v>
      </x:c>
      <x:c r="H191" s="54" t="n">
        <x:f>NORMDIST($F191-'Vehicle Economics'!$E$16,0,1,TRUE)</x:f>
        <x:v>0.27210549124123823</x:v>
      </x:c>
      <x:c r="I191" s="54" t="n">
        <x:f>NORMDIST($F191-'Vehicle Economics'!$F$16,0,1,TRUE)</x:f>
        <x:v>0.33038084243942634</x:v>
      </x:c>
      <x:c r="J191" s="54" t="n">
        <x:f>NORMDIST($F191-'Vehicle Economics'!$G$16,0,1,TRUE)</x:f>
        <x:v>0.2666869314667308</x:v>
      </x:c>
      <x:c r="K191" s="53" t="n">
        <x:f>SUMPRODUCT(G191:J191,$D$22:$G$22)/$H$22</x:f>
        <x:v>0.32273327684499586</x:v>
      </x:c>
      <x:c r="L191" s="54" t="n">
        <x:f>'AD Fees &amp; TLF'!$D$10</x:f>
        <x:v>0.32299999999999995</x:v>
      </x:c>
    </x:row>
    <x:row r="192" ht="18" customHeight="1">
      <x:c r="A192" s="2"/>
      <x:c r="B192" s="2"/>
      <x:c r="C192" s="2" t="n">
        <x:v>15</x:v>
      </x:c>
      <x:c r="D192" s="53" t="n">
        <x:f>IF(K191&lt;L191,F191,D191)</x:f>
        <x:v>-0.3525390625</x:v>
      </x:c>
      <x:c r="E192" s="53" t="n">
        <x:f>IF(K191&lt;L191,E191,F191)</x:f>
        <x:v>-0.3515625</x:v>
      </x:c>
      <x:c r="F192" s="53" t="n">
        <x:f>(D192+E192)/2</x:f>
        <x:v>-0.35205078125</x:v>
      </x:c>
      <x:c r="G192" s="54" t="n">
        <x:f>NORMDIST($F192-'Vehicle Economics'!$D$16,0,1,TRUE)</x:f>
        <x:v>0.36240008960593323</x:v>
      </x:c>
      <x:c r="H192" s="54" t="n">
        <x:f>NORMDIST($F192-'Vehicle Economics'!$E$16,0,1,TRUE)</x:f>
        <x:v>0.27226758998865186</x:v>
      </x:c>
      <x:c r="I192" s="54" t="n">
        <x:f>NORMDIST($F192-'Vehicle Economics'!$F$16,0,1,TRUE)</x:f>
        <x:v>0.3305577735249647</x:v>
      </x:c>
      <x:c r="J192" s="54" t="n">
        <x:f>NORMDIST($F192-'Vehicle Economics'!$G$16,0,1,TRUE)</x:f>
        <x:v>0.2668474043947743</x:v>
      </x:c>
      <x:c r="K192" s="53" t="n">
        <x:f>SUMPRODUCT(G192:J192,$D$22:$G$22)/$H$22</x:f>
        <x:v>0.3229072674710024</x:v>
      </x:c>
      <x:c r="L192" s="54" t="n">
        <x:f>'AD Fees &amp; TLF'!$D$10</x:f>
        <x:v>0.32299999999999995</x:v>
      </x:c>
    </x:row>
    <x:row r="193" ht="18" customHeight="1">
      <x:c r="A193" s="2"/>
      <x:c r="B193" s="2"/>
      <x:c r="C193" s="2" t="n">
        <x:v>16</x:v>
      </x:c>
      <x:c r="D193" s="53" t="n">
        <x:f>IF(K192&lt;L192,F192,D192)</x:f>
        <x:v>-0.35205078125</x:v>
      </x:c>
      <x:c r="E193" s="53" t="n">
        <x:f>IF(K192&lt;L192,E192,F192)</x:f>
        <x:v>-0.3515625</x:v>
      </x:c>
      <x:c r="F193" s="53" t="n">
        <x:f>(D193+E193)/2</x:f>
        <x:v>-0.351806640625</x:v>
      </x:c>
      <x:c r="G193" s="54" t="n">
        <x:f>NORMDIST($F193-'Vehicle Economics'!$D$16,0,1,TRUE)</x:f>
        <x:v>0.36249163902696857</x:v>
      </x:c>
      <x:c r="H193" s="54" t="n">
        <x:f>NORMDIST($F193-'Vehicle Economics'!$E$16,0,1,TRUE)</x:f>
        <x:v>0.2723486573524227</x:v>
      </x:c>
      <x:c r="I193" s="54" t="n">
        <x:f>NORMDIST($F193-'Vehicle Economics'!$F$16,0,1,TRUE)</x:f>
        <x:v>0.33064625327339203</x:v>
      </x:c>
      <x:c r="J193" s="54" t="n">
        <x:f>NORMDIST($F193-'Vehicle Economics'!$G$16,0,1,TRUE)</x:f>
        <x:v>0.2669276591506004</x:v>
      </x:c>
      <x:c r="K193" s="53" t="n">
        <x:f>SUMPRODUCT(G193:J193,$D$22:$G$22)/$H$22</x:f>
        <x:v>0.3229942773168123</x:v>
      </x:c>
      <x:c r="L193" s="54" t="n">
        <x:f>'AD Fees &amp; TLF'!$D$10</x:f>
        <x:v>0.32299999999999995</x:v>
      </x:c>
    </x:row>
    <x:row r="194" ht="18" customHeight="1">
      <x:c r="A194" s="2"/>
      <x:c r="B194" s="2"/>
      <x:c r="C194" s="2" t="n">
        <x:v>17</x:v>
      </x:c>
      <x:c r="D194" s="53" t="n">
        <x:f>IF(K193&lt;L193,F193,D193)</x:f>
        <x:v>-0.351806640625</x:v>
      </x:c>
      <x:c r="E194" s="53" t="n">
        <x:f>IF(K193&lt;L193,E193,F193)</x:f>
        <x:v>-0.3515625</x:v>
      </x:c>
      <x:c r="F194" s="53" t="n">
        <x:f>(D194+E194)/2</x:f>
        <x:v>-0.3516845703125</x:v>
      </x:c>
      <x:c r="G194" s="54" t="n">
        <x:f>NORMDIST($F194-'Vehicle Economics'!$D$16,0,1,TRUE)</x:f>
        <x:v>0.3625374166866141</x:v>
      </x:c>
      <x:c r="H194" s="54" t="n">
        <x:f>NORMDIST($F194-'Vehicle Economics'!$E$16,0,1,TRUE)</x:f>
        <x:v>0.27238919553048635</x:v>
      </x:c>
      <x:c r="I194" s="54" t="n">
        <x:f>NORMDIST($F194-'Vehicle Economics'!$F$16,0,1,TRUE)</x:f>
        <x:v>0.3306904966971564</x:v>
      </x:c>
      <x:c r="J194" s="54" t="n">
        <x:f>NORMDIST($F194-'Vehicle Economics'!$G$16,0,1,TRUE)</x:f>
        <x:v>0.2669677911001823</x:v>
      </x:c>
      <x:c r="K194" s="53" t="n">
        <x:f>SUMPRODUCT(G194:J194,$D$22:$G$22)/$H$22</x:f>
        <x:v>0.3230377858711544</x:v>
      </x:c>
      <x:c r="L194" s="54" t="n">
        <x:f>'AD Fees &amp; TLF'!$D$10</x:f>
        <x:v>0.32299999999999995</x:v>
      </x:c>
    </x:row>
    <x:row r="195" ht="18" customHeight="1">
      <x:c r="A195" s="2"/>
      <x:c r="B195" s="2"/>
      <x:c r="C195" s="2" t="n">
        <x:v>18</x:v>
      </x:c>
      <x:c r="D195" s="53" t="n">
        <x:f>IF(K194&lt;L194,F194,D194)</x:f>
        <x:v>-0.351806640625</x:v>
      </x:c>
      <x:c r="E195" s="53" t="n">
        <x:f>IF(K194&lt;L194,E194,F194)</x:f>
        <x:v>-0.3516845703125</x:v>
      </x:c>
      <x:c r="F195" s="53" t="n">
        <x:f>(D195+E195)/2</x:f>
        <x:v>-0.35174560546875</x:v>
      </x:c>
      <x:c r="G195" s="54" t="n">
        <x:f>NORMDIST($F195-'Vehicle Economics'!$D$16,0,1,TRUE)</x:f>
        <x:v>0.362514527611093</x:v>
      </x:c>
      <x:c r="H195" s="54" t="n">
        <x:f>NORMDIST($F195-'Vehicle Economics'!$E$16,0,1,TRUE)</x:f>
        <x:v>0.27236892606681284</x:v>
      </x:c>
      <x:c r="I195" s="54" t="n">
        <x:f>NORMDIST($F195-'Vehicle Economics'!$F$16,0,1,TRUE)</x:f>
        <x:v>0.3306683746895339</x:v>
      </x:c>
      <x:c r="J195" s="54" t="n">
        <x:f>NORMDIST($F195-'Vehicle Economics'!$G$16,0,1,TRUE)</x:f>
        <x:v>0.26694772474445705</x:v>
      </x:c>
      <x:c r="K195" s="53" t="n">
        <x:f>SUMPRODUCT(G195:J195,$D$22:$G$22)/$H$22</x:f>
        <x:v>0.3230160312914162</x:v>
      </x:c>
      <x:c r="L195" s="54" t="n">
        <x:f>'AD Fees &amp; TLF'!$D$10</x:f>
        <x:v>0.32299999999999995</x:v>
      </x:c>
    </x:row>
    <x:row r="196" ht="18" customHeight="1">
      <x:c r="A196" s="2"/>
      <x:c r="B196" s="2"/>
      <x:c r="C196" s="2" t="n">
        <x:v>19</x:v>
      </x:c>
      <x:c r="D196" s="53" t="n">
        <x:f>IF(K195&lt;L195,F195,D195)</x:f>
        <x:v>-0.351806640625</x:v>
      </x:c>
      <x:c r="E196" s="53" t="n">
        <x:f>IF(K195&lt;L195,E195,F195)</x:f>
        <x:v>-0.35174560546875</x:v>
      </x:c>
      <x:c r="F196" s="53" t="n">
        <x:f>(D196+E196)/2</x:f>
        <x:v>-0.351776123046875</x:v>
      </x:c>
      <x:c r="G196" s="54" t="n">
        <x:f>NORMDIST($F196-'Vehicle Economics'!$D$16,0,1,TRUE)</x:f>
        <x:v>0.3625030832576015</x:v>
      </x:c>
      <x:c r="H196" s="54" t="n">
        <x:f>NORMDIST($F196-'Vehicle Economics'!$E$16,0,1,TRUE)</x:f>
        <x:v>0.2723587916159543</x:v>
      </x:c>
      <x:c r="I196" s="54" t="n">
        <x:f>NORMDIST($F196-'Vehicle Economics'!$F$16,0,1,TRUE)</x:f>
        <x:v>0.33065731390752384</x:v>
      </x:c>
      <x:c r="J196" s="54" t="n">
        <x:f>NORMDIST($F196-'Vehicle Economics'!$G$16,0,1,TRUE)</x:f>
        <x:v>0.2669376918522923</x:v>
      </x:c>
      <x:c r="K196" s="53" t="n">
        <x:f>SUMPRODUCT(G196:J196,$D$22:$G$22)/$H$22</x:f>
        <x:v>0.32300515422846854</x:v>
      </x:c>
      <x:c r="L196" s="54" t="n">
        <x:f>'AD Fees &amp; TLF'!$D$10</x:f>
        <x:v>0.32299999999999995</x:v>
      </x:c>
    </x:row>
    <x:row r="197" ht="18" customHeight="1">
      <x:c r="A197" s="2"/>
      <x:c r="B197" s="2"/>
      <x:c r="C197" s="2" t="n">
        <x:v>20</x:v>
      </x:c>
      <x:c r="D197" s="53" t="n">
        <x:f>IF(K196&lt;L196,F196,D196)</x:f>
        <x:v>-0.351806640625</x:v>
      </x:c>
      <x:c r="E197" s="53" t="n">
        <x:f>IF(K196&lt;L196,E196,F196)</x:f>
        <x:v>-0.351776123046875</x:v>
      </x:c>
      <x:c r="F197" s="53" t="n">
        <x:f>(D197+E197)/2</x:f>
        <x:v>-0.3517913818359375</x:v>
      </x:c>
      <x:c r="G197" s="54" t="n">
        <x:f>NORMDIST($F197-'Vehicle Economics'!$D$16,0,1,TRUE)</x:f>
        <x:v>0.3624973611269271</x:v>
      </x:c>
      <x:c r="H197" s="54" t="n">
        <x:f>NORMDIST($F197-'Vehicle Economics'!$E$16,0,1,TRUE)</x:f>
        <x:v>0.2723537244607722</x:v>
      </x:c>
      <x:c r="I197" s="54" t="n">
        <x:f>NORMDIST($F197-'Vehicle Economics'!$F$16,0,1,TRUE)</x:f>
        <x:v>0.33065178357197267</x:v>
      </x:c>
      <x:c r="J197" s="54" t="n">
        <x:f>NORMDIST($F197-'Vehicle Economics'!$G$16,0,1,TRUE)</x:f>
        <x:v>0.26693267547763694</x:v>
      </x:c>
      <x:c r="K197" s="53" t="n">
        <x:f>SUMPRODUCT(G197:J197,$D$22:$G$22)/$H$22</x:f>
        <x:v>0.3229997157537285</x:v>
      </x:c>
      <x:c r="L197" s="54" t="n">
        <x:f>'AD Fees &amp; TLF'!$D$10</x:f>
        <x:v>0.32299999999999995</x:v>
      </x:c>
    </x:row>
    <x:row r="198" ht="18" customHeight="1">
      <x:c r="A198" s="2"/>
      <x:c r="B198" s="2"/>
      <x:c r="C198" s="2" t="n">
        <x:v>21</x:v>
      </x:c>
      <x:c r="D198" s="53" t="n">
        <x:f>IF(K197&lt;L197,F197,D197)</x:f>
        <x:v>-0.3517913818359375</x:v>
      </x:c>
      <x:c r="E198" s="53" t="n">
        <x:f>IF(K197&lt;L197,E197,F197)</x:f>
        <x:v>-0.351776123046875</x:v>
      </x:c>
      <x:c r="F198" s="53" t="n">
        <x:f>(D198+E198)/2</x:f>
        <x:v>-0.35178375244140625</x:v>
      </x:c>
      <x:c r="G198" s="54" t="n">
        <x:f>NORMDIST($F198-'Vehicle Economics'!$D$16,0,1,TRUE)</x:f>
        <x:v>0.3625002221884248</x:v>
      </x:c>
      <x:c r="H198" s="54" t="n">
        <x:f>NORMDIST($F198-'Vehicle Economics'!$E$16,0,1,TRUE)</x:f>
        <x:v>0.2723562580325093</x:v>
      </x:c>
      <x:c r="I198" s="54" t="n">
        <x:f>NORMDIST($F198-'Vehicle Economics'!$F$16,0,1,TRUE)</x:f>
        <x:v>0.33065454873512695</x:v>
      </x:c>
      <x:c r="J198" s="54" t="n">
        <x:f>NORMDIST($F198-'Vehicle Economics'!$G$16,0,1,TRUE)</x:f>
        <x:v>0.2669351836590122</x:v>
      </x:c>
      <x:c r="K198" s="53" t="n">
        <x:f>SUMPRODUCT(G198:J198,$D$22:$G$22)/$H$22</x:f>
        <x:v>0.3230024349863705</x:v>
      </x:c>
      <x:c r="L198" s="54" t="n">
        <x:f>'AD Fees &amp; TLF'!$D$10</x:f>
        <x:v>0.32299999999999995</x:v>
      </x:c>
    </x:row>
    <x:row r="199" ht="18" customHeight="1">
      <x:c r="A199" s="2"/>
      <x:c r="B199" s="2"/>
      <x:c r="C199" s="2" t="n">
        <x:v>22</x:v>
      </x:c>
      <x:c r="D199" s="53" t="n">
        <x:f>IF(K198&lt;L198,F198,D198)</x:f>
        <x:v>-0.3517913818359375</x:v>
      </x:c>
      <x:c r="E199" s="53" t="n">
        <x:f>IF(K198&lt;L198,E198,F198)</x:f>
        <x:v>-0.35178375244140625</x:v>
      </x:c>
      <x:c r="F199" s="53" t="n">
        <x:f>(D199+E199)/2</x:f>
        <x:v>-0.3517875671386719</x:v>
      </x:c>
      <x:c r="G199" s="54" t="n">
        <x:f>NORMDIST($F199-'Vehicle Economics'!$D$16,0,1,TRUE)</x:f>
        <x:v>0.36249879165671617</x:v>
      </x:c>
      <x:c r="H199" s="54" t="n">
        <x:f>NORMDIST($F199-'Vehicle Economics'!$E$16,0,1,TRUE)</x:f>
        <x:v>0.2723549912451772</x:v>
      </x:c>
      <x:c r="I199" s="54" t="n">
        <x:f>NORMDIST($F199-'Vehicle Economics'!$F$16,0,1,TRUE)</x:f>
        <x:v>0.3306531661523944</x:v>
      </x:c>
      <x:c r="J199" s="54" t="n">
        <x:f>NORMDIST($F199-'Vehicle Economics'!$G$16,0,1,TRUE)</x:f>
        <x:v>0.26693392956683637</x:v>
      </x:c>
      <x:c r="K199" s="53" t="n">
        <x:f>SUMPRODUCT(G199:J199,$D$22:$G$22)/$H$22</x:f>
        <x:v>0.3230010753688675</x:v>
      </x:c>
      <x:c r="L199" s="54" t="n">
        <x:f>'AD Fees &amp; TLF'!$D$10</x:f>
        <x:v>0.32299999999999995</x:v>
      </x:c>
    </x:row>
    <x:row r="200" ht="18" customHeight="1">
      <x:c r="A200" s="2"/>
      <x:c r="B200" s="2"/>
      <x:c r="C200" s="2" t="n">
        <x:v>23</x:v>
      </x:c>
      <x:c r="D200" s="53" t="n">
        <x:f>IF(K199&lt;L199,F199,D199)</x:f>
        <x:v>-0.3517913818359375</x:v>
      </x:c>
      <x:c r="E200" s="53" t="n">
        <x:f>IF(K199&lt;L199,E199,F199)</x:f>
        <x:v>-0.3517875671386719</x:v>
      </x:c>
      <x:c r="F200" s="53" t="n">
        <x:f>(D200+E200)/2</x:f>
        <x:v>-0.3517894744873047</x:v>
      </x:c>
      <x:c r="G200" s="54" t="n">
        <x:f>NORMDIST($F200-'Vehicle Economics'!$D$16,0,1,TRUE)</x:f>
        <x:v>0.36249807639158166</x:v>
      </x:c>
      <x:c r="H200" s="54" t="n">
        <x:f>NORMDIST($F200-'Vehicle Economics'!$E$16,0,1,TRUE)</x:f>
        <x:v>0.27235435785260886</x:v>
      </x:c>
      <x:c r="I200" s="54" t="n">
        <x:f>NORMDIST($F200-'Vehicle Economics'!$F$16,0,1,TRUE)</x:f>
        <x:v>0.3306524748618947</x:v>
      </x:c>
      <x:c r="J200" s="54" t="n">
        <x:f>NORMDIST($F200-'Vehicle Economics'!$G$16,0,1,TRUE)</x:f>
        <x:v>0.2669333025218647</x:v>
      </x:c>
      <x:c r="K200" s="53" t="n">
        <x:f>SUMPRODUCT(G200:J200,$D$22:$G$22)/$H$22</x:f>
        <x:v>0.3230003955610025</x:v>
      </x:c>
      <x:c r="L200" s="54" t="n">
        <x:f>'AD Fees &amp; TLF'!$D$10</x:f>
        <x:v>0.32299999999999995</x:v>
      </x:c>
    </x:row>
    <x:row r="201" ht="18" customHeight="1">
      <x:c r="A201" s="2"/>
      <x:c r="B201" s="2"/>
      <x:c r="C201" s="2" t="n">
        <x:v>24</x:v>
      </x:c>
      <x:c r="D201" s="53" t="n">
        <x:f>IF(K200&lt;L200,F200,D200)</x:f>
        <x:v>-0.3517913818359375</x:v>
      </x:c>
      <x:c r="E201" s="53" t="n">
        <x:f>IF(K200&lt;L200,E200,F200)</x:f>
        <x:v>-0.3517894744873047</x:v>
      </x:c>
      <x:c r="F201" s="53" t="n">
        <x:f>(D201+E201)/2</x:f>
        <x:v>-0.3517904281616211</x:v>
      </x:c>
      <x:c r="G201" s="54" t="n">
        <x:f>NORMDIST($F201-'Vehicle Economics'!$D$16,0,1,TRUE)</x:f>
        <x:v>0.36249771875919434</x:v>
      </x:c>
      <x:c r="H201" s="54" t="n">
        <x:f>NORMDIST($F201-'Vehicle Economics'!$E$16,0,1,TRUE)</x:f>
        <x:v>0.27235404115659906</x:v>
      </x:c>
      <x:c r="I201" s="54" t="n">
        <x:f>NORMDIST($F201-'Vehicle Economics'!$F$16,0,1,TRUE)</x:f>
        <x:v>0.33065212921686143</x:v>
      </x:c>
      <x:c r="J201" s="54" t="n">
        <x:f>NORMDIST($F201-'Vehicle Economics'!$G$16,0,1,TRUE)</x:f>
        <x:v>0.2669329889996578</x:v>
      </x:c>
      <x:c r="K201" s="53" t="n">
        <x:f>SUMPRODUCT(G201:J201,$D$22:$G$22)/$H$22</x:f>
        <x:v>0.3230000556572916</x:v>
      </x:c>
      <x:c r="L201" s="54" t="n">
        <x:f>'AD Fees &amp; TLF'!$D$10</x:f>
        <x:v>0.32299999999999995</x:v>
      </x:c>
    </x:row>
    <x:row r="202" ht="18" customHeight="1">
      <x:c r="A202" s="2"/>
      <x:c r="B202" s="2"/>
      <x:c r="C202" s="2" t="n">
        <x:v>25</x:v>
      </x:c>
      <x:c r="D202" s="53" t="n">
        <x:f>IF(K201&lt;L201,F201,D201)</x:f>
        <x:v>-0.3517913818359375</x:v>
      </x:c>
      <x:c r="E202" s="53" t="n">
        <x:f>IF(K201&lt;L201,E201,F201)</x:f>
        <x:v>-0.3517904281616211</x:v>
      </x:c>
      <x:c r="F202" s="53" t="n">
        <x:f>(D202+E202)/2</x:f>
        <x:v>-0.3517909049987793</x:v>
      </x:c>
      <x:c r="G202" s="54" t="n">
        <x:f>NORMDIST($F202-'Vehicle Economics'!$D$16,0,1,TRUE)</x:f>
        <x:v>0.3624975399430457</x:v>
      </x:c>
      <x:c r="H202" s="54" t="n">
        <x:f>NORMDIST($F202-'Vehicle Economics'!$E$16,0,1,TRUE)</x:f>
        <x:v>0.2723538828086629</x:v>
      </x:c>
      <x:c r="I202" s="54" t="n">
        <x:f>NORMDIST($F202-'Vehicle Economics'!$F$16,0,1,TRUE)</x:f>
        <x:v>0.3306519563943989</x:v>
      </x:c>
      <x:c r="J202" s="54" t="n">
        <x:f>NORMDIST($F202-'Vehicle Economics'!$G$16,0,1,TRUE)</x:f>
        <x:v>0.2669328322386241</x:v>
      </x:c>
      <x:c r="K202" s="53" t="n">
        <x:f>SUMPRODUCT(G202:J202,$D$22:$G$22)/$H$22</x:f>
        <x:v>0.3229998857054916</x:v>
      </x:c>
      <x:c r="L202" s="54" t="n">
        <x:f>'AD Fees &amp; TLF'!$D$10</x:f>
        <x:v>0.32299999999999995</x:v>
      </x:c>
    </x:row>
    <x:row r="203" ht="18" customHeight="1">
      <x:c r="A203" s="2"/>
      <x:c r="B203" s="2"/>
      <x:c r="C203" s="2" t="n">
        <x:v>26</x:v>
      </x:c>
      <x:c r="D203" s="53" t="n">
        <x:f>IF(K202&lt;L202,F202,D202)</x:f>
        <x:v>-0.3517909049987793</x:v>
      </x:c>
      <x:c r="E203" s="53" t="n">
        <x:f>IF(K202&lt;L202,E202,F202)</x:f>
        <x:v>-0.3517904281616211</x:v>
      </x:c>
      <x:c r="F203" s="53" t="n">
        <x:f>(D203+E203)/2</x:f>
        <x:v>-0.3517906665802002</x:v>
      </x:c>
      <x:c r="G203" s="54" t="n">
        <x:f>NORMDIST($F203-'Vehicle Economics'!$D$16,0,1,TRUE)</x:f>
        <x:v>0.36249762935111635</x:v>
      </x:c>
      <x:c r="H203" s="54" t="n">
        <x:f>NORMDIST($F203-'Vehicle Economics'!$E$16,0,1,TRUE)</x:f>
        <x:v>0.27235396198262524</x:v>
      </x:c>
      <x:c r="I203" s="54" t="n">
        <x:f>NORMDIST($F203-'Vehicle Economics'!$F$16,0,1,TRUE)</x:f>
        <x:v>0.33065204280562566</x:v>
      </x:c>
      <x:c r="J203" s="54" t="n">
        <x:f>NORMDIST($F203-'Vehicle Economics'!$G$16,0,1,TRUE)</x:f>
        <x:v>0.2669329106191351</x:v>
      </x:c>
      <x:c r="K203" s="53" t="n">
        <x:f>SUMPRODUCT(G203:J203,$D$22:$G$22)/$H$22</x:f>
        <x:v>0.32299997068138697</x:v>
      </x:c>
      <x:c r="L203" s="54" t="n">
        <x:f>'AD Fees &amp; TLF'!$D$10</x:f>
        <x:v>0.32299999999999995</x:v>
      </x:c>
    </x:row>
    <x:row r="204" ht="18" customHeight="1">
      <x:c r="A204" s="2"/>
      <x:c r="B204" s="2"/>
      <x:c r="C204" s="2" t="n">
        <x:v>27</x:v>
      </x:c>
      <x:c r="D204" s="53" t="n">
        <x:f>IF(K203&lt;L203,F203,D203)</x:f>
        <x:v>-0.3517906665802002</x:v>
      </x:c>
      <x:c r="E204" s="53" t="n">
        <x:f>IF(K203&lt;L203,E203,F203)</x:f>
        <x:v>-0.3517904281616211</x:v>
      </x:c>
      <x:c r="F204" s="53" t="n">
        <x:f>(D204+E204)/2</x:f>
        <x:v>-0.35179054737091064</x:v>
      </x:c>
      <x:c r="G204" s="54" t="n">
        <x:f>NORMDIST($F204-'Vehicle Economics'!$D$16,0,1,TRUE)</x:f>
        <x:v>0.36249767405515443</x:v>
      </x:c>
      <x:c r="H204" s="54" t="n">
        <x:f>NORMDIST($F204-'Vehicle Economics'!$E$16,0,1,TRUE)</x:f>
        <x:v>0.27235400156961065</x:v>
      </x:c>
      <x:c r="I204" s="54" t="n">
        <x:f>NORMDIST($F204-'Vehicle Economics'!$F$16,0,1,TRUE)</x:f>
        <x:v>0.3306520860112424</x:v>
      </x:c>
      <x:c r="J204" s="54" t="n">
        <x:f>NORMDIST($F204-'Vehicle Economics'!$G$16,0,1,TRUE)</x:f>
        <x:v>0.2669329498093949</x:v>
      </x:c>
      <x:c r="K204" s="53" t="n">
        <x:f>SUMPRODUCT(G204:J204,$D$22:$G$22)/$H$22</x:f>
        <x:v>0.32300001316933813</x:v>
      </x:c>
      <x:c r="L204" s="54" t="n">
        <x:f>'AD Fees &amp; TLF'!$D$10</x:f>
        <x:v>0.32299999999999995</x:v>
      </x:c>
    </x:row>
    <x:row r="205" ht="18" customHeight="1">
      <x:c r="A205" s="2"/>
      <x:c r="B205" s="2"/>
      <x:c r="C205" s="2" t="n">
        <x:v>28</x:v>
      </x:c>
      <x:c r="D205" s="53" t="n">
        <x:f>IF(K204&lt;L204,F204,D204)</x:f>
        <x:v>-0.3517906665802002</x:v>
      </x:c>
      <x:c r="E205" s="53" t="n">
        <x:f>IF(K204&lt;L204,E204,F204)</x:f>
        <x:v>-0.35179054737091064</x:v>
      </x:c>
      <x:c r="F205" s="53" t="n">
        <x:f>(D205+E205)/2</x:f>
        <x:v>-0.3517906069755554</x:v>
      </x:c>
      <x:c r="G205" s="54" t="n">
        <x:f>NORMDIST($F205-'Vehicle Economics'!$D$16,0,1,TRUE)</x:f>
        <x:v>0.3624976517031352</x:v>
      </x:c>
      <x:c r="H205" s="54" t="n">
        <x:f>NORMDIST($F205-'Vehicle Economics'!$E$16,0,1,TRUE)</x:f>
        <x:v>0.2723539817761177</x:v>
      </x:c>
      <x:c r="I205" s="54" t="n">
        <x:f>NORMDIST($F205-'Vehicle Economics'!$F$16,0,1,TRUE)</x:f>
        <x:v>0.3306520644084337</x:v>
      </x:c>
      <x:c r="J205" s="54" t="n">
        <x:f>NORMDIST($F205-'Vehicle Economics'!$G$16,0,1,TRUE)</x:f>
        <x:v>0.2669329302142646</x:v>
      </x:c>
      <x:c r="K205" s="53" t="n">
        <x:f>SUMPRODUCT(G205:J205,$D$22:$G$22)/$H$22</x:f>
        <x:v>0.32299999192536233</x:v>
      </x:c>
      <x:c r="L205" s="54" t="n">
        <x:f>'AD Fees &amp; TLF'!$D$10</x:f>
        <x:v>0.32299999999999995</x:v>
      </x:c>
    </x:row>
    <x:row r="206" ht="18" customHeight="1">
      <x:c r="A206" s="2"/>
      <x:c r="B206" s="2"/>
      <x:c r="C206" s="2" t="n">
        <x:v>29</x:v>
      </x:c>
      <x:c r="D206" s="53" t="n">
        <x:f>IF(K205&lt;L205,F205,D205)</x:f>
        <x:v>-0.3517906069755554</x:v>
      </x:c>
      <x:c r="E206" s="53" t="n">
        <x:f>IF(K205&lt;L205,E205,F205)</x:f>
        <x:v>-0.35179054737091064</x:v>
      </x:c>
      <x:c r="F206" s="53" t="n">
        <x:f>(D206+E206)/2</x:f>
        <x:v>-0.35179057717323303</x:v>
      </x:c>
      <x:c r="G206" s="54" t="n">
        <x:f>NORMDIST($F206-'Vehicle Economics'!$D$16,0,1,TRUE)</x:f>
        <x:v>0.3624976628791447</x:v>
      </x:c>
      <x:c r="H206" s="54" t="n">
        <x:f>NORMDIST($F206-'Vehicle Economics'!$E$16,0,1,TRUE)</x:f>
        <x:v>0.27235399167286406</x:v>
      </x:c>
      <x:c r="I206" s="54" t="n">
        <x:f>NORMDIST($F206-'Vehicle Economics'!$F$16,0,1,TRUE)</x:f>
        <x:v>0.3306520752098381</x:v>
      </x:c>
      <x:c r="J206" s="54" t="n">
        <x:f>NORMDIST($F206-'Vehicle Economics'!$G$16,0,1,TRUE)</x:f>
        <x:v>0.26693294001182966</x:v>
      </x:c>
      <x:c r="K206" s="53" t="n">
        <x:f>SUMPRODUCT(G206:J206,$D$22:$G$22)/$H$22</x:f>
        <x:v>0.3230000025473501</x:v>
      </x:c>
      <x:c r="L206" s="54" t="n">
        <x:f>'AD Fees &amp; TLF'!$D$10</x:f>
        <x:v>0.32299999999999995</x:v>
      </x:c>
    </x:row>
    <x:row r="207" ht="18" customHeight="1">
      <x:c r="A207" s="2"/>
      <x:c r="B207" s="2"/>
      <x:c r="C207" s="2" t="n">
        <x:v>30</x:v>
      </x:c>
      <x:c r="D207" s="53" t="n">
        <x:f>IF(K206&lt;L206,F206,D206)</x:f>
        <x:v>-0.3517906069755554</x:v>
      </x:c>
      <x:c r="E207" s="53" t="n">
        <x:f>IF(K206&lt;L206,E206,F206)</x:f>
        <x:v>-0.35179057717323303</x:v>
      </x:c>
      <x:c r="F207" s="53" t="n">
        <x:f>(D207+E207)/2</x:f>
        <x:v>-0.3517905920743942</x:v>
      </x:c>
      <x:c r="G207" s="54" t="n">
        <x:f>NORMDIST($F207-'Vehicle Economics'!$D$16,0,1,TRUE)</x:f>
        <x:v>0.36249765729114</x:v>
      </x:c>
      <x:c r="H207" s="54" t="n">
        <x:f>NORMDIST($F207-'Vehicle Economics'!$E$16,0,1,TRUE)</x:f>
        <x:v>0.2723539867244908</x:v>
      </x:c>
      <x:c r="I207" s="54" t="n">
        <x:f>NORMDIST($F207-'Vehicle Economics'!$F$16,0,1,TRUE)</x:f>
        <x:v>0.33065206980913586</x:v>
      </x:c>
      <x:c r="J207" s="54" t="n">
        <x:f>NORMDIST($F207-'Vehicle Economics'!$G$16,0,1,TRUE)</x:f>
        <x:v>0.26693293511304717</x:v>
      </x:c>
      <x:c r="K207" s="53" t="n">
        <x:f>SUMPRODUCT(G207:J207,$D$22:$G$22)/$H$22</x:f>
        <x:v>0.32299999723635625</x:v>
      </x:c>
      <x:c r="L207" s="54" t="n">
        <x:f>'AD Fees &amp; TLF'!$D$10</x:f>
        <x:v>0.32299999999999995</x:v>
      </x:c>
    </x:row>
    <x:row r="208" ht="18" customHeight="1">
      <x:c r="A208" s="2"/>
      <x:c r="B208" s="2"/>
      <x:c r="C208" s="2" t="n">
        <x:v>31</x:v>
      </x:c>
      <x:c r="D208" s="53" t="n">
        <x:f>IF(K207&lt;L207,F207,D207)</x:f>
        <x:v>-0.3517905920743942</x:v>
      </x:c>
      <x:c r="E208" s="53" t="n">
        <x:f>IF(K207&lt;L207,E207,F207)</x:f>
        <x:v>-0.35179057717323303</x:v>
      </x:c>
      <x:c r="F208" s="53" t="n">
        <x:f>(D208+E208)/2</x:f>
        <x:v>-0.35179058462381363</x:v>
      </x:c>
      <x:c r="G208" s="54" t="n">
        <x:f>NORMDIST($F208-'Vehicle Economics'!$D$16,0,1,TRUE)</x:f>
        <x:v>0.36249766008514234</x:v>
      </x:c>
      <x:c r="H208" s="54" t="n">
        <x:f>NORMDIST($F208-'Vehicle Economics'!$E$16,0,1,TRUE)</x:f>
        <x:v>0.2723539891986775</x:v>
      </x:c>
      <x:c r="I208" s="54" t="n">
        <x:f>NORMDIST($F208-'Vehicle Economics'!$F$16,0,1,TRUE)</x:f>
        <x:v>0.3306520725094868</x:v>
      </x:c>
      <x:c r="J208" s="54" t="n">
        <x:f>NORMDIST($F208-'Vehicle Economics'!$G$16,0,1,TRUE)</x:f>
        <x:v>0.2669329375624384</x:v>
      </x:c>
      <x:c r="K208" s="53" t="n">
        <x:f>SUMPRODUCT(G208:J208,$D$22:$G$22)/$H$22</x:f>
        <x:v>0.3229999998918532</x:v>
      </x:c>
      <x:c r="L208" s="54" t="n">
        <x:f>'AD Fees &amp; TLF'!$D$10</x:f>
        <x:v>0.32299999999999995</x:v>
      </x:c>
    </x:row>
    <x:row r="209" ht="18" customHeight="1">
      <x:c r="A209" s="2"/>
      <x:c r="B209" s="2"/>
      <x:c r="C209" s="2" t="n">
        <x:v>32</x:v>
      </x:c>
      <x:c r="D209" s="53" t="n">
        <x:f>IF(K208&lt;L208,F208,D208)</x:f>
        <x:v>-0.35179058462381363</x:v>
      </x:c>
      <x:c r="E209" s="53" t="n">
        <x:f>IF(K208&lt;L208,E208,F208)</x:f>
        <x:v>-0.35179057717323303</x:v>
      </x:c>
      <x:c r="F209" s="53" t="n">
        <x:f>(D209+E209)/2</x:f>
        <x:v>-0.35179058089852333</x:v>
      </x:c>
      <x:c r="G209" s="54" t="n">
        <x:f>NORMDIST($F209-'Vehicle Economics'!$D$16,0,1,TRUE)</x:f>
        <x:v>0.3624976614821436</x:v>
      </x:c>
      <x:c r="H209" s="54" t="n">
        <x:f>NORMDIST($F209-'Vehicle Economics'!$E$16,0,1,TRUE)</x:f>
        <x:v>0.2723539904357708</x:v>
      </x:c>
      <x:c r="I209" s="54" t="n">
        <x:f>NORMDIST($F209-'Vehicle Economics'!$F$16,0,1,TRUE)</x:f>
        <x:v>0.3306520738596624</x:v>
      </x:c>
      <x:c r="J209" s="54" t="n">
        <x:f>NORMDIST($F209-'Vehicle Economics'!$G$16,0,1,TRUE)</x:f>
        <x:v>0.26693293878713403</x:v>
      </x:c>
      <x:c r="K209" s="53" t="n">
        <x:f>SUMPRODUCT(G209:J209,$D$22:$G$22)/$H$22</x:f>
        <x:v>0.3230000012196017</x:v>
      </x:c>
      <x:c r="L209" s="54" t="n">
        <x:f>'AD Fees &amp; TLF'!$D$10</x:f>
        <x:v>0.32299999999999995</x:v>
      </x:c>
    </x:row>
    <x:row r="210" ht="18" customHeight="1">
      <x:c r="A210" s="2"/>
      <x:c r="B210" s="2"/>
      <x:c r="C210" s="2"/>
      <x:c r="D210" s="52"/>
      <x:c r="E210" s="52"/>
      <x:c r="F210" s="52"/>
      <x:c r="G210" s="52"/>
      <x:c r="H210" s="52"/>
      <x:c r="I210" s="52"/>
      <x:c r="J210" s="52"/>
      <x:c r="K210" s="52"/>
      <x:c r="L210" s="52"/>
    </x:row>
    <x:row r="211" ht="18" customHeight="1">
      <x:c r="A211" s="2"/>
      <x:c r="B211" s="2"/>
      <x:c r="C211" s="2"/>
      <x:c r="D211" s="52"/>
      <x:c r="E211" s="52"/>
      <x:c r="F211" s="52"/>
      <x:c r="G211" s="52"/>
      <x:c r="H211" s="52"/>
      <x:c r="I211" s="52"/>
      <x:c r="J211" s="52"/>
      <x:c r="K211" s="52"/>
      <x:c r="L211" s="52"/>
    </x:row>
    <x:row r="212" ht="18" customHeight="1">
      <x:c r="A212" s="2"/>
      <x:c r="B212" s="2"/>
      <x:c r="C212" s="2"/>
      <x:c r="D212" s="52"/>
      <x:c r="E212" s="52"/>
      <x:c r="F212" s="52"/>
      <x:c r="G212" s="52"/>
      <x:c r="H212" s="52"/>
      <x:c r="I212" s="52"/>
      <x:c r="J212" s="52"/>
      <x:c r="K212" s="52"/>
      <x:c r="L212" s="52"/>
    </x:row>
    <x:row r="213" ht="21" customHeight="1">
      <x:c r="A213" s="2"/>
      <x:c r="B213" s="2"/>
      <x:c r="C213" s="9" t="str">
        <x:v>13+: bisection solve</x:v>
      </x:c>
      <x:c r="D213" s="55"/>
      <x:c r="E213" s="55"/>
      <x:c r="F213" s="55"/>
      <x:c r="G213" s="55"/>
      <x:c r="H213" s="55"/>
      <x:c r="I213" s="55"/>
      <x:c r="J213" s="55"/>
      <x:c r="K213" s="55"/>
      <x:c r="L213" s="55"/>
    </x:row>
    <x:row r="214" ht="29" customHeight="1">
      <x:c r="A214" s="2"/>
      <x:c r="B214" s="2"/>
      <x:c r="C214" s="10" t="str">
        <x:v>Iteration</x:v>
      </x:c>
      <x:c r="D214" s="56" t="str">
        <x:v>Lower</x:v>
      </x:c>
      <x:c r="E214" s="56" t="str">
        <x:v>Upper</x:v>
      </x:c>
      <x:c r="F214" s="56" t="str">
        <x:v>Index</x:v>
      </x:c>
      <x:c r="G214" s="56" t="str">
        <x:v>Car P</x:v>
      </x:c>
      <x:c r="H214" s="56" t="str">
        <x:v>SUV P</x:v>
      </x:c>
      <x:c r="I214" s="56" t="str">
        <x:v>Pickup P</x:v>
      </x:c>
      <x:c r="J214" s="56" t="str">
        <x:v>Van P</x:v>
      </x:c>
      <x:c r="K214" s="56" t="str">
        <x:v>Weighted P</x:v>
      </x:c>
      <x:c r="L214" s="56" t="str">
        <x:v>Target</x:v>
      </x:c>
    </x:row>
    <x:row r="215" ht="18" customHeight="1">
      <x:c r="A215" s="2"/>
      <x:c r="B215" s="2"/>
      <x:c r="C215" s="2" t="n">
        <x:v>1</x:v>
      </x:c>
      <x:c r="D215" s="52" t="n">
        <x:v>-8</x:v>
      </x:c>
      <x:c r="E215" s="52" t="n">
        <x:v>8</x:v>
      </x:c>
      <x:c r="F215" s="53" t="n">
        <x:f>(D215+E215)/2</x:f>
        <x:v>0</x:v>
      </x:c>
      <x:c r="G215" s="54" t="n">
        <x:f>NORMDIST($F215-'Vehicle Economics'!$D$16,0,1,TRUE)</x:f>
        <x:v>0.5</x:v>
      </x:c>
      <x:c r="H215" s="54" t="n">
        <x:f>NORMDIST($F215-'Vehicle Economics'!$E$16,0,1,TRUE)</x:f>
        <x:v>0.3997792773780073</x:v>
      </x:c>
      <x:c r="I215" s="54" t="n">
        <x:f>NORMDIST($F215-'Vehicle Economics'!$F$16,0,1,TRUE)</x:f>
        <x:v>0.4656049360893372</x:v>
      </x:c>
      <x:c r="J215" s="54" t="n">
        <x:f>NORMDIST($F215-'Vehicle Economics'!$G$16,0,1,TRUE)</x:f>
        <x:v>0.3934551210988128</x:v>
      </x:c>
      <x:c r="K215" s="53" t="n">
        <x:f>SUMPRODUCT(G215:J215,$D$23:$G$23)/$H$23</x:f>
        <x:v>0.45823839606066186</x:v>
      </x:c>
      <x:c r="L215" s="54" t="n">
        <x:f>'AD Fees &amp; TLF'!$D$11</x:f>
        <x:v>0.45299999999999996</x:v>
      </x:c>
    </x:row>
    <x:row r="216" ht="18" customHeight="1">
      <x:c r="A216" s="2"/>
      <x:c r="B216" s="2"/>
      <x:c r="C216" s="2" t="n">
        <x:v>2</x:v>
      </x:c>
      <x:c r="D216" s="53" t="n">
        <x:f>IF(K215&lt;L215,F215,D215)</x:f>
        <x:v>-8</x:v>
      </x:c>
      <x:c r="E216" s="53" t="n">
        <x:f>IF(K215&lt;L215,E215,F215)</x:f>
        <x:v>0</x:v>
      </x:c>
      <x:c r="F216" s="53" t="n">
        <x:f>(D216+E216)/2</x:f>
        <x:v>-4</x:v>
      </x:c>
      <x:c r="G216" s="54" t="n">
        <x:f>NORMDIST($F216-'Vehicle Economics'!$D$16,0,1,TRUE)</x:f>
        <x:v>0.00003167124183311998</x:v>
      </x:c>
      <x:c r="H216" s="54" t="n">
        <x:f>NORMDIST($F216-'Vehicle Economics'!$E$16,0,1,TRUE)</x:f>
        <x:v>0.000010503091136260245</x:v>
      </x:c>
      <x:c r="I216" s="54" t="n">
        <x:f>NORMDIST($F216-'Vehicle Economics'!$F$16,0,1,TRUE)</x:f>
        <x:v>0.000021913203029577666</x:v>
      </x:c>
      <x:c r="J216" s="54" t="n">
        <x:f>NORMDIST($F216-'Vehicle Economics'!$G$16,0,1,TRUE)</x:f>
        <x:v>0.00000975941677439085</x:v>
      </x:c>
      <x:c r="K216" s="53" t="n">
        <x:f>SUMPRODUCT(G216:J216,$D$23:$G$23)/$H$23</x:f>
        <x:v>0.00002264576974639704</x:v>
      </x:c>
      <x:c r="L216" s="54" t="n">
        <x:f>'AD Fees &amp; TLF'!$D$11</x:f>
        <x:v>0.45299999999999996</x:v>
      </x:c>
    </x:row>
    <x:row r="217" ht="18" customHeight="1">
      <x:c r="A217" s="2"/>
      <x:c r="B217" s="2"/>
      <x:c r="C217" s="2" t="n">
        <x:v>3</x:v>
      </x:c>
      <x:c r="D217" s="53" t="n">
        <x:f>IF(K216&lt;L216,F216,D216)</x:f>
        <x:v>-4</x:v>
      </x:c>
      <x:c r="E217" s="53" t="n">
        <x:f>IF(K216&lt;L216,E216,F216)</x:f>
        <x:v>0</x:v>
      </x:c>
      <x:c r="F217" s="53" t="n">
        <x:f>(D217+E217)/2</x:f>
        <x:v>-2</x:v>
      </x:c>
      <x:c r="G217" s="54" t="n">
        <x:f>NORMDIST($F217-'Vehicle Economics'!$D$16,0,1,TRUE)</x:f>
        <x:v>0.02275013194817921</x:v>
      </x:c>
      <x:c r="H217" s="54" t="n">
        <x:f>NORMDIST($F217-'Vehicle Economics'!$E$16,0,1,TRUE)</x:f>
        <x:v>0.012100649135212083</x:v>
      </x:c>
      <x:c r="I217" s="54" t="n">
        <x:f>NORMDIST($F217-'Vehicle Economics'!$F$16,0,1,TRUE)</x:f>
        <x:v>0.018474699658395266</x:v>
      </x:c>
      <x:c r="J217" s="54" t="n">
        <x:f>NORMDIST($F217-'Vehicle Economics'!$G$16,0,1,TRUE)</x:f>
        <x:v>0.011593935975388714</x:v>
      </x:c>
      <x:c r="K217" s="53" t="n">
        <x:f>SUMPRODUCT(G217:J217,$D$23:$G$23)/$H$23</x:f>
        <x:v>0.018262266378442714</x:v>
      </x:c>
      <x:c r="L217" s="54" t="n">
        <x:f>'AD Fees &amp; TLF'!$D$11</x:f>
        <x:v>0.45299999999999996</x:v>
      </x:c>
    </x:row>
    <x:row r="218" ht="18" customHeight="1">
      <x:c r="A218" s="2"/>
      <x:c r="B218" s="2"/>
      <x:c r="C218" s="2" t="n">
        <x:v>4</x:v>
      </x:c>
      <x:c r="D218" s="53" t="n">
        <x:f>IF(K217&lt;L217,F217,D217)</x:f>
        <x:v>-2</x:v>
      </x:c>
      <x:c r="E218" s="53" t="n">
        <x:f>IF(K217&lt;L217,E217,F217)</x:f>
        <x:v>0</x:v>
      </x:c>
      <x:c r="F218" s="53" t="n">
        <x:f>(D218+E218)/2</x:f>
        <x:v>-1</x:v>
      </x:c>
      <x:c r="G218" s="54" t="n">
        <x:f>NORMDIST($F218-'Vehicle Economics'!$D$16,0,1,TRUE)</x:f>
        <x:v>0.15865525393145707</x:v>
      </x:c>
      <x:c r="H218" s="54" t="n">
        <x:f>NORMDIST($F218-'Vehicle Economics'!$E$16,0,1,TRUE)</x:f>
        <x:v>0.10493582268156831</x:v>
      </x:c>
      <x:c r="I218" s="54" t="n">
        <x:f>NORMDIST($F218-'Vehicle Economics'!$F$16,0,1,TRUE)</x:f>
        <x:v>0.13866811769162857</x:v>
      </x:c>
      <x:c r="J218" s="54" t="n">
        <x:f>NORMDIST($F218-'Vehicle Economics'!$G$16,0,1,TRUE)</x:f>
        <x:v>0.1019844452045599</x:v>
      </x:c>
      <x:c r="K218" s="53" t="n">
        <x:f>SUMPRODUCT(G218:J218,$D$23:$G$23)/$H$23</x:f>
        <x:v>0.13614594341068473</x:v>
      </x:c>
      <x:c r="L218" s="54" t="n">
        <x:f>'AD Fees &amp; TLF'!$D$11</x:f>
        <x:v>0.45299999999999996</x:v>
      </x:c>
    </x:row>
    <x:row r="219" ht="18" customHeight="1">
      <x:c r="A219" s="2"/>
      <x:c r="B219" s="2"/>
      <x:c r="C219" s="2" t="n">
        <x:v>5</x:v>
      </x:c>
      <x:c r="D219" s="53" t="n">
        <x:f>IF(K218&lt;L218,F218,D218)</x:f>
        <x:v>-1</x:v>
      </x:c>
      <x:c r="E219" s="53" t="n">
        <x:f>IF(K218&lt;L218,E218,F218)</x:f>
        <x:v>0</x:v>
      </x:c>
      <x:c r="F219" s="53" t="n">
        <x:f>(D219+E219)/2</x:f>
        <x:v>-0.5</x:v>
      </x:c>
      <x:c r="G219" s="54" t="n">
        <x:f>NORMDIST($F219-'Vehicle Economics'!$D$16,0,1,TRUE)</x:f>
        <x:v>0.3085375387259869</x:v>
      </x:c>
      <x:c r="H219" s="54" t="n">
        <x:f>NORMDIST($F219-'Vehicle Economics'!$E$16,0,1,TRUE)</x:f>
        <x:v>0.22544909328126578</x:v>
      </x:c>
      <x:c r="I219" s="54" t="n">
        <x:f>NORMDIST($F219-'Vehicle Economics'!$F$16,0,1,TRUE)</x:f>
        <x:v>0.27882933049916064</x:v>
      </x:c>
      <x:c r="J219" s="54" t="n">
        <x:f>NORMDIST($F219-'Vehicle Economics'!$G$16,0,1,TRUE)</x:f>
        <x:v>0.22055356832755285</x:v>
      </x:c>
      <x:c r="K219" s="53" t="n">
        <x:f>SUMPRODUCT(G219:J219,$D$23:$G$23)/$H$23</x:f>
        <x:v>0.2738194563787741</x:v>
      </x:c>
      <x:c r="L219" s="54" t="n">
        <x:f>'AD Fees &amp; TLF'!$D$11</x:f>
        <x:v>0.45299999999999996</x:v>
      </x:c>
    </x:row>
    <x:row r="220" ht="18" customHeight="1">
      <x:c r="A220" s="2"/>
      <x:c r="B220" s="2"/>
      <x:c r="C220" s="2" t="n">
        <x:v>6</x:v>
      </x:c>
      <x:c r="D220" s="53" t="n">
        <x:f>IF(K219&lt;L219,F219,D219)</x:f>
        <x:v>-0.5</x:v>
      </x:c>
      <x:c r="E220" s="53" t="n">
        <x:f>IF(K219&lt;L219,E219,F219)</x:f>
        <x:v>0</x:v>
      </x:c>
      <x:c r="F220" s="53" t="n">
        <x:f>(D220+E220)/2</x:f>
        <x:v>-0.25</x:v>
      </x:c>
      <x:c r="G220" s="54" t="n">
        <x:f>NORMDIST($F220-'Vehicle Economics'!$D$16,0,1,TRUE)</x:f>
        <x:v>0.40129367431707624</x:v>
      </x:c>
      <x:c r="H220" s="54" t="n">
        <x:f>NORMDIST($F220-'Vehicle Economics'!$E$16,0,1,TRUE)</x:f>
        <x:v>0.3071593396726585</x:v>
      </x:c>
      <x:c r="I220" s="54" t="n">
        <x:f>NORMDIST($F220-'Vehicle Economics'!$F$16,0,1,TRUE)</x:f>
        <x:v>0.36831375663016996</x:v>
      </x:c>
      <x:c r="J220" s="54" t="n">
        <x:f>NORMDIST($F220-'Vehicle Economics'!$G$16,0,1,TRUE)</x:f>
        <x:v>0.3014185408340783</x:v>
      </x:c>
      <x:c r="K220" s="53" t="n">
        <x:f>SUMPRODUCT(G220:J220,$D$23:$G$23)/$H$23</x:f>
        <x:v>0.362014466696977</x:v>
      </x:c>
      <x:c r="L220" s="54" t="n">
        <x:f>'AD Fees &amp; TLF'!$D$11</x:f>
        <x:v>0.45299999999999996</x:v>
      </x:c>
    </x:row>
    <x:row r="221" ht="18" customHeight="1">
      <x:c r="A221" s="2"/>
      <x:c r="B221" s="2"/>
      <x:c r="C221" s="2" t="n">
        <x:v>7</x:v>
      </x:c>
      <x:c r="D221" s="53" t="n">
        <x:f>IF(K220&lt;L220,F220,D220)</x:f>
        <x:v>-0.25</x:v>
      </x:c>
      <x:c r="E221" s="53" t="n">
        <x:f>IF(K220&lt;L220,E220,F220)</x:f>
        <x:v>0</x:v>
      </x:c>
      <x:c r="F221" s="53" t="n">
        <x:f>(D221+E221)/2</x:f>
        <x:v>-0.125</x:v>
      </x:c>
      <x:c r="G221" s="54" t="n">
        <x:f>NORMDIST($F221-'Vehicle Economics'!$D$16,0,1,TRUE)</x:f>
        <x:v>0.45026177516988725</x:v>
      </x:c>
      <x:c r="H221" s="54" t="n">
        <x:f>NORMDIST($F221-'Vehicle Economics'!$E$16,0,1,TRUE)</x:f>
        <x:v>0.3523742085800141</x:v>
      </x:c>
      <x:c r="I221" s="54" t="n">
        <x:f>NORMDIST($F221-'Vehicle Economics'!$F$16,0,1,TRUE)</x:f>
        <x:v>0.4163177247885718</x:v>
      </x:c>
      <x:c r="J221" s="54" t="n">
        <x:f>NORMDIST($F221-'Vehicle Economics'!$G$16,0,1,TRUE)</x:f>
        <x:v>0.3463015297787444</x:v>
      </x:c>
      <x:c r="K221" s="53" t="n">
        <x:f>SUMPRODUCT(G221:J221,$D$23:$G$23)/$H$23</x:f>
        <x:v>0.409444502336197</x:v>
      </x:c>
      <x:c r="L221" s="54" t="n">
        <x:f>'AD Fees &amp; TLF'!$D$11</x:f>
        <x:v>0.45299999999999996</x:v>
      </x:c>
    </x:row>
    <x:row r="222" ht="18" customHeight="1">
      <x:c r="A222" s="2"/>
      <x:c r="B222" s="2"/>
      <x:c r="C222" s="2" t="n">
        <x:v>8</x:v>
      </x:c>
      <x:c r="D222" s="53" t="n">
        <x:f>IF(K221&lt;L221,F221,D221)</x:f>
        <x:v>-0.125</x:v>
      </x:c>
      <x:c r="E222" s="53" t="n">
        <x:f>IF(K221&lt;L221,E221,F221)</x:f>
        <x:v>0</x:v>
      </x:c>
      <x:c r="F222" s="53" t="n">
        <x:f>(D222+E222)/2</x:f>
        <x:v>-0.0625</x:v>
      </x:c>
      <x:c r="G222" s="54" t="n">
        <x:f>NORMDIST($F222-'Vehicle Economics'!$D$16,0,1,TRUE)</x:f>
        <x:v>0.47508233097075275</x:v>
      </x:c>
      <x:c r="H222" s="54" t="n">
        <x:f>NORMDIST($F222-'Vehicle Economics'!$E$16,0,1,TRUE)</x:f>
        <x:v>0.3758424544118211</x:v>
      </x:c>
      <x:c r="I222" s="54" t="n">
        <x:f>NORMDIST($F222-'Vehicle Economics'!$F$16,0,1,TRUE)</x:f>
        <x:v>0.4408467582987492</x:v>
      </x:c>
      <x:c r="J222" s="54" t="n">
        <x:f>NORMDIST($F222-'Vehicle Economics'!$G$16,0,1,TRUE)</x:f>
        <x:v>0.3696331969980442</x:v>
      </x:c>
      <x:c r="K222" s="53" t="n">
        <x:f>SUMPRODUCT(G222:J222,$D$23:$G$23)/$H$23</x:f>
        <x:v>0.4337153254558851</x:v>
      </x:c>
      <x:c r="L222" s="54" t="n">
        <x:f>'AD Fees &amp; TLF'!$D$11</x:f>
        <x:v>0.45299999999999996</x:v>
      </x:c>
    </x:row>
    <x:row r="223" ht="18" customHeight="1">
      <x:c r="A223" s="2"/>
      <x:c r="B223" s="2"/>
      <x:c r="C223" s="2" t="n">
        <x:v>9</x:v>
      </x:c>
      <x:c r="D223" s="53" t="n">
        <x:f>IF(K222&lt;L222,F222,D222)</x:f>
        <x:v>-0.0625</x:v>
      </x:c>
      <x:c r="E223" s="53" t="n">
        <x:f>IF(K222&lt;L222,E222,F222)</x:f>
        <x:v>0</x:v>
      </x:c>
      <x:c r="F223" s="53" t="n">
        <x:f>(D223+E223)/2</x:f>
        <x:v>-0.03125</x:v>
      </x:c>
      <x:c r="G223" s="54" t="n">
        <x:f>NORMDIST($F223-'Vehicle Economics'!$D$16,0,1,TRUE)</x:f>
        <x:v>0.4875350825656227</x:v>
      </x:c>
      <x:c r="H223" s="54" t="n">
        <x:f>NORMDIST($F223-'Vehicle Economics'!$E$16,0,1,TRUE)</x:f>
        <x:v>0.38775754225239445</x:v>
      </x:c>
      <x:c r="I223" s="54" t="n">
        <x:f>NORMDIST($F223-'Vehicle Economics'!$F$16,0,1,TRUE)</x:f>
        <x:v>0.45320310776959105</x:v>
      </x:c>
      <x:c r="J223" s="54" t="n">
        <x:f>NORMDIST($F223-'Vehicle Economics'!$G$16,0,1,TRUE)</x:f>
        <x:v>0.38148803827717553</x:v>
      </x:c>
      <x:c r="K223" s="53" t="n">
        <x:f>SUMPRODUCT(G223:J223,$D$23:$G$23)/$H$23</x:f>
        <x:v>0.4459510594485535</x:v>
      </x:c>
      <x:c r="L223" s="54" t="n">
        <x:f>'AD Fees &amp; TLF'!$D$11</x:f>
        <x:v>0.45299999999999996</x:v>
      </x:c>
    </x:row>
    <x:row r="224" ht="18" customHeight="1">
      <x:c r="A224" s="2"/>
      <x:c r="B224" s="2"/>
      <x:c r="C224" s="2" t="n">
        <x:v>10</x:v>
      </x:c>
      <x:c r="D224" s="53" t="n">
        <x:f>IF(K223&lt;L223,F223,D223)</x:f>
        <x:v>-0.03125</x:v>
      </x:c>
      <x:c r="E224" s="53" t="n">
        <x:f>IF(K223&lt;L223,E223,F223)</x:f>
        <x:v>0</x:v>
      </x:c>
      <x:c r="F224" s="53" t="n">
        <x:f>(D224+E224)/2</x:f>
        <x:v>-0.015625</x:v>
      </x:c>
      <x:c r="G224" s="54" t="n">
        <x:f>NORMDIST($F224-'Vehicle Economics'!$D$16,0,1,TRUE)</x:f>
        <x:v>0.4937667805001103</x:v>
      </x:c>
      <x:c r="H224" s="54" t="n">
        <x:f>NORMDIST($F224-'Vehicle Economics'!$E$16,0,1,TRUE)</x:f>
        <x:v>0.3937557523568416</x:v>
      </x:c>
      <x:c r="I224" s="54" t="n">
        <x:f>NORMDIST($F224-'Vehicle Economics'!$F$16,0,1,TRUE)</x:f>
        <x:v>0.459399083209852</x:v>
      </x:c>
      <x:c r="J224" s="54" t="n">
        <x:f>NORMDIST($F224-'Vehicle Economics'!$G$16,0,1,TRUE)</x:f>
        <x:v>0.38745821284467097</x:v>
      </x:c>
      <x:c r="K224" s="53" t="n">
        <x:f>SUMPRODUCT(G224:J224,$D$23:$G$23)/$H$23</x:f>
        <x:v>0.45208900260152274</x:v>
      </x:c>
      <x:c r="L224" s="54" t="n">
        <x:f>'AD Fees &amp; TLF'!$D$11</x:f>
        <x:v>0.45299999999999996</x:v>
      </x:c>
    </x:row>
    <x:row r="225" ht="18" customHeight="1">
      <x:c r="A225" s="2"/>
      <x:c r="B225" s="2"/>
      <x:c r="C225" s="2" t="n">
        <x:v>11</x:v>
      </x:c>
      <x:c r="D225" s="53" t="n">
        <x:f>IF(K224&lt;L224,F224,D224)</x:f>
        <x:v>-0.015625</x:v>
      </x:c>
      <x:c r="E225" s="53" t="n">
        <x:f>IF(K224&lt;L224,E224,F224)</x:f>
        <x:v>0</x:v>
      </x:c>
      <x:c r="F225" s="53" t="n">
        <x:f>(D225+E225)/2</x:f>
        <x:v>-0.0078125</x:v>
      </x:c>
      <x:c r="G225" s="54" t="n">
        <x:f>NORMDIST($F225-'Vehicle Economics'!$D$16,0,1,TRUE)</x:f>
        <x:v>0.49688329513915747</x:v>
      </x:c>
      <x:c r="H225" s="54" t="n">
        <x:f>NORMDIST($F225-'Vehicle Economics'!$E$16,0,1,TRUE)</x:f>
        <x:v>0.39676443569866443</x:v>
      </x:c>
      <x:c r="I225" s="54" t="n">
        <x:f>NORMDIST($F225-'Vehicle Economics'!$F$16,0,1,TRUE)</x:f>
        <x:v>0.4625008686605839</x:v>
      </x:c>
      <x:c r="J225" s="54" t="n">
        <x:f>NORMDIST($F225-'Vehicle Economics'!$G$16,0,1,TRUE)</x:f>
        <x:v>0.39045340924544414</x:v>
      </x:c>
      <x:c r="K225" s="53" t="n">
        <x:f>SUMPRODUCT(G225:J225,$D$23:$G$23)/$H$23</x:f>
        <x:v>0.45516235916673986</x:v>
      </x:c>
      <x:c r="L225" s="54" t="n">
        <x:f>'AD Fees &amp; TLF'!$D$11</x:f>
        <x:v>0.45299999999999996</x:v>
      </x:c>
    </x:row>
    <x:row r="226" ht="18" customHeight="1">
      <x:c r="A226" s="2"/>
      <x:c r="B226" s="2"/>
      <x:c r="C226" s="2" t="n">
        <x:v>12</x:v>
      </x:c>
      <x:c r="D226" s="53" t="n">
        <x:f>IF(K225&lt;L225,F225,D225)</x:f>
        <x:v>-0.015625</x:v>
      </x:c>
      <x:c r="E226" s="53" t="n">
        <x:f>IF(K225&lt;L225,E225,F225)</x:f>
        <x:v>-0.0078125</x:v>
      </x:c>
      <x:c r="F226" s="53" t="n">
        <x:f>(D226+E226)/2</x:f>
        <x:v>-0.01171875</x:v>
      </x:c>
      <x:c r="G226" s="54" t="n">
        <x:f>NORMDIST($F226-'Vehicle Economics'!$D$16,0,1,TRUE)</x:f>
        <x:v>0.4953250021539995</x:v>
      </x:c>
      <x:c r="H226" s="54" t="n">
        <x:f>NORMDIST($F226-'Vehicle Economics'!$E$16,0,1,TRUE)</x:f>
        <x:v>0.395259313542251</x:v>
      </x:c>
      <x:c r="I226" s="54" t="n">
        <x:f>NORMDIST($F226-'Vehicle Economics'!$F$16,0,1,TRUE)</x:f>
        <x:v>0.4609496789594004</x:v>
      </x:c>
      <x:c r="J226" s="54" t="n">
        <x:f>NORMDIST($F226-'Vehicle Economics'!$G$16,0,1,TRUE)</x:f>
        <x:v>0.3889549860692444</x:v>
      </x:c>
      <x:c r="K226" s="53" t="n">
        <x:f>SUMPRODUCT(G226:J226,$D$23:$G$23)/$H$23</x:f>
        <x:v>0.4536253344328916</x:v>
      </x:c>
      <x:c r="L226" s="54" t="n">
        <x:f>'AD Fees &amp; TLF'!$D$11</x:f>
        <x:v>0.45299999999999996</x:v>
      </x:c>
    </x:row>
    <x:row r="227" ht="18" customHeight="1">
      <x:c r="A227" s="2"/>
      <x:c r="B227" s="2"/>
      <x:c r="C227" s="2" t="n">
        <x:v>13</x:v>
      </x:c>
      <x:c r="D227" s="53" t="n">
        <x:f>IF(K226&lt;L226,F226,D226)</x:f>
        <x:v>-0.015625</x:v>
      </x:c>
      <x:c r="E227" s="53" t="n">
        <x:f>IF(K226&lt;L226,E226,F226)</x:f>
        <x:v>-0.01171875</x:v>
      </x:c>
      <x:c r="F227" s="53" t="n">
        <x:f>(D227+E227)/2</x:f>
        <x:v>-0.013671875</x:v>
      </x:c>
      <x:c r="G227" s="54" t="n">
        <x:f>NORMDIST($F227-'Vehicle Economics'!$D$16,0,1,TRUE)</x:f>
        <x:v>0.4945458809248065</x:v>
      </x:c>
      <x:c r="H227" s="54" t="n">
        <x:f>NORMDIST($F227-'Vehicle Economics'!$E$16,0,1,TRUE)</x:f>
        <x:v>0.39450733649529784</x:v>
      </x:c>
      <x:c r="I227" s="54" t="n">
        <x:f>NORMDIST($F227-'Vehicle Economics'!$F$16,0,1,TRUE)</x:f>
        <x:v>0.46017430537605414</x:v>
      </x:c>
      <x:c r="J227" s="54" t="n">
        <x:f>NORMDIST($F227-'Vehicle Economics'!$G$16,0,1,TRUE)</x:f>
        <x:v>0.38820639189897144</x:v>
      </x:c>
      <x:c r="K227" s="53" t="n">
        <x:f>SUMPRODUCT(G227:J227,$D$23:$G$23)/$H$23</x:f>
        <x:v>0.4528570804797989</x:v>
      </x:c>
      <x:c r="L227" s="54" t="n">
        <x:f>'AD Fees &amp; TLF'!$D$11</x:f>
        <x:v>0.45299999999999996</x:v>
      </x:c>
    </x:row>
    <x:row r="228" ht="18" customHeight="1">
      <x:c r="A228" s="2"/>
      <x:c r="B228" s="2"/>
      <x:c r="C228" s="2" t="n">
        <x:v>14</x:v>
      </x:c>
      <x:c r="D228" s="53" t="n">
        <x:f>IF(K227&lt;L227,F227,D227)</x:f>
        <x:v>-0.013671875</x:v>
      </x:c>
      <x:c r="E228" s="53" t="n">
        <x:f>IF(K227&lt;L227,E227,F227)</x:f>
        <x:v>-0.01171875</x:v>
      </x:c>
      <x:c r="F228" s="53" t="n">
        <x:f>(D228+E228)/2</x:f>
        <x:v>-0.0126953125</x:v>
      </x:c>
      <x:c r="G228" s="54" t="n">
        <x:f>NORMDIST($F228-'Vehicle Economics'!$D$16,0,1,TRUE)</x:f>
        <x:v>0.49493543912456245</x:v>
      </x:c>
      <x:c r="H228" s="54" t="n">
        <x:f>NORMDIST($F228-'Vehicle Economics'!$E$16,0,1,TRUE)</x:f>
        <x:v>0.39488327607165064</x:v>
      </x:c>
      <x:c r="I228" s="54" t="n">
        <x:f>NORMDIST($F228-'Vehicle Economics'!$F$16,0,1,TRUE)</x:f>
        <x:v>0.4605619734235949</x:v>
      </x:c>
      <x:c r="J228" s="54" t="n">
        <x:f>NORMDIST($F228-'Vehicle Economics'!$G$16,0,1,TRUE)</x:f>
        <x:v>0.38858063725868575</x:v>
      </x:c>
      <x:c r="K228" s="53" t="n">
        <x:f>SUMPRODUCT(G228:J228,$D$23:$G$23)/$H$23</x:f>
        <x:v>0.4532411856249917</x:v>
      </x:c>
      <x:c r="L228" s="54" t="n">
        <x:f>'AD Fees &amp; TLF'!$D$11</x:f>
        <x:v>0.45299999999999996</x:v>
      </x:c>
    </x:row>
    <x:row r="229" ht="18" customHeight="1">
      <x:c r="A229" s="2"/>
      <x:c r="B229" s="2"/>
      <x:c r="C229" s="2" t="n">
        <x:v>15</x:v>
      </x:c>
      <x:c r="D229" s="53" t="n">
        <x:f>IF(K228&lt;L228,F228,D228)</x:f>
        <x:v>-0.013671875</x:v>
      </x:c>
      <x:c r="E229" s="53" t="n">
        <x:f>IF(K228&lt;L228,E228,F228)</x:f>
        <x:v>-0.0126953125</x:v>
      </x:c>
      <x:c r="F229" s="53" t="n">
        <x:f>(D229+E229)/2</x:f>
        <x:v>-0.01318359375</x:v>
      </x:c>
      <x:c r="G229" s="54" t="n">
        <x:f>NORMDIST($F229-'Vehicle Economics'!$D$16,0,1,TRUE)</x:f>
        <x:v>0.4947406593977587</x:v>
      </x:c>
      <x:c r="H229" s="54" t="n">
        <x:f>NORMDIST($F229-'Vehicle Economics'!$E$16,0,1,TRUE)</x:f>
        <x:v>0.394695294025878</x:v>
      </x:c>
      <x:c r="I229" s="54" t="n">
        <x:f>NORMDIST($F229-'Vehicle Economics'!$F$16,0,1,TRUE)</x:f>
        <x:v>0.4603681346909108</x:v>
      </x:c>
      <x:c r="J229" s="54" t="n">
        <x:f>NORMDIST($F229-'Vehicle Economics'!$G$16,0,1,TRUE)</x:f>
        <x:v>0.3883935016269524</x:v>
      </x:c>
      <x:c r="K229" s="53" t="n">
        <x:f>SUMPRODUCT(G229:J229,$D$23:$G$23)/$H$23</x:f>
        <x:v>0.4530491275723025</x:v>
      </x:c>
      <x:c r="L229" s="54" t="n">
        <x:f>'AD Fees &amp; TLF'!$D$11</x:f>
        <x:v>0.45299999999999996</x:v>
      </x:c>
    </x:row>
    <x:row r="230" ht="18" customHeight="1">
      <x:c r="A230" s="2"/>
      <x:c r="B230" s="2"/>
      <x:c r="C230" s="2" t="n">
        <x:v>16</x:v>
      </x:c>
      <x:c r="D230" s="53" t="n">
        <x:f>IF(K229&lt;L229,F229,D229)</x:f>
        <x:v>-0.013671875</x:v>
      </x:c>
      <x:c r="E230" s="53" t="n">
        <x:f>IF(K229&lt;L229,E229,F229)</x:f>
        <x:v>-0.01318359375</x:v>
      </x:c>
      <x:c r="F230" s="53" t="n">
        <x:f>(D230+E230)/2</x:f>
        <x:v>-0.013427734375</x:v>
      </x:c>
      <x:c r="G230" s="54" t="n">
        <x:f>NORMDIST($F230-'Vehicle Economics'!$D$16,0,1,TRUE)</x:f>
        <x:v>0.4946432700016491</x:v>
      </x:c>
      <x:c r="H230" s="54" t="n">
        <x:f>NORMDIST($F230-'Vehicle Economics'!$E$16,0,1,TRUE)</x:f>
        <x:v>0.39460131219358785</x:v>
      </x:c>
      <x:c r="I230" s="54" t="n">
        <x:f>NORMDIST($F230-'Vehicle Economics'!$F$16,0,1,TRUE)</x:f>
        <x:v>0.46027121885339434</x:v>
      </x:c>
      <x:c r="J230" s="54" t="n">
        <x:f>NORMDIST($F230-'Vehicle Economics'!$G$16,0,1,TRUE)</x:f>
        <x:v>0.3882999435224288</x:v>
      </x:c>
      <x:c r="K230" s="53" t="n">
        <x:f>SUMPRODUCT(G230:J230,$D$23:$G$23)/$H$23</x:f>
        <x:v>0.4529531026532459</x:v>
      </x:c>
      <x:c r="L230" s="54" t="n">
        <x:f>'AD Fees &amp; TLF'!$D$11</x:f>
        <x:v>0.45299999999999996</x:v>
      </x:c>
    </x:row>
    <x:row r="231" ht="18" customHeight="1">
      <x:c r="A231" s="2"/>
      <x:c r="B231" s="2"/>
      <x:c r="C231" s="2" t="n">
        <x:v>17</x:v>
      </x:c>
      <x:c r="D231" s="53" t="n">
        <x:f>IF(K230&lt;L230,F230,D230)</x:f>
        <x:v>-0.013427734375</x:v>
      </x:c>
      <x:c r="E231" s="53" t="n">
        <x:f>IF(K230&lt;L230,E230,F230)</x:f>
        <x:v>-0.01318359375</x:v>
      </x:c>
      <x:c r="F231" s="53" t="n">
        <x:f>(D231+E231)/2</x:f>
        <x:v>-0.0133056640625</x:v>
      </x:c>
      <x:c r="G231" s="54" t="n">
        <x:f>NORMDIST($F231-'Vehicle Economics'!$D$16,0,1,TRUE)</x:f>
        <x:v>0.4946919646601583</x:v>
      </x:c>
      <x:c r="H231" s="54" t="n">
        <x:f>NORMDIST($F231-'Vehicle Economics'!$E$16,0,1,TRUE)</x:f>
        <x:v>0.3946483023433079</x:v>
      </x:c>
      <x:c r="I231" s="54" t="n">
        <x:f>NORMDIST($F231-'Vehicle Economics'!$F$16,0,1,TRUE)</x:f>
        <x:v>0.4603196764774879</x:v>
      </x:c>
      <x:c r="J231" s="54" t="n">
        <x:f>NORMDIST($F231-'Vehicle Economics'!$G$16,0,1,TRUE)</x:f>
        <x:v>0.3883467217648777</x:v>
      </x:c>
      <x:c r="K231" s="53" t="n">
        <x:f>SUMPRODUCT(G231:J231,$D$23:$G$23)/$H$23</x:f>
        <x:v>0.4530011147699206</x:v>
      </x:c>
      <x:c r="L231" s="54" t="n">
        <x:f>'AD Fees &amp; TLF'!$D$11</x:f>
        <x:v>0.45299999999999996</x:v>
      </x:c>
    </x:row>
    <x:row r="232" ht="18" customHeight="1">
      <x:c r="A232" s="2"/>
      <x:c r="B232" s="2"/>
      <x:c r="C232" s="2" t="n">
        <x:v>18</x:v>
      </x:c>
      <x:c r="D232" s="53" t="n">
        <x:f>IF(K231&lt;L231,F231,D231)</x:f>
        <x:v>-0.013427734375</x:v>
      </x:c>
      <x:c r="E232" s="53" t="n">
        <x:f>IF(K231&lt;L231,E231,F231)</x:f>
        <x:v>-0.0133056640625</x:v>
      </x:c>
      <x:c r="F232" s="53" t="n">
        <x:f>(D232+E232)/2</x:f>
        <x:v>-0.01336669921875</x:v>
      </x:c>
      <x:c r="G232" s="54" t="n">
        <x:f>NORMDIST($F232-'Vehicle Economics'!$D$16,0,1,TRUE)</x:f>
        <x:v>0.494667617320972</x:v>
      </x:c>
      <x:c r="H232" s="54" t="n">
        <x:f>NORMDIST($F232-'Vehicle Economics'!$E$16,0,1,TRUE)</x:f>
        <x:v>0.3946248070768009</x:v>
      </x:c>
      <x:c r="I232" s="54" t="n">
        <x:f>NORMDIST($F232-'Vehicle Economics'!$F$16,0,1,TRUE)</x:f>
        <x:v>0.4602954475917304</x:v>
      </x:c>
      <x:c r="J232" s="54" t="n">
        <x:f>NORMDIST($F232-'Vehicle Economics'!$G$16,0,1,TRUE)</x:f>
        <x:v>0.38832333244115996</x:v>
      </x:c>
      <x:c r="K232" s="53" t="n">
        <x:f>SUMPRODUCT(G232:J232,$D$23:$G$23)/$H$23</x:f>
        <x:v>0.45297710862582646</x:v>
      </x:c>
      <x:c r="L232" s="54" t="n">
        <x:f>'AD Fees &amp; TLF'!$D$11</x:f>
        <x:v>0.45299999999999996</x:v>
      </x:c>
    </x:row>
    <x:row r="233" ht="18" customHeight="1">
      <x:c r="A233" s="2"/>
      <x:c r="B233" s="2"/>
      <x:c r="C233" s="2" t="n">
        <x:v>19</x:v>
      </x:c>
      <x:c r="D233" s="53" t="n">
        <x:f>IF(K232&lt;L232,F232,D232)</x:f>
        <x:v>-0.01336669921875</x:v>
      </x:c>
      <x:c r="E233" s="53" t="n">
        <x:f>IF(K232&lt;L232,E232,F232)</x:f>
        <x:v>-0.0133056640625</x:v>
      </x:c>
      <x:c r="F233" s="53" t="n">
        <x:f>(D233+E233)/2</x:f>
        <x:v>-0.013336181640625</x:v>
      </x:c>
      <x:c r="G233" s="54" t="n">
        <x:f>NORMDIST($F233-'Vehicle Economics'!$D$16,0,1,TRUE)</x:f>
        <x:v>0.4946797909880877</x:v>
      </x:c>
      <x:c r="H233" s="54" t="n">
        <x:f>NORMDIST($F233-'Vehicle Economics'!$E$16,0,1,TRUE)</x:f>
        <x:v>0.3946365546621478</x:v>
      </x:c>
      <x:c r="I233" s="54" t="n">
        <x:f>NORMDIST($F233-'Vehicle Economics'!$F$16,0,1,TRUE)</x:f>
        <x:v>0.46030756201618717</x:v>
      </x:c>
      <x:c r="J233" s="54" t="n">
        <x:f>NORMDIST($F233-'Vehicle Economics'!$G$16,0,1,TRUE)</x:f>
        <x:v>0.38833502705240064</x:v>
      </x:c>
      <x:c r="K233" s="53" t="n">
        <x:f>SUMPRODUCT(G233:J233,$D$23:$G$23)/$H$23</x:f>
        <x:v>0.4529891116764397</x:v>
      </x:c>
      <x:c r="L233" s="54" t="n">
        <x:f>'AD Fees &amp; TLF'!$D$11</x:f>
        <x:v>0.45299999999999996</x:v>
      </x:c>
    </x:row>
    <x:row r="234" ht="18" customHeight="1">
      <x:c r="A234" s="2"/>
      <x:c r="B234" s="2"/>
      <x:c r="C234" s="2" t="n">
        <x:v>20</x:v>
      </x:c>
      <x:c r="D234" s="53" t="n">
        <x:f>IF(K233&lt;L233,F233,D233)</x:f>
        <x:v>-0.013336181640625</x:v>
      </x:c>
      <x:c r="E234" s="53" t="n">
        <x:f>IF(K233&lt;L233,E233,F233)</x:f>
        <x:v>-0.0133056640625</x:v>
      </x:c>
      <x:c r="F234" s="53" t="n">
        <x:f>(D234+E234)/2</x:f>
        <x:v>-0.0133209228515625</x:v>
      </x:c>
      <x:c r="G234" s="54" t="n">
        <x:f>NORMDIST($F234-'Vehicle Economics'!$D$16,0,1,TRUE)</x:f>
        <x:v>0.4946858778235044</x:v>
      </x:c>
      <x:c r="H234" s="54" t="n">
        <x:f>NORMDIST($F234-'Vehicle Economics'!$E$16,0,1,TRUE)</x:f>
        <x:v>0.3946424284907517</x:v>
      </x:c>
      <x:c r="I234" s="54" t="n">
        <x:f>NORMDIST($F234-'Vehicle Economics'!$F$16,0,1,TRUE)</x:f>
        <x:v>0.46031361924223285</x:v>
      </x:c>
      <x:c r="J234" s="54" t="n">
        <x:f>NORMDIST($F234-'Vehicle Economics'!$G$16,0,1,TRUE)</x:f>
        <x:v>0.388340874395985</x:v>
      </x:c>
      <x:c r="K234" s="53" t="n">
        <x:f>SUMPRODUCT(G234:J234,$D$23:$G$23)/$H$23</x:f>
        <x:v>0.4529951132178224</x:v>
      </x:c>
      <x:c r="L234" s="54" t="n">
        <x:f>'AD Fees &amp; TLF'!$D$11</x:f>
        <x:v>0.45299999999999996</x:v>
      </x:c>
    </x:row>
    <x:row r="235" ht="18" customHeight="1">
      <x:c r="A235" s="2"/>
      <x:c r="B235" s="2"/>
      <x:c r="C235" s="2" t="n">
        <x:v>21</x:v>
      </x:c>
      <x:c r="D235" s="53" t="n">
        <x:f>IF(K234&lt;L234,F234,D234)</x:f>
        <x:v>-0.0133209228515625</x:v>
      </x:c>
      <x:c r="E235" s="53" t="n">
        <x:f>IF(K234&lt;L234,E234,F234)</x:f>
        <x:v>-0.0133056640625</x:v>
      </x:c>
      <x:c r="F235" s="53" t="n">
        <x:f>(D235+E235)/2</x:f>
        <x:v>-0.01331329345703125</x:v>
      </x:c>
      <x:c r="G235" s="54" t="n">
        <x:f>NORMDIST($F235-'Vehicle Economics'!$D$16,0,1,TRUE)</x:f>
        <x:v>0.4946889212416767</x:v>
      </x:c>
      <x:c r="H235" s="54" t="n">
        <x:f>NORMDIST($F235-'Vehicle Economics'!$E$16,0,1,TRUE)</x:f>
        <x:v>0.39464536541403594</x:v>
      </x:c>
      <x:c r="I235" s="54" t="n">
        <x:f>NORMDIST($F235-'Vehicle Economics'!$F$16,0,1,TRUE)</x:f>
        <x:v>0.46031664785870946</x:v>
      </x:c>
      <x:c r="J235" s="54" t="n">
        <x:f>NORMDIST($F235-'Vehicle Economics'!$G$16,0,1,TRUE)</x:f>
        <x:v>0.38834379807726804</x:v>
      </x:c>
      <x:c r="K235" s="53" t="n">
        <x:f>SUMPRODUCT(G235:J235,$D$23:$G$23)/$H$23</x:f>
        <x:v>0.45299811399253215</x:v>
      </x:c>
      <x:c r="L235" s="54" t="n">
        <x:f>'AD Fees &amp; TLF'!$D$11</x:f>
        <x:v>0.45299999999999996</x:v>
      </x:c>
    </x:row>
    <x:row r="236" ht="18" customHeight="1">
      <x:c r="A236" s="2"/>
      <x:c r="B236" s="2"/>
      <x:c r="C236" s="2" t="n">
        <x:v>22</x:v>
      </x:c>
      <x:c r="D236" s="53" t="n">
        <x:f>IF(K235&lt;L235,F235,D235)</x:f>
        <x:v>-0.01331329345703125</x:v>
      </x:c>
      <x:c r="E236" s="53" t="n">
        <x:f>IF(K235&lt;L235,E235,F235)</x:f>
        <x:v>-0.0133056640625</x:v>
      </x:c>
      <x:c r="F236" s="53" t="n">
        <x:f>(D236+E236)/2</x:f>
        <x:v>-0.013309478759765625</x:v>
      </x:c>
      <x:c r="G236" s="54" t="n">
        <x:f>NORMDIST($F236-'Vehicle Economics'!$D$16,0,1,TRUE)</x:f>
        <x:v>0.4946904429508789</x:v>
      </x:c>
      <x:c r="H236" s="54" t="n">
        <x:f>NORMDIST($F236-'Vehicle Economics'!$E$16,0,1,TRUE)</x:f>
        <x:v>0.39464683387792343</x:v>
      </x:c>
      <x:c r="I236" s="54" t="n">
        <x:f>NORMDIST($F236-'Vehicle Economics'!$F$16,0,1,TRUE)</x:f>
        <x:v>0.460318162167811</x:v>
      </x:c>
      <x:c r="J236" s="54" t="n">
        <x:f>NORMDIST($F236-'Vehicle Economics'!$G$16,0,1,TRUE)</x:f>
        <x:v>0.38834525992028196</x:v>
      </x:c>
      <x:c r="K236" s="53" t="n">
        <x:f>SUMPRODUCT(G236:J236,$D$23:$G$23)/$H$23</x:f>
        <x:v>0.45299961438089154</x:v>
      </x:c>
      <x:c r="L236" s="54" t="n">
        <x:f>'AD Fees &amp; TLF'!$D$11</x:f>
        <x:v>0.45299999999999996</x:v>
      </x:c>
    </x:row>
    <x:row r="237" ht="18" customHeight="1">
      <x:c r="A237" s="2"/>
      <x:c r="B237" s="2"/>
      <x:c r="C237" s="2" t="n">
        <x:v>23</x:v>
      </x:c>
      <x:c r="D237" s="53" t="n">
        <x:f>IF(K236&lt;L236,F236,D236)</x:f>
        <x:v>-0.013309478759765625</x:v>
      </x:c>
      <x:c r="E237" s="53" t="n">
        <x:f>IF(K236&lt;L236,E236,F236)</x:f>
        <x:v>-0.0133056640625</x:v>
      </x:c>
      <x:c r="F237" s="53" t="n">
        <x:f>(D237+E237)/2</x:f>
        <x:v>-0.013307571411132812</x:v>
      </x:c>
      <x:c r="G237" s="54" t="n">
        <x:f>NORMDIST($F237-'Vehicle Economics'!$D$16,0,1,TRUE)</x:f>
        <x:v>0.49469120380550885</x:v>
      </x:c>
      <x:c r="H237" s="54" t="n">
        <x:f>NORMDIST($F237-'Vehicle Economics'!$E$16,0,1,TRUE)</x:f>
        <x:v>0.39464756811042845</x:v>
      </x:c>
      <x:c r="I237" s="54" t="n">
        <x:f>NORMDIST($F237-'Vehicle Economics'!$F$16,0,1,TRUE)</x:f>
        <x:v>0.46031891932257735</x:v>
      </x:c>
      <x:c r="J237" s="54" t="n">
        <x:f>NORMDIST($F237-'Vehicle Economics'!$G$16,0,1,TRUE)</x:f>
        <x:v>0.3883459908423822</x:v>
      </x:c>
      <x:c r="K237" s="53" t="n">
        <x:f>SUMPRODUCT(G237:J237,$D$23:$G$23)/$H$23</x:f>
        <x:v>0.4530003645753223</x:v>
      </x:c>
      <x:c r="L237" s="54" t="n">
        <x:f>'AD Fees &amp; TLF'!$D$11</x:f>
        <x:v>0.45299999999999996</x:v>
      </x:c>
    </x:row>
    <x:row r="238" ht="18" customHeight="1">
      <x:c r="A238" s="2"/>
      <x:c r="B238" s="2"/>
      <x:c r="C238" s="2" t="n">
        <x:v>24</x:v>
      </x:c>
      <x:c r="D238" s="53" t="n">
        <x:f>IF(K237&lt;L237,F237,D237)</x:f>
        <x:v>-0.013309478759765625</x:v>
      </x:c>
      <x:c r="E238" s="53" t="n">
        <x:f>IF(K237&lt;L237,E237,F237)</x:f>
        <x:v>-0.013307571411132812</x:v>
      </x:c>
      <x:c r="F238" s="53" t="n">
        <x:f>(D238+E238)/2</x:f>
        <x:v>-0.013308525085449219</x:v>
      </x:c>
      <x:c r="G238" s="54" t="n">
        <x:f>NORMDIST($F238-'Vehicle Economics'!$D$16,0,1,TRUE)</x:f>
        <x:v>0.4946908233781915</x:v>
      </x:c>
      <x:c r="H238" s="54" t="n">
        <x:f>NORMDIST($F238-'Vehicle Economics'!$E$16,0,1,TRUE)</x:f>
        <x:v>0.3946472009941292</x:v>
      </x:c>
      <x:c r="I238" s="54" t="n">
        <x:f>NORMDIST($F238-'Vehicle Economics'!$F$16,0,1,TRUE)</x:f>
        <x:v>0.46031854074517625</x:v>
      </x:c>
      <x:c r="J238" s="54" t="n">
        <x:f>NORMDIST($F238-'Vehicle Economics'!$G$16,0,1,TRUE)</x:f>
        <x:v>0.38834562538128264</x:v>
      </x:c>
      <x:c r="K238" s="53" t="n">
        <x:f>SUMPRODUCT(G238:J238,$D$23:$G$23)/$H$23</x:f>
        <x:v>0.45299998947808606</x:v>
      </x:c>
      <x:c r="L238" s="54" t="n">
        <x:f>'AD Fees &amp; TLF'!$D$11</x:f>
        <x:v>0.45299999999999996</x:v>
      </x:c>
    </x:row>
    <x:row r="239" ht="18" customHeight="1">
      <x:c r="A239" s="2"/>
      <x:c r="B239" s="2"/>
      <x:c r="C239" s="2" t="n">
        <x:v>25</x:v>
      </x:c>
      <x:c r="D239" s="53" t="n">
        <x:f>IF(K238&lt;L238,F238,D238)</x:f>
        <x:v>-0.013308525085449219</x:v>
      </x:c>
      <x:c r="E239" s="53" t="n">
        <x:f>IF(K238&lt;L238,E238,F238)</x:f>
        <x:v>-0.013307571411132812</x:v>
      </x:c>
      <x:c r="F239" s="53" t="n">
        <x:f>(D239+E239)/2</x:f>
        <x:v>-0.013308048248291016</x:v>
      </x:c>
      <x:c r="G239" s="54" t="n">
        <x:f>NORMDIST($F239-'Vehicle Economics'!$D$16,0,1,TRUE)</x:f>
        <x:v>0.4946910135918496</x:v>
      </x:c>
      <x:c r="H239" s="54" t="n">
        <x:f>NORMDIST($F239-'Vehicle Economics'!$E$16,0,1,TRUE)</x:f>
        <x:v>0.3946473845522671</x:v>
      </x:c>
      <x:c r="I239" s="54" t="n">
        <x:f>NORMDIST($F239-'Vehicle Economics'!$F$16,0,1,TRUE)</x:f>
        <x:v>0.46031873003387225</x:v>
      </x:c>
      <x:c r="J239" s="54" t="n">
        <x:f>NORMDIST($F239-'Vehicle Economics'!$G$16,0,1,TRUE)</x:f>
        <x:v>0.38834580811182007</x:v>
      </x:c>
      <x:c r="K239" s="53" t="n">
        <x:f>SUMPRODUCT(G239:J239,$D$23:$G$23)/$H$23</x:f>
        <x:v>0.4530001770266989</x:v>
      </x:c>
      <x:c r="L239" s="54" t="n">
        <x:f>'AD Fees &amp; TLF'!$D$11</x:f>
        <x:v>0.45299999999999996</x:v>
      </x:c>
    </x:row>
    <x:row r="240" ht="18" customHeight="1">
      <x:c r="A240" s="2"/>
      <x:c r="B240" s="2"/>
      <x:c r="C240" s="2" t="n">
        <x:v>26</x:v>
      </x:c>
      <x:c r="D240" s="53" t="n">
        <x:f>IF(K239&lt;L239,F239,D239)</x:f>
        <x:v>-0.013308525085449219</x:v>
      </x:c>
      <x:c r="E240" s="53" t="n">
        <x:f>IF(K239&lt;L239,E239,F239)</x:f>
        <x:v>-0.013308048248291016</x:v>
      </x:c>
      <x:c r="F240" s="53" t="n">
        <x:f>(D240+E240)/2</x:f>
        <x:v>-0.013308286666870117</x:v>
      </x:c>
      <x:c r="G240" s="54" t="n">
        <x:f>NORMDIST($F240-'Vehicle Economics'!$D$16,0,1,TRUE)</x:f>
        <x:v>0.4946909184850205</x:v>
      </x:c>
      <x:c r="H240" s="54" t="n">
        <x:f>NORMDIST($F240-'Vehicle Economics'!$E$16,0,1,TRUE)</x:f>
        <x:v>0.3946472927731953</x:v>
      </x:c>
      <x:c r="I240" s="54" t="n">
        <x:f>NORMDIST($F240-'Vehicle Economics'!$F$16,0,1,TRUE)</x:f>
        <x:v>0.4603186353895232</x:v>
      </x:c>
      <x:c r="J240" s="54" t="n">
        <x:f>NORMDIST($F240-'Vehicle Economics'!$G$16,0,1,TRUE)</x:f>
        <x:v>0.38834571674654844</x:v>
      </x:c>
      <x:c r="K240" s="53" t="n">
        <x:f>SUMPRODUCT(G240:J240,$D$23:$G$23)/$H$23</x:f>
        <x:v>0.4530000832523913</x:v>
      </x:c>
      <x:c r="L240" s="54" t="n">
        <x:f>'AD Fees &amp; TLF'!$D$11</x:f>
        <x:v>0.45299999999999996</x:v>
      </x:c>
    </x:row>
    <x:row r="241" ht="18" customHeight="1">
      <x:c r="A241" s="2"/>
      <x:c r="B241" s="2"/>
      <x:c r="C241" s="2" t="n">
        <x:v>27</x:v>
      </x:c>
      <x:c r="D241" s="53" t="n">
        <x:f>IF(K240&lt;L240,F240,D240)</x:f>
        <x:v>-0.013308525085449219</x:v>
      </x:c>
      <x:c r="E241" s="53" t="n">
        <x:f>IF(K240&lt;L240,E240,F240)</x:f>
        <x:v>-0.013308286666870117</x:v>
      </x:c>
      <x:c r="F241" s="53" t="n">
        <x:f>(D241+E241)/2</x:f>
        <x:v>-0.013308405876159668</x:v>
      </x:c>
      <x:c r="G241" s="54" t="n">
        <x:f>NORMDIST($F241-'Vehicle Economics'!$D$16,0,1,TRUE)</x:f>
        <x:v>0.49469087093160585</x:v>
      </x:c>
      <x:c r="H241" s="54" t="n">
        <x:f>NORMDIST($F241-'Vehicle Economics'!$E$16,0,1,TRUE)</x:f>
        <x:v>0.3946472468836615</x:v>
      </x:c>
      <x:c r="I241" s="54" t="n">
        <x:f>NORMDIST($F241-'Vehicle Economics'!$F$16,0,1,TRUE)</x:f>
        <x:v>0.4603185880673495</x:v>
      </x:c>
      <x:c r="J241" s="54" t="n">
        <x:f>NORMDIST($F241-'Vehicle Economics'!$G$16,0,1,TRUE)</x:f>
        <x:v>0.3883456710639148</x:v>
      </x:c>
      <x:c r="K241" s="53" t="n">
        <x:f>SUMPRODUCT(G241:J241,$D$23:$G$23)/$H$23</x:f>
        <x:v>0.4530000363652383</x:v>
      </x:c>
      <x:c r="L241" s="54" t="n">
        <x:f>'AD Fees &amp; TLF'!$D$11</x:f>
        <x:v>0.45299999999999996</x:v>
      </x:c>
    </x:row>
    <x:row r="242" ht="18" customHeight="1">
      <x:c r="A242" s="2"/>
      <x:c r="B242" s="2"/>
      <x:c r="C242" s="2" t="n">
        <x:v>28</x:v>
      </x:c>
      <x:c r="D242" s="53" t="n">
        <x:f>IF(K241&lt;L241,F241,D241)</x:f>
        <x:v>-0.013308525085449219</x:v>
      </x:c>
      <x:c r="E242" s="53" t="n">
        <x:f>IF(K241&lt;L241,E241,F241)</x:f>
        <x:v>-0.013308405876159668</x:v>
      </x:c>
      <x:c r="F242" s="53" t="n">
        <x:f>(D242+E242)/2</x:f>
        <x:v>-0.013308465480804443</x:v>
      </x:c>
      <x:c r="G242" s="54" t="n">
        <x:f>NORMDIST($F242-'Vehicle Economics'!$D$16,0,1,TRUE)</x:f>
        <x:v>0.49469084715489875</x:v>
      </x:c>
      <x:c r="H242" s="54" t="n">
        <x:f>NORMDIST($F242-'Vehicle Economics'!$E$16,0,1,TRUE)</x:f>
        <x:v>0.3946472239388951</x:v>
      </x:c>
      <x:c r="I242" s="54" t="n">
        <x:f>NORMDIST($F242-'Vehicle Economics'!$F$16,0,1,TRUE)</x:f>
        <x:v>0.46031856440626273</x:v>
      </x:c>
      <x:c r="J242" s="54" t="n">
        <x:f>NORMDIST($F242-'Vehicle Economics'!$G$16,0,1,TRUE)</x:f>
        <x:v>0.38834564822259854</x:v>
      </x:c>
      <x:c r="K242" s="53" t="n">
        <x:f>SUMPRODUCT(G242:J242,$D$23:$G$23)/$H$23</x:f>
        <x:v>0.45300001292166203</x:v>
      </x:c>
      <x:c r="L242" s="54" t="n">
        <x:f>'AD Fees &amp; TLF'!$D$11</x:f>
        <x:v>0.45299999999999996</x:v>
      </x:c>
    </x:row>
    <x:row r="243" ht="18" customHeight="1">
      <x:c r="A243" s="2"/>
      <x:c r="B243" s="2"/>
      <x:c r="C243" s="2" t="n">
        <x:v>29</x:v>
      </x:c>
      <x:c r="D243" s="53" t="n">
        <x:f>IF(K242&lt;L242,F242,D242)</x:f>
        <x:v>-0.013308525085449219</x:v>
      </x:c>
      <x:c r="E243" s="53" t="n">
        <x:f>IF(K242&lt;L242,E242,F242)</x:f>
        <x:v>-0.013308465480804443</x:v>
      </x:c>
      <x:c r="F243" s="53" t="n">
        <x:f>(D243+E243)/2</x:f>
        <x:v>-0.013308495283126831</x:v>
      </x:c>
      <x:c r="G243" s="54" t="n">
        <x:f>NORMDIST($F243-'Vehicle Economics'!$D$16,0,1,TRUE)</x:f>
        <x:v>0.49469083526654506</x:v>
      </x:c>
      <x:c r="H243" s="54" t="n">
        <x:f>NORMDIST($F243-'Vehicle Economics'!$E$16,0,1,TRUE)</x:f>
        <x:v>0.3946472124665122</x:v>
      </x:c>
      <x:c r="I243" s="54" t="n">
        <x:f>NORMDIST($F243-'Vehicle Economics'!$F$16,0,1,TRUE)</x:f>
        <x:v>0.46031855257571935</x:v>
      </x:c>
      <x:c r="J243" s="54" t="n">
        <x:f>NORMDIST($F243-'Vehicle Economics'!$G$16,0,1,TRUE)</x:f>
        <x:v>0.3883456368019405</x:v>
      </x:c>
      <x:c r="K243" s="53" t="n">
        <x:f>SUMPRODUCT(G243:J243,$D$23:$G$23)/$H$23</x:f>
        <x:v>0.453000001199874</x:v>
      </x:c>
      <x:c r="L243" s="54" t="n">
        <x:f>'AD Fees &amp; TLF'!$D$11</x:f>
        <x:v>0.45299999999999996</x:v>
      </x:c>
    </x:row>
    <x:row r="244" ht="18" customHeight="1">
      <x:c r="A244" s="2"/>
      <x:c r="B244" s="2"/>
      <x:c r="C244" s="2" t="n">
        <x:v>30</x:v>
      </x:c>
      <x:c r="D244" s="53" t="n">
        <x:f>IF(K243&lt;L243,F243,D243)</x:f>
        <x:v>-0.013308525085449219</x:v>
      </x:c>
      <x:c r="E244" s="53" t="n">
        <x:f>IF(K243&lt;L243,E243,F243)</x:f>
        <x:v>-0.013308495283126831</x:v>
      </x:c>
      <x:c r="F244" s="53" t="n">
        <x:f>(D244+E244)/2</x:f>
        <x:v>-0.013308510184288025</x:v>
      </x:c>
      <x:c r="G244" s="54" t="n">
        <x:f>NORMDIST($F244-'Vehicle Economics'!$D$16,0,1,TRUE)</x:f>
        <x:v>0.4946908293223684</x:v>
      </x:c>
      <x:c r="H244" s="54" t="n">
        <x:f>NORMDIST($F244-'Vehicle Economics'!$E$16,0,1,TRUE)</x:f>
        <x:v>0.3946472067303207</x:v>
      </x:c>
      <x:c r="I244" s="54" t="n">
        <x:f>NORMDIST($F244-'Vehicle Economics'!$F$16,0,1,TRUE)</x:f>
        <x:v>0.4603185466604478</x:v>
      </x:c>
      <x:c r="J244" s="54" t="n">
        <x:f>NORMDIST($F244-'Vehicle Economics'!$G$16,0,1,TRUE)</x:f>
        <x:v>0.3883456310916117</x:v>
      </x:c>
      <x:c r="K244" s="53" t="n">
        <x:f>SUMPRODUCT(G244:J244,$D$23:$G$23)/$H$23</x:f>
        <x:v>0.4529999953389801</x:v>
      </x:c>
      <x:c r="L244" s="54" t="n">
        <x:f>'AD Fees &amp; TLF'!$D$11</x:f>
        <x:v>0.45299999999999996</x:v>
      </x:c>
    </x:row>
    <x:row r="245" ht="18" customHeight="1">
      <x:c r="A245" s="2"/>
      <x:c r="B245" s="2"/>
      <x:c r="C245" s="2" t="n">
        <x:v>31</x:v>
      </x:c>
      <x:c r="D245" s="53" t="n">
        <x:f>IF(K244&lt;L244,F244,D244)</x:f>
        <x:v>-0.013308510184288025</x:v>
      </x:c>
      <x:c r="E245" s="53" t="n">
        <x:f>IF(K244&lt;L244,E244,F244)</x:f>
        <x:v>-0.013308495283126831</x:v>
      </x:c>
      <x:c r="F245" s="53" t="n">
        <x:f>(D245+E245)/2</x:f>
        <x:v>-0.013308502733707428</x:v>
      </x:c>
      <x:c r="G245" s="54" t="n">
        <x:f>NORMDIST($F245-'Vehicle Economics'!$D$16,0,1,TRUE)</x:f>
        <x:v>0.49469083229445676</x:v>
      </x:c>
      <x:c r="H245" s="54" t="n">
        <x:f>NORMDIST($F245-'Vehicle Economics'!$E$16,0,1,TRUE)</x:f>
        <x:v>0.3946472095984164</x:v>
      </x:c>
      <x:c r="I245" s="54" t="n">
        <x:f>NORMDIST($F245-'Vehicle Economics'!$F$16,0,1,TRUE)</x:f>
        <x:v>0.4603185496180836</x:v>
      </x:c>
      <x:c r="J245" s="54" t="n">
        <x:f>NORMDIST($F245-'Vehicle Economics'!$G$16,0,1,TRUE)</x:f>
        <x:v>0.3883456339467761</x:v>
      </x:c>
      <x:c r="K245" s="53" t="n">
        <x:f>SUMPRODUCT(G245:J245,$D$23:$G$23)/$H$23</x:f>
        <x:v>0.4529999982694271</x:v>
      </x:c>
      <x:c r="L245" s="54" t="n">
        <x:f>'AD Fees &amp; TLF'!$D$11</x:f>
        <x:v>0.45299999999999996</x:v>
      </x:c>
    </x:row>
    <x:row r="246" ht="18" customHeight="1">
      <x:c r="A246" s="2"/>
      <x:c r="B246" s="2"/>
      <x:c r="C246" s="2" t="n">
        <x:v>32</x:v>
      </x:c>
      <x:c r="D246" s="53" t="n">
        <x:f>IF(K245&lt;L245,F245,D245)</x:f>
        <x:v>-0.013308502733707428</x:v>
      </x:c>
      <x:c r="E246" s="53" t="n">
        <x:f>IF(K245&lt;L245,E245,F245)</x:f>
        <x:v>-0.013308495283126831</x:v>
      </x:c>
      <x:c r="F246" s="53" t="n">
        <x:f>(D246+E246)/2</x:f>
        <x:v>-0.01330849900841713</x:v>
      </x:c>
      <x:c r="G246" s="54" t="n">
        <x:f>NORMDIST($F246-'Vehicle Economics'!$D$16,0,1,TRUE)</x:f>
        <x:v>0.4946908337805008</x:v>
      </x:c>
      <x:c r="H246" s="54" t="n">
        <x:f>NORMDIST($F246-'Vehicle Economics'!$E$16,0,1,TRUE)</x:f>
        <x:v>0.3946472110324642</x:v>
      </x:c>
      <x:c r="I246" s="54" t="n">
        <x:f>NORMDIST($F246-'Vehicle Economics'!$F$16,0,1,TRUE)</x:f>
        <x:v>0.4603185510969016</x:v>
      </x:c>
      <x:c r="J246" s="54" t="n">
        <x:f>NORMDIST($F246-'Vehicle Economics'!$G$16,0,1,TRUE)</x:f>
        <x:v>0.3883456353743584</x:v>
      </x:c>
      <x:c r="K246" s="53" t="n">
        <x:f>SUMPRODUCT(G246:J246,$D$23:$G$23)/$H$23</x:f>
        <x:v>0.4529999997346505</x:v>
      </x:c>
      <x:c r="L246" s="54" t="n">
        <x:f>'AD Fees &amp; TLF'!$D$11</x:f>
        <x:v>0.45299999999999996</x:v>
      </x:c>
    </x:row>
    <x:row r="247" ht="18" customHeight="1">
      <x:c r="A247" s="2"/>
      <x:c r="B247" s="2"/>
      <x:c r="C247" s="2"/>
      <x:c r="D247" s="52"/>
      <x:c r="E247" s="52"/>
      <x:c r="F247" s="52"/>
      <x:c r="G247" s="52"/>
      <x:c r="H247" s="52"/>
      <x:c r="I247" s="52"/>
      <x:c r="J247" s="52"/>
      <x:c r="K247" s="52"/>
      <x:c r="L247" s="52"/>
    </x:row>
    <x:row r="248" ht="18" customHeight="1">
      <x:c r="A248" s="2"/>
      <x:c r="B248" s="2"/>
      <x:c r="C248" s="2"/>
      <x:c r="D248" s="52"/>
      <x:c r="E248" s="52"/>
      <x:c r="F248" s="52"/>
      <x:c r="G248" s="52"/>
      <x:c r="H248" s="52"/>
      <x:c r="I248" s="52"/>
      <x:c r="J248" s="52"/>
      <x:c r="K248" s="52"/>
      <x:c r="L248" s="52"/>
    </x:row>
    <x:row r="249" ht="18" customHeight="1">
      <x:c r="A249" s="2"/>
      <x:c r="B249" s="2"/>
      <x:c r="C249" s="2"/>
      <x:c r="D249" s="52"/>
      <x:c r="E249" s="52"/>
      <x:c r="F249" s="52"/>
      <x:c r="G249" s="52"/>
      <x:c r="H249" s="52"/>
      <x:c r="I249" s="52"/>
      <x:c r="J249" s="52"/>
      <x:c r="K249" s="52"/>
      <x:c r="L249" s="52"/>
    </x:row>
    <x:row r="250" ht="18" customHeight="1">
      <x:c r="A250" s="2"/>
      <x:c r="B250" s="2"/>
      <x:c r="C250" s="2"/>
      <x:c r="D250" s="3"/>
      <x:c r="E250" s="3"/>
      <x:c r="F250" s="3"/>
      <x:c r="G250" s="3"/>
      <x:c r="H250" s="3"/>
      <x:c r="I250" s="3"/>
      <x:c r="J250" s="3"/>
      <x:c r="K250" s="3"/>
      <x:c r="L250" s="3"/>
    </x:row>
    <x:row r="251" ht="18" customHeight="1">
      <x:c r="A251" s="2"/>
      <x:c r="B251" s="2"/>
      <x:c r="C251" s="2"/>
      <x:c r="D251" s="3"/>
      <x:c r="E251" s="3"/>
      <x:c r="F251" s="3"/>
      <x:c r="G251" s="3"/>
      <x:c r="H251" s="3"/>
      <x:c r="I251" s="3"/>
      <x:c r="J251" s="3"/>
      <x:c r="K251" s="3"/>
      <x:c r="L251" s="3"/>
    </x:row>
    <x:row r="252" ht="18" customHeight="1">
      <x:c r="A252" s="2"/>
      <x:c r="B252" s="2"/>
      <x:c r="C252" s="2"/>
      <x:c r="D252" s="3"/>
      <x:c r="E252" s="3"/>
      <x:c r="F252" s="3"/>
      <x:c r="G252" s="3"/>
      <x:c r="H252" s="3"/>
      <x:c r="I252" s="3"/>
      <x:c r="J252" s="3"/>
      <x:c r="K252" s="3"/>
      <x:c r="L252" s="3"/>
    </x:row>
    <x:row r="253" ht="18" customHeight="1">
      <x:c r="A253" s="2"/>
      <x:c r="B253" s="2"/>
      <x:c r="C253" s="2"/>
      <x:c r="D253" s="3"/>
      <x:c r="E253" s="3"/>
      <x:c r="F253" s="3"/>
      <x:c r="G253" s="3"/>
      <x:c r="H253" s="3"/>
      <x:c r="I253" s="3"/>
      <x:c r="J253" s="3"/>
      <x:c r="K253" s="3"/>
      <x:c r="L253" s="3"/>
    </x:row>
    <x:row r="254" ht="18" customHeight="1">
      <x:c r="A254" s="2"/>
      <x:c r="B254" s="2"/>
      <x:c r="C254" s="2"/>
      <x:c r="D254" s="3"/>
      <x:c r="E254" s="3"/>
      <x:c r="F254" s="3"/>
      <x:c r="G254" s="3"/>
      <x:c r="H254" s="3"/>
      <x:c r="I254" s="3"/>
      <x:c r="J254" s="3"/>
      <x:c r="K254" s="3"/>
      <x:c r="L254" s="3"/>
    </x:row>
    <x:row r="255" ht="18" customHeight="1">
      <x:c r="A255" s="2"/>
      <x:c r="B255" s="2"/>
      <x:c r="C255" s="2"/>
      <x:c r="D255" s="3"/>
      <x:c r="E255" s="3"/>
      <x:c r="F255" s="3"/>
      <x:c r="G255" s="3"/>
      <x:c r="H255" s="3"/>
      <x:c r="I255" s="3"/>
      <x:c r="J255" s="3"/>
      <x:c r="K255" s="3"/>
      <x:c r="L255" s="3"/>
    </x:row>
    <x:row r="256" ht="18" customHeight="1">
      <x:c r="A256" s="2"/>
      <x:c r="B256" s="2"/>
      <x:c r="C256" s="2"/>
      <x:c r="D256" s="3"/>
      <x:c r="E256" s="3"/>
      <x:c r="F256" s="3"/>
      <x:c r="G256" s="3"/>
      <x:c r="H256" s="3"/>
      <x:c r="I256" s="3"/>
      <x:c r="J256" s="3"/>
      <x:c r="K256" s="3"/>
      <x:c r="L256" s="3"/>
    </x:row>
    <x:row r="257" ht="18" customHeight="1">
      <x:c r="A257" s="2"/>
      <x:c r="B257" s="2"/>
      <x:c r="C257" s="2"/>
      <x:c r="D257" s="3"/>
      <x:c r="E257" s="3"/>
      <x:c r="F257" s="3"/>
      <x:c r="G257" s="3"/>
      <x:c r="H257" s="3"/>
      <x:c r="I257" s="3"/>
      <x:c r="J257" s="3"/>
      <x:c r="K257" s="3"/>
      <x:c r="L257" s="3"/>
    </x:row>
    <x:row r="258" ht="18" customHeight="1">
      <x:c r="A258" s="2"/>
      <x:c r="B258" s="2"/>
      <x:c r="C258" s="2"/>
      <x:c r="D258" s="3"/>
      <x:c r="E258" s="3"/>
      <x:c r="F258" s="3"/>
      <x:c r="G258" s="3"/>
      <x:c r="H258" s="3"/>
      <x:c r="I258" s="3"/>
      <x:c r="J258" s="3"/>
      <x:c r="K258" s="3"/>
      <x:c r="L258" s="3"/>
    </x:row>
    <x:row r="259" ht="18" customHeight="1">
      <x:c r="A259" s="2"/>
      <x:c r="B259" s="2"/>
      <x:c r="C259" s="2"/>
      <x:c r="D259" s="3"/>
      <x:c r="E259" s="3"/>
      <x:c r="F259" s="3"/>
      <x:c r="G259" s="3"/>
      <x:c r="H259" s="3"/>
      <x:c r="I259" s="3"/>
      <x:c r="J259" s="3"/>
      <x:c r="K259" s="3"/>
      <x:c r="L259" s="3"/>
    </x:row>
    <x:row r="260" ht="18" customHeight="1">
      <x:c r="A260" s="2"/>
      <x:c r="B260" s="2"/>
      <x:c r="C260" s="2"/>
      <x:c r="D260" s="3"/>
      <x:c r="E260" s="3"/>
      <x:c r="F260" s="3"/>
      <x:c r="G260" s="3"/>
      <x:c r="H260" s="3"/>
      <x:c r="I260" s="3"/>
      <x:c r="J260" s="3"/>
      <x:c r="K260" s="3"/>
      <x:c r="L260" s="3"/>
    </x:row>
  </x:sheetData>
  <x:mergeCells>
    <x:mergeCell ref="C2:K2"/>
    <x:mergeCell ref="C3:K3"/>
    <x:mergeCell ref="C25:K2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4" t="str">
        <x:v>Nonlinear fee calculation</x:v>
      </x:c>
      <x:c r="D2" s="4"/>
      <x:c r="E2" s="4"/>
      <x:c r="F2" s="4"/>
      <x:c r="G2" s="4"/>
      <x:c r="H2" s="4"/>
      <x:c r="I2" s="4"/>
      <x:c r="J2" s="4"/>
      <x:c r="K2" s="4"/>
      <x:c r="L2" s="2"/>
      <x:c r="M2" s="2"/>
    </x:row>
    <x:row r="3" ht="28" customHeight="1">
      <x:c r="A3" s="2"/>
      <x:c r="B3" s="2"/>
      <x:c r="C3" s="6" t="str">
        <x:v>ACV → gross auction proceeds → buyer fees at three price nodes → weighted fee plus seller fee.</x:v>
      </x:c>
      <x:c r="D3" s="6"/>
      <x:c r="E3" s="6"/>
      <x:c r="F3" s="6"/>
      <x:c r="G3" s="6"/>
      <x:c r="H3" s="6"/>
      <x:c r="I3" s="6"/>
      <x:c r="J3" s="6"/>
      <x:c r="K3" s="6"/>
      <x:c r="L3" s="2"/>
      <x:c r="M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9" customHeight="1">
      <x:c r="A5" s="2"/>
      <x:c r="B5" s="2"/>
      <x:c r="C5" s="10" t="str">
        <x:v>Body / age</x:v>
      </x:c>
      <x:c r="D5" s="10" t="str">
        <x:v>ACV ($)</x:v>
      </x:c>
      <x:c r="E5" s="10" t="str">
        <x:v>Mean bid</x:v>
      </x:c>
      <x:c r="F5" s="10" t="str">
        <x:v>Low bid</x:v>
      </x:c>
      <x:c r="G5" s="10" t="str">
        <x:v>Mid bid</x:v>
      </x:c>
      <x:c r="H5" s="10" t="str">
        <x:v>High bid</x:v>
      </x:c>
      <x:c r="I5" s="10" t="str">
        <x:v>Low fee</x:v>
      </x:c>
      <x:c r="J5" s="10" t="str">
        <x:v>Mid fee</x:v>
      </x:c>
      <x:c r="K5" s="10" t="str">
        <x:v>High fee</x:v>
      </x:c>
      <x:c r="L5" s="10" t="str">
        <x:v>Buyer fee</x:v>
      </x:c>
      <x:c r="M5" s="10" t="str">
        <x:v>Service RPU</x:v>
      </x:c>
    </x:row>
    <x:row r="6" ht="18" customHeight="1">
      <x:c r="A6" s="2"/>
      <x:c r="B6" s="2"/>
      <x:c r="C6" s="105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18" customHeight="1">
      <x:c r="A7" s="2"/>
      <x:c r="B7" s="2"/>
      <x:c r="C7" s="105"/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18" customHeight="1">
      <x:c r="A8" s="2"/>
      <x:c r="B8" s="2"/>
      <x:c r="C8" s="105" t="str">
        <x:v>Car / 0</x:v>
      </x:c>
      <x:c r="D8" s="28" t="n">
        <x:f>'Vehicle Economics'!$J$9*EXP(-'Vehicle Economics'!$J$10*(0-10))*'Vehicle Economics'!D$7</x:f>
        <x:v>27182.818284590452</x:v>
      </x:c>
      <x:c r="E8" s="28" t="n">
        <x:f>D8*'Vehicle Economics'!D$8</x:f>
        <x:v>8154.845485377135</x:v>
      </x:c>
      <x:c r="F8" s="28" t="n">
        <x:f>$E8*'Vehicle Economics'!$J$13</x:f>
        <x:v>4077.4227426885677</x:v>
      </x:c>
      <x:c r="G8" s="28" t="n">
        <x:f>$E8*'Vehicle Economics'!$J$14</x:f>
        <x:v>8154.845485377135</x:v>
      </x:c>
      <x:c r="H8" s="28" t="n">
        <x:f>$E8*'Vehicle Economics'!$J$15</x:f>
        <x:v>12232.268228065703</x:v>
      </x:c>
      <x:c r="I8" s="28" t="n">
        <x:f>VLOOKUP(F8,'AD Fees &amp; TLF'!$C$19:$E$63,2,TRUE)+F8*VLOOKUP(F8,'AD Fees &amp; TLF'!$C$19:$E$63,3,TRUE)+VLOOKUP(F8,'AD Fees &amp; TLF'!$G$19:$H$27,2,TRUE)+SUM('AD Fees &amp; TLF'!$H$30:$H$31)</x:f>
        <x:v>945</x:v>
      </x:c>
      <x:c r="J8" s="28" t="n">
        <x:f>VLOOKUP(G8,'AD Fees &amp; TLF'!$C$19:$E$63,2,TRUE)+G8*VLOOKUP(G8,'AD Fees &amp; TLF'!$C$19:$E$63,3,TRUE)+VLOOKUP(G8,'AD Fees &amp; TLF'!$G$19:$H$27,2,TRUE)+SUM('AD Fees &amp; TLF'!$H$30:$H$31)</x:f>
        <x:v>1175</x:v>
      </x:c>
      <x:c r="K8" s="28" t="n">
        <x:f>VLOOKUP(H8,'AD Fees &amp; TLF'!$C$19:$E$63,2,TRUE)+H8*VLOOKUP(H8,'AD Fees &amp; TLF'!$C$19:$E$63,3,TRUE)+VLOOKUP(H8,'AD Fees &amp; TLF'!$G$19:$H$27,2,TRUE)+SUM('AD Fees &amp; TLF'!$H$30:$H$31)</x:f>
        <x:v>1250</x:v>
      </x:c>
      <x:c r="L8" s="28" t="n">
        <x:f>I8*'Vehicle Economics'!$K$13+J8*'Vehicle Economics'!$K$14+K8*'Vehicle Economics'!$K$15</x:f>
        <x:v>1136.25</x:v>
      </x:c>
      <x:c r="M8" s="28" t="n">
        <x:f>L8+E8*'Vehicle Economics'!D$9</x:f>
        <x:v>1462.4438194150855</x:v>
      </x:c>
    </x:row>
    <x:row r="9" ht="18" customHeight="1">
      <x:c r="A9" s="2"/>
      <x:c r="B9" s="2"/>
      <x:c r="C9" s="105" t="str">
        <x:v>Car / 1</x:v>
      </x:c>
      <x:c r="D9" s="28" t="n">
        <x:f>'Vehicle Economics'!$J$9*EXP(-'Vehicle Economics'!$J$10*(1-10))*'Vehicle Economics'!D$7</x:f>
        <x:v>24596.031111569497</x:v>
      </x:c>
      <x:c r="E9" s="28" t="n">
        <x:f>D9*'Vehicle Economics'!D$8</x:f>
        <x:v>7378.809333470848</x:v>
      </x:c>
      <x:c r="F9" s="28" t="n">
        <x:f>$E9*'Vehicle Economics'!$J$13</x:f>
        <x:v>3689.404666735424</x:v>
      </x:c>
      <x:c r="G9" s="28" t="n">
        <x:f>$E9*'Vehicle Economics'!$J$14</x:f>
        <x:v>7378.809333470848</x:v>
      </x:c>
      <x:c r="H9" s="28" t="n">
        <x:f>$E9*'Vehicle Economics'!$J$15</x:f>
        <x:v>11068.214000206273</x:v>
      </x:c>
      <x:c r="I9" s="28" t="n">
        <x:f>VLOOKUP(F9,'AD Fees &amp; TLF'!$C$19:$E$63,2,TRUE)+F9*VLOOKUP(F9,'AD Fees &amp; TLF'!$C$19:$E$63,3,TRUE)+VLOOKUP(F9,'AD Fees &amp; TLF'!$G$19:$H$27,2,TRUE)+SUM('AD Fees &amp; TLF'!$H$30:$H$31)</x:f>
        <x:v>915</x:v>
      </x:c>
      <x:c r="J9" s="28" t="n">
        <x:f>VLOOKUP(G9,'AD Fees &amp; TLF'!$C$19:$E$63,2,TRUE)+G9*VLOOKUP(G9,'AD Fees &amp; TLF'!$C$19:$E$63,3,TRUE)+VLOOKUP(G9,'AD Fees &amp; TLF'!$G$19:$H$27,2,TRUE)+SUM('AD Fees &amp; TLF'!$H$30:$H$31)</x:f>
        <x:v>1115</x:v>
      </x:c>
      <x:c r="K9" s="28" t="n">
        <x:f>VLOOKUP(H9,'AD Fees &amp; TLF'!$C$19:$E$63,2,TRUE)+H9*VLOOKUP(H9,'AD Fees &amp; TLF'!$C$19:$E$63,3,TRUE)+VLOOKUP(H9,'AD Fees &amp; TLF'!$G$19:$H$27,2,TRUE)+SUM('AD Fees &amp; TLF'!$H$30:$H$31)</x:f>
        <x:v>1250</x:v>
      </x:c>
      <x:c r="L9" s="28" t="n">
        <x:f>I9*'Vehicle Economics'!$K$13+J9*'Vehicle Economics'!$K$14+K9*'Vehicle Economics'!$K$15</x:f>
        <x:v>1098.75</x:v>
      </x:c>
      <x:c r="M9" s="28" t="n">
        <x:f>L9+E9*'Vehicle Economics'!D$9</x:f>
        <x:v>1393.902373338834</x:v>
      </x:c>
    </x:row>
    <x:row r="10" ht="18" customHeight="1">
      <x:c r="A10" s="2"/>
      <x:c r="B10" s="2"/>
      <x:c r="C10" s="105" t="str">
        <x:v>Car / 2</x:v>
      </x:c>
      <x:c r="D10" s="28" t="n">
        <x:f>'Vehicle Economics'!$J$9*EXP(-'Vehicle Economics'!$J$10*(2-10))*'Vehicle Economics'!D$7</x:f>
        <x:v>22255.409284924677</x:v>
      </x:c>
      <x:c r="E10" s="28" t="n">
        <x:f>D10*'Vehicle Economics'!D$8</x:f>
        <x:v>6676.622785477403</x:v>
      </x:c>
      <x:c r="F10" s="28" t="n">
        <x:f>$E10*'Vehicle Economics'!$J$13</x:f>
        <x:v>3338.3113927387017</x:v>
      </x:c>
      <x:c r="G10" s="28" t="n">
        <x:f>$E10*'Vehicle Economics'!$J$14</x:f>
        <x:v>6676.622785477403</x:v>
      </x:c>
      <x:c r="H10" s="28" t="n">
        <x:f>$E10*'Vehicle Economics'!$J$15</x:f>
        <x:v>10014.934178216105</x:v>
      </x:c>
      <x:c r="I10" s="28" t="n">
        <x:f>VLOOKUP(F10,'AD Fees &amp; TLF'!$C$19:$E$63,2,TRUE)+F10*VLOOKUP(F10,'AD Fees &amp; TLF'!$C$19:$E$63,3,TRUE)+VLOOKUP(F10,'AD Fees &amp; TLF'!$G$19:$H$27,2,TRUE)+SUM('AD Fees &amp; TLF'!$H$30:$H$31)</x:f>
        <x:v>865</x:v>
      </x:c>
      <x:c r="J10" s="28" t="n">
        <x:f>VLOOKUP(G10,'AD Fees &amp; TLF'!$C$19:$E$63,2,TRUE)+G10*VLOOKUP(G10,'AD Fees &amp; TLF'!$C$19:$E$63,3,TRUE)+VLOOKUP(G10,'AD Fees &amp; TLF'!$G$19:$H$27,2,TRUE)+SUM('AD Fees &amp; TLF'!$H$30:$H$31)</x:f>
        <x:v>1080</x:v>
      </x:c>
      <x:c r="K10" s="28" t="n">
        <x:f>VLOOKUP(H10,'AD Fees &amp; TLF'!$C$19:$E$63,2,TRUE)+H10*VLOOKUP(H10,'AD Fees &amp; TLF'!$C$19:$E$63,3,TRUE)+VLOOKUP(H10,'AD Fees &amp; TLF'!$G$19:$H$27,2,TRUE)+SUM('AD Fees &amp; TLF'!$H$30:$H$31)</x:f>
        <x:v>1250</x:v>
      </x:c>
      <x:c r="L10" s="28" t="n">
        <x:f>I10*'Vehicle Economics'!$K$13+J10*'Vehicle Economics'!$K$14+K10*'Vehicle Economics'!$K$15</x:f>
        <x:v>1068.75</x:v>
      </x:c>
      <x:c r="M10" s="28" t="n">
        <x:f>L10+E10*'Vehicle Economics'!D$9</x:f>
        <x:v>1335.814911419096</x:v>
      </x:c>
    </x:row>
    <x:row r="11" ht="18" customHeight="1">
      <x:c r="A11" s="2"/>
      <x:c r="B11" s="2"/>
      <x:c r="C11" s="105" t="str">
        <x:v>Car / 3</x:v>
      </x:c>
      <x:c r="D11" s="28" t="n">
        <x:f>'Vehicle Economics'!$J$9*EXP(-'Vehicle Economics'!$J$10*(3-10))*'Vehicle Economics'!D$7</x:f>
        <x:v>20137.527074704765</x:v>
      </x:c>
      <x:c r="E11" s="28" t="n">
        <x:f>D11*'Vehicle Economics'!D$8</x:f>
        <x:v>6041.258122411429</x:v>
      </x:c>
      <x:c r="F11" s="28" t="n">
        <x:f>$E11*'Vehicle Economics'!$J$13</x:f>
        <x:v>3020.6290612057146</x:v>
      </x:c>
      <x:c r="G11" s="28" t="n">
        <x:f>$E11*'Vehicle Economics'!$J$14</x:f>
        <x:v>6041.258122411429</x:v>
      </x:c>
      <x:c r="H11" s="28" t="n">
        <x:f>$E11*'Vehicle Economics'!$J$15</x:f>
        <x:v>9061.887183617144</x:v>
      </x:c>
      <x:c r="I11" s="28" t="n">
        <x:f>VLOOKUP(F11,'AD Fees &amp; TLF'!$C$19:$E$63,2,TRUE)+F11*VLOOKUP(F11,'AD Fees &amp; TLF'!$C$19:$E$63,3,TRUE)+VLOOKUP(F11,'AD Fees &amp; TLF'!$G$19:$H$27,2,TRUE)+SUM('AD Fees &amp; TLF'!$H$30:$H$31)</x:f>
        <x:v>865</x:v>
      </x:c>
      <x:c r="J11" s="28" t="n">
        <x:f>VLOOKUP(G11,'AD Fees &amp; TLF'!$C$19:$E$63,2,TRUE)+G11*VLOOKUP(G11,'AD Fees &amp; TLF'!$C$19:$E$63,3,TRUE)+VLOOKUP(G11,'AD Fees &amp; TLF'!$G$19:$H$27,2,TRUE)+SUM('AD Fees &amp; TLF'!$H$30:$H$31)</x:f>
        <x:v>1060</x:v>
      </x:c>
      <x:c r="K11" s="28" t="n">
        <x:f>VLOOKUP(H11,'AD Fees &amp; TLF'!$C$19:$E$63,2,TRUE)+H11*VLOOKUP(H11,'AD Fees &amp; TLF'!$C$19:$E$63,3,TRUE)+VLOOKUP(H11,'AD Fees &amp; TLF'!$G$19:$H$27,2,TRUE)+SUM('AD Fees &amp; TLF'!$H$30:$H$31)</x:f>
        <x:v>1195</x:v>
      </x:c>
      <x:c r="L11" s="28" t="n">
        <x:f>I11*'Vehicle Economics'!$K$13+J11*'Vehicle Economics'!$K$14+K11*'Vehicle Economics'!$K$15</x:f>
        <x:v>1045</x:v>
      </x:c>
      <x:c r="M11" s="28" t="n">
        <x:f>L11+E11*'Vehicle Economics'!D$9</x:f>
        <x:v>1286.6503248964573</x:v>
      </x:c>
    </x:row>
    <x:row r="12" ht="18" customHeight="1">
      <x:c r="A12" s="2"/>
      <x:c r="B12" s="2"/>
      <x:c r="C12" s="105" t="str">
        <x:v>Car / 4</x:v>
      </x:c>
      <x:c r="D12" s="28" t="n">
        <x:f>'Vehicle Economics'!$J$9*EXP(-'Vehicle Economics'!$J$10*(4-10))*'Vehicle Economics'!D$7</x:f>
        <x:v>18221.188003905092</x:v>
      </x:c>
      <x:c r="E12" s="28" t="n">
        <x:f>D12*'Vehicle Economics'!D$8</x:f>
        <x:v>5466.356401171527</x:v>
      </x:c>
      <x:c r="F12" s="28" t="n">
        <x:f>$E12*'Vehicle Economics'!$J$13</x:f>
        <x:v>2733.1782005857635</x:v>
      </x:c>
      <x:c r="G12" s="28" t="n">
        <x:f>$E12*'Vehicle Economics'!$J$14</x:f>
        <x:v>5466.356401171527</x:v>
      </x:c>
      <x:c r="H12" s="28" t="n">
        <x:f>$E12*'Vehicle Economics'!$J$15</x:f>
        <x:v>8199.53460175729</x:v>
      </x:c>
      <x:c r="I12" s="28" t="n">
        <x:f>VLOOKUP(F12,'AD Fees &amp; TLF'!$C$19:$E$63,2,TRUE)+F12*VLOOKUP(F12,'AD Fees &amp; TLF'!$C$19:$E$63,3,TRUE)+VLOOKUP(F12,'AD Fees &amp; TLF'!$G$19:$H$27,2,TRUE)+SUM('AD Fees &amp; TLF'!$H$30:$H$31)</x:f>
        <x:v>820</x:v>
      </x:c>
      <x:c r="J12" s="28" t="n">
        <x:f>VLOOKUP(G12,'AD Fees &amp; TLF'!$C$19:$E$63,2,TRUE)+G12*VLOOKUP(G12,'AD Fees &amp; TLF'!$C$19:$E$63,3,TRUE)+VLOOKUP(G12,'AD Fees &amp; TLF'!$G$19:$H$27,2,TRUE)+SUM('AD Fees &amp; TLF'!$H$30:$H$31)</x:f>
        <x:v>995</x:v>
      </x:c>
      <x:c r="K12" s="28" t="n">
        <x:f>VLOOKUP(H12,'AD Fees &amp; TLF'!$C$19:$E$63,2,TRUE)+H12*VLOOKUP(H12,'AD Fees &amp; TLF'!$C$19:$E$63,3,TRUE)+VLOOKUP(H12,'AD Fees &amp; TLF'!$G$19:$H$27,2,TRUE)+SUM('AD Fees &amp; TLF'!$H$30:$H$31)</x:f>
        <x:v>1175</x:v>
      </x:c>
      <x:c r="L12" s="28" t="n">
        <x:f>I12*'Vehicle Economics'!$K$13+J12*'Vehicle Economics'!$K$14+K12*'Vehicle Economics'!$K$15</x:f>
        <x:v>996.25</x:v>
      </x:c>
      <x:c r="M12" s="28" t="n">
        <x:f>L12+E12*'Vehicle Economics'!D$9</x:f>
        <x:v>1214.904256046861</x:v>
      </x:c>
    </x:row>
    <x:row r="13" ht="18" customHeight="1">
      <x:c r="A13" s="2"/>
      <x:c r="B13" s="2"/>
      <x:c r="C13" s="105" t="str">
        <x:v>Car / 5</x:v>
      </x:c>
      <x:c r="D13" s="28" t="n">
        <x:f>'Vehicle Economics'!$J$9*EXP(-'Vehicle Economics'!$J$10*(5-10))*'Vehicle Economics'!D$7</x:f>
        <x:v>16487.212707001283</x:v>
      </x:c>
      <x:c r="E13" s="28" t="n">
        <x:f>D13*'Vehicle Economics'!D$8</x:f>
        <x:v>4946.163812100384</x:v>
      </x:c>
      <x:c r="F13" s="28" t="n">
        <x:f>$E13*'Vehicle Economics'!$J$13</x:f>
        <x:v>2473.081906050192</x:v>
      </x:c>
      <x:c r="G13" s="28" t="n">
        <x:f>$E13*'Vehicle Economics'!$J$14</x:f>
        <x:v>4946.163812100384</x:v>
      </x:c>
      <x:c r="H13" s="28" t="n">
        <x:f>$E13*'Vehicle Economics'!$J$15</x:f>
        <x:v>7419.245718150576</x:v>
      </x:c>
      <x:c r="I13" s="28" t="n">
        <x:f>VLOOKUP(F13,'AD Fees &amp; TLF'!$C$19:$E$63,2,TRUE)+F13*VLOOKUP(F13,'AD Fees &amp; TLF'!$C$19:$E$63,3,TRUE)+VLOOKUP(F13,'AD Fees &amp; TLF'!$G$19:$H$27,2,TRUE)+SUM('AD Fees &amp; TLF'!$H$30:$H$31)</x:f>
        <x:v>780</x:v>
      </x:c>
      <x:c r="J13" s="28" t="n">
        <x:f>VLOOKUP(G13,'AD Fees &amp; TLF'!$C$19:$E$63,2,TRUE)+G13*VLOOKUP(G13,'AD Fees &amp; TLF'!$C$19:$E$63,3,TRUE)+VLOOKUP(G13,'AD Fees &amp; TLF'!$G$19:$H$27,2,TRUE)+SUM('AD Fees &amp; TLF'!$H$30:$H$31)</x:f>
        <x:v>970</x:v>
      </x:c>
      <x:c r="K13" s="28" t="n">
        <x:f>VLOOKUP(H13,'AD Fees &amp; TLF'!$C$19:$E$63,2,TRUE)+H13*VLOOKUP(H13,'AD Fees &amp; TLF'!$C$19:$E$63,3,TRUE)+VLOOKUP(H13,'AD Fees &amp; TLF'!$G$19:$H$27,2,TRUE)+SUM('AD Fees &amp; TLF'!$H$30:$H$31)</x:f>
        <x:v>1115</x:v>
      </x:c>
      <x:c r="L13" s="28" t="n">
        <x:f>I13*'Vehicle Economics'!$K$13+J13*'Vehicle Economics'!$K$14+K13*'Vehicle Economics'!$K$15</x:f>
        <x:v>958.75</x:v>
      </x:c>
      <x:c r="M13" s="28" t="n">
        <x:f>L13+E13*'Vehicle Economics'!D$9</x:f>
        <x:v>1156.5965524840153</x:v>
      </x:c>
    </x:row>
    <x:row r="14" ht="18" customHeight="1">
      <x:c r="A14" s="2"/>
      <x:c r="B14" s="2"/>
      <x:c r="C14" s="105" t="str">
        <x:v>Car / 6</x:v>
      </x:c>
      <x:c r="D14" s="28" t="n">
        <x:f>'Vehicle Economics'!$J$9*EXP(-'Vehicle Economics'!$J$10*(6-10))*'Vehicle Economics'!D$7</x:f>
        <x:v>14918.246976412704</x:v>
      </x:c>
      <x:c r="E14" s="28" t="n">
        <x:f>D14*'Vehicle Economics'!D$8</x:f>
        <x:v>4475.4740929238105</x:v>
      </x:c>
      <x:c r="F14" s="28" t="n">
        <x:f>$E14*'Vehicle Economics'!$J$13</x:f>
        <x:v>2237.7370464619053</x:v>
      </x:c>
      <x:c r="G14" s="28" t="n">
        <x:f>$E14*'Vehicle Economics'!$J$14</x:f>
        <x:v>4475.4740929238105</x:v>
      </x:c>
      <x:c r="H14" s="28" t="n">
        <x:f>$E14*'Vehicle Economics'!$J$15</x:f>
        <x:v>6713.211139385716</x:v>
      </x:c>
      <x:c r="I14" s="28" t="n">
        <x:f>VLOOKUP(F14,'AD Fees &amp; TLF'!$C$19:$E$63,2,TRUE)+F14*VLOOKUP(F14,'AD Fees &amp; TLF'!$C$19:$E$63,3,TRUE)+VLOOKUP(F14,'AD Fees &amp; TLF'!$G$19:$H$27,2,TRUE)+SUM('AD Fees &amp; TLF'!$H$30:$H$31)</x:f>
        <x:v>745</x:v>
      </x:c>
      <x:c r="J14" s="28" t="n">
        <x:f>VLOOKUP(G14,'AD Fees &amp; TLF'!$C$19:$E$63,2,TRUE)+G14*VLOOKUP(G14,'AD Fees &amp; TLF'!$C$19:$E$63,3,TRUE)+VLOOKUP(G14,'AD Fees &amp; TLF'!$G$19:$H$27,2,TRUE)+SUM('AD Fees &amp; TLF'!$H$30:$H$31)</x:f>
        <x:v>945</x:v>
      </x:c>
      <x:c r="K14" s="28" t="n">
        <x:f>VLOOKUP(H14,'AD Fees &amp; TLF'!$C$19:$E$63,2,TRUE)+H14*VLOOKUP(H14,'AD Fees &amp; TLF'!$C$19:$E$63,3,TRUE)+VLOOKUP(H14,'AD Fees &amp; TLF'!$G$19:$H$27,2,TRUE)+SUM('AD Fees &amp; TLF'!$H$30:$H$31)</x:f>
        <x:v>1080</x:v>
      </x:c>
      <x:c r="L14" s="28" t="n">
        <x:f>I14*'Vehicle Economics'!$K$13+J14*'Vehicle Economics'!$K$14+K14*'Vehicle Economics'!$K$15</x:f>
        <x:v>928.75</x:v>
      </x:c>
      <x:c r="M14" s="28" t="n">
        <x:f>L14+E14*'Vehicle Economics'!D$9</x:f>
        <x:v>1107.7689637169524</x:v>
      </x:c>
    </x:row>
    <x:row r="15" ht="18" customHeight="1">
      <x:c r="A15" s="2"/>
      <x:c r="B15" s="2"/>
      <x:c r="C15" s="105" t="str">
        <x:v>Car / 7</x:v>
      </x:c>
      <x:c r="D15" s="28" t="n">
        <x:f>'Vehicle Economics'!$J$9*EXP(-'Vehicle Economics'!$J$10*(7-10))*'Vehicle Economics'!D$7</x:f>
        <x:v>13498.588075760032</x:v>
      </x:c>
      <x:c r="E15" s="28" t="n">
        <x:f>D15*'Vehicle Economics'!D$8</x:f>
        <x:v>4049.576422728009</x:v>
      </x:c>
      <x:c r="F15" s="28" t="n">
        <x:f>$E15*'Vehicle Economics'!$J$13</x:f>
        <x:v>2024.7882113640046</x:v>
      </x:c>
      <x:c r="G15" s="28" t="n">
        <x:f>$E15*'Vehicle Economics'!$J$14</x:f>
        <x:v>4049.576422728009</x:v>
      </x:c>
      <x:c r="H15" s="28" t="n">
        <x:f>$E15*'Vehicle Economics'!$J$15</x:f>
        <x:v>6074.364634092014</x:v>
      </x:c>
      <x:c r="I15" s="28" t="n">
        <x:f>VLOOKUP(F15,'AD Fees &amp; TLF'!$C$19:$E$63,2,TRUE)+F15*VLOOKUP(F15,'AD Fees &amp; TLF'!$C$19:$E$63,3,TRUE)+VLOOKUP(F15,'AD Fees &amp; TLF'!$G$19:$H$27,2,TRUE)+SUM('AD Fees &amp; TLF'!$H$30:$H$31)</x:f>
        <x:v>745</x:v>
      </x:c>
      <x:c r="J15" s="28" t="n">
        <x:f>VLOOKUP(G15,'AD Fees &amp; TLF'!$C$19:$E$63,2,TRUE)+G15*VLOOKUP(G15,'AD Fees &amp; TLF'!$C$19:$E$63,3,TRUE)+VLOOKUP(G15,'AD Fees &amp; TLF'!$G$19:$H$27,2,TRUE)+SUM('AD Fees &amp; TLF'!$H$30:$H$31)</x:f>
        <x:v>945</x:v>
      </x:c>
      <x:c r="K15" s="28" t="n">
        <x:f>VLOOKUP(H15,'AD Fees &amp; TLF'!$C$19:$E$63,2,TRUE)+H15*VLOOKUP(H15,'AD Fees &amp; TLF'!$C$19:$E$63,3,TRUE)+VLOOKUP(H15,'AD Fees &amp; TLF'!$G$19:$H$27,2,TRUE)+SUM('AD Fees &amp; TLF'!$H$30:$H$31)</x:f>
        <x:v>1060</x:v>
      </x:c>
      <x:c r="L15" s="28" t="n">
        <x:f>I15*'Vehicle Economics'!$K$13+J15*'Vehicle Economics'!$K$14+K15*'Vehicle Economics'!$K$15</x:f>
        <x:v>923.75</x:v>
      </x:c>
      <x:c r="M15" s="28" t="n">
        <x:f>L15+E15*'Vehicle Economics'!D$9</x:f>
        <x:v>1085.7330569091205</x:v>
      </x:c>
    </x:row>
    <x:row r="16" ht="18" customHeight="1">
      <x:c r="A16" s="2"/>
      <x:c r="B16" s="2"/>
      <x:c r="C16" s="105" t="str">
        <x:v>Car / 8</x:v>
      </x:c>
      <x:c r="D16" s="28" t="n">
        <x:f>'Vehicle Economics'!$J$9*EXP(-'Vehicle Economics'!$J$10*(8-10))*'Vehicle Economics'!D$7</x:f>
        <x:v>12214.027581601698</x:v>
      </x:c>
      <x:c r="E16" s="28" t="n">
        <x:f>D16*'Vehicle Economics'!D$8</x:f>
        <x:v>3664.2082744805093</x:v>
      </x:c>
      <x:c r="F16" s="28" t="n">
        <x:f>$E16*'Vehicle Economics'!$J$13</x:f>
        <x:v>1832.1041372402547</x:v>
      </x:c>
      <x:c r="G16" s="28" t="n">
        <x:f>$E16*'Vehicle Economics'!$J$14</x:f>
        <x:v>3664.2082744805093</x:v>
      </x:c>
      <x:c r="H16" s="28" t="n">
        <x:f>$E16*'Vehicle Economics'!$J$15</x:f>
        <x:v>5496.312411720764</x:v>
      </x:c>
      <x:c r="I16" s="28" t="n">
        <x:f>VLOOKUP(F16,'AD Fees &amp; TLF'!$C$19:$E$63,2,TRUE)+F16*VLOOKUP(F16,'AD Fees &amp; TLF'!$C$19:$E$63,3,TRUE)+VLOOKUP(F16,'AD Fees &amp; TLF'!$G$19:$H$27,2,TRUE)+SUM('AD Fees &amp; TLF'!$H$30:$H$31)</x:f>
        <x:v>705</x:v>
      </x:c>
      <x:c r="J16" s="28" t="n">
        <x:f>VLOOKUP(G16,'AD Fees &amp; TLF'!$C$19:$E$63,2,TRUE)+G16*VLOOKUP(G16,'AD Fees &amp; TLF'!$C$19:$E$63,3,TRUE)+VLOOKUP(G16,'AD Fees &amp; TLF'!$G$19:$H$27,2,TRUE)+SUM('AD Fees &amp; TLF'!$H$30:$H$31)</x:f>
        <x:v>915</x:v>
      </x:c>
      <x:c r="K16" s="28" t="n">
        <x:f>VLOOKUP(H16,'AD Fees &amp; TLF'!$C$19:$E$63,2,TRUE)+H16*VLOOKUP(H16,'AD Fees &amp; TLF'!$C$19:$E$63,3,TRUE)+VLOOKUP(H16,'AD Fees &amp; TLF'!$G$19:$H$27,2,TRUE)+SUM('AD Fees &amp; TLF'!$H$30:$H$31)</x:f>
        <x:v>995</x:v>
      </x:c>
      <x:c r="L16" s="28" t="n">
        <x:f>I16*'Vehicle Economics'!$K$13+J16*'Vehicle Economics'!$K$14+K16*'Vehicle Economics'!$K$15</x:f>
        <x:v>882.5</x:v>
      </x:c>
      <x:c r="M16" s="28" t="n">
        <x:f>L16+E16*'Vehicle Economics'!D$9</x:f>
        <x:v>1029.0683309792203</x:v>
      </x:c>
    </x:row>
    <x:row r="17" ht="18" customHeight="1">
      <x:c r="A17" s="2"/>
      <x:c r="B17" s="2"/>
      <x:c r="C17" s="105" t="str">
        <x:v>Car / 9</x:v>
      </x:c>
      <x:c r="D17" s="28" t="n">
        <x:f>'Vehicle Economics'!$J$9*EXP(-'Vehicle Economics'!$J$10*(9-10))*'Vehicle Economics'!D$7</x:f>
        <x:v>11051.709180756478</x:v>
      </x:c>
      <x:c r="E17" s="28" t="n">
        <x:f>D17*'Vehicle Economics'!D$8</x:f>
        <x:v>3315.5127542269433</x:v>
      </x:c>
      <x:c r="F17" s="28" t="n">
        <x:f>$E17*'Vehicle Economics'!$J$13</x:f>
        <x:v>1657.7563771134717</x:v>
      </x:c>
      <x:c r="G17" s="28" t="n">
        <x:f>$E17*'Vehicle Economics'!$J$14</x:f>
        <x:v>3315.5127542269433</x:v>
      </x:c>
      <x:c r="H17" s="28" t="n">
        <x:f>$E17*'Vehicle Economics'!$J$15</x:f>
        <x:v>4973.269131340415</x:v>
      </x:c>
      <x:c r="I17" s="28" t="n">
        <x:f>VLOOKUP(F17,'AD Fees &amp; TLF'!$C$19:$E$63,2,TRUE)+F17*VLOOKUP(F17,'AD Fees &amp; TLF'!$C$19:$E$63,3,TRUE)+VLOOKUP(F17,'AD Fees &amp; TLF'!$G$19:$H$27,2,TRUE)+SUM('AD Fees &amp; TLF'!$H$30:$H$31)</x:f>
        <x:v>660</x:v>
      </x:c>
      <x:c r="J17" s="28" t="n">
        <x:f>VLOOKUP(G17,'AD Fees &amp; TLF'!$C$19:$E$63,2,TRUE)+G17*VLOOKUP(G17,'AD Fees &amp; TLF'!$C$19:$E$63,3,TRUE)+VLOOKUP(G17,'AD Fees &amp; TLF'!$G$19:$H$27,2,TRUE)+SUM('AD Fees &amp; TLF'!$H$30:$H$31)</x:f>
        <x:v>865</x:v>
      </x:c>
      <x:c r="K17" s="28" t="n">
        <x:f>VLOOKUP(H17,'AD Fees &amp; TLF'!$C$19:$E$63,2,TRUE)+H17*VLOOKUP(H17,'AD Fees &amp; TLF'!$C$19:$E$63,3,TRUE)+VLOOKUP(H17,'AD Fees &amp; TLF'!$G$19:$H$27,2,TRUE)+SUM('AD Fees &amp; TLF'!$H$30:$H$31)</x:f>
        <x:v>970</x:v>
      </x:c>
      <x:c r="L17" s="28" t="n">
        <x:f>I17*'Vehicle Economics'!$K$13+J17*'Vehicle Economics'!$K$14+K17*'Vehicle Economics'!$K$15</x:f>
        <x:v>840</x:v>
      </x:c>
      <x:c r="M17" s="28" t="n">
        <x:f>L17+E17*'Vehicle Economics'!D$9</x:f>
        <x:v>972.6205101690778</x:v>
      </x:c>
    </x:row>
    <x:row r="18" ht="18" customHeight="1">
      <x:c r="A18" s="2"/>
      <x:c r="B18" s="2"/>
      <x:c r="C18" s="105" t="str">
        <x:v>Car / 10</x:v>
      </x:c>
      <x:c r="D18" s="28" t="n">
        <x:f>'Vehicle Economics'!$J$9*EXP(-'Vehicle Economics'!$J$10*(10-10))*'Vehicle Economics'!D$7</x:f>
        <x:v>10000</x:v>
      </x:c>
      <x:c r="E18" s="28" t="n">
        <x:f>D18*'Vehicle Economics'!D$8</x:f>
        <x:v>3000</x:v>
      </x:c>
      <x:c r="F18" s="28" t="n">
        <x:f>$E18*'Vehicle Economics'!$J$13</x:f>
        <x:v>1500</x:v>
      </x:c>
      <x:c r="G18" s="28" t="n">
        <x:f>$E18*'Vehicle Economics'!$J$14</x:f>
        <x:v>3000</x:v>
      </x:c>
      <x:c r="H18" s="28" t="n">
        <x:f>$E18*'Vehicle Economics'!$J$15</x:f>
        <x:v>4500</x:v>
      </x:c>
      <x:c r="I18" s="28" t="n">
        <x:f>VLOOKUP(F18,'AD Fees &amp; TLF'!$C$19:$E$63,2,TRUE)+F18*VLOOKUP(F18,'AD Fees &amp; TLF'!$C$19:$E$63,3,TRUE)+VLOOKUP(F18,'AD Fees &amp; TLF'!$G$19:$H$27,2,TRUE)+SUM('AD Fees &amp; TLF'!$H$30:$H$31)</x:f>
        <x:v>640</x:v>
      </x:c>
      <x:c r="J18" s="28" t="n">
        <x:f>VLOOKUP(G18,'AD Fees &amp; TLF'!$C$19:$E$63,2,TRUE)+G18*VLOOKUP(G18,'AD Fees &amp; TLF'!$C$19:$E$63,3,TRUE)+VLOOKUP(G18,'AD Fees &amp; TLF'!$G$19:$H$27,2,TRUE)+SUM('AD Fees &amp; TLF'!$H$30:$H$31)</x:f>
        <x:v>865</x:v>
      </x:c>
      <x:c r="K18" s="28" t="n">
        <x:f>VLOOKUP(H18,'AD Fees &amp; TLF'!$C$19:$E$63,2,TRUE)+H18*VLOOKUP(H18,'AD Fees &amp; TLF'!$C$19:$E$63,3,TRUE)+VLOOKUP(H18,'AD Fees &amp; TLF'!$G$19:$H$27,2,TRUE)+SUM('AD Fees &amp; TLF'!$H$30:$H$31)</x:f>
        <x:v>970</x:v>
      </x:c>
      <x:c r="L18" s="28" t="n">
        <x:f>I18*'Vehicle Economics'!$K$13+J18*'Vehicle Economics'!$K$14+K18*'Vehicle Economics'!$K$15</x:f>
        <x:v>835</x:v>
      </x:c>
      <x:c r="M18" s="28" t="n">
        <x:f>L18+E18*'Vehicle Economics'!D$9</x:f>
        <x:v>955</x:v>
      </x:c>
    </x:row>
    <x:row r="19" ht="18" customHeight="1">
      <x:c r="A19" s="2"/>
      <x:c r="B19" s="2"/>
      <x:c r="C19" s="105" t="str">
        <x:v>Car / 11</x:v>
      </x:c>
      <x:c r="D19" s="28" t="n">
        <x:f>'Vehicle Economics'!$J$9*EXP(-'Vehicle Economics'!$J$10*(11-10))*'Vehicle Economics'!D$7</x:f>
        <x:v>9048.374180359595</x:v>
      </x:c>
      <x:c r="E19" s="28" t="n">
        <x:f>D19*'Vehicle Economics'!D$8</x:f>
        <x:v>2714.5122541078786</x:v>
      </x:c>
      <x:c r="F19" s="28" t="n">
        <x:f>$E19*'Vehicle Economics'!$J$13</x:f>
        <x:v>1357.2561270539393</x:v>
      </x:c>
      <x:c r="G19" s="28" t="n">
        <x:f>$E19*'Vehicle Economics'!$J$14</x:f>
        <x:v>2714.5122541078786</x:v>
      </x:c>
      <x:c r="H19" s="28" t="n">
        <x:f>$E19*'Vehicle Economics'!$J$15</x:f>
        <x:v>4071.768381161818</x:v>
      </x:c>
      <x:c r="I19" s="28" t="n">
        <x:f>VLOOKUP(F19,'AD Fees &amp; TLF'!$C$19:$E$63,2,TRUE)+F19*VLOOKUP(F19,'AD Fees &amp; TLF'!$C$19:$E$63,3,TRUE)+VLOOKUP(F19,'AD Fees &amp; TLF'!$G$19:$H$27,2,TRUE)+SUM('AD Fees &amp; TLF'!$H$30:$H$31)</x:f>
        <x:v>595</x:v>
      </x:c>
      <x:c r="J19" s="28" t="n">
        <x:f>VLOOKUP(G19,'AD Fees &amp; TLF'!$C$19:$E$63,2,TRUE)+G19*VLOOKUP(G19,'AD Fees &amp; TLF'!$C$19:$E$63,3,TRUE)+VLOOKUP(G19,'AD Fees &amp; TLF'!$G$19:$H$27,2,TRUE)+SUM('AD Fees &amp; TLF'!$H$30:$H$31)</x:f>
        <x:v>820</x:v>
      </x:c>
      <x:c r="K19" s="28" t="n">
        <x:f>VLOOKUP(H19,'AD Fees &amp; TLF'!$C$19:$E$63,2,TRUE)+H19*VLOOKUP(H19,'AD Fees &amp; TLF'!$C$19:$E$63,3,TRUE)+VLOOKUP(H19,'AD Fees &amp; TLF'!$G$19:$H$27,2,TRUE)+SUM('AD Fees &amp; TLF'!$H$30:$H$31)</x:f>
        <x:v>945</x:v>
      </x:c>
      <x:c r="L19" s="28" t="n">
        <x:f>I19*'Vehicle Economics'!$K$13+J19*'Vehicle Economics'!$K$14+K19*'Vehicle Economics'!$K$15</x:f>
        <x:v>795</x:v>
      </x:c>
      <x:c r="M19" s="28" t="n">
        <x:f>L19+E19*'Vehicle Economics'!D$9</x:f>
        <x:v>903.5804901643152</x:v>
      </x:c>
    </x:row>
    <x:row r="20" ht="18" customHeight="1">
      <x:c r="A20" s="2"/>
      <x:c r="B20" s="2"/>
      <x:c r="C20" s="105" t="str">
        <x:v>Car / 12</x:v>
      </x:c>
      <x:c r="D20" s="28" t="n">
        <x:f>'Vehicle Economics'!$J$9*EXP(-'Vehicle Economics'!$J$10*(12-10))*'Vehicle Economics'!D$7</x:f>
        <x:v>8187.307530779818</x:v>
      </x:c>
      <x:c r="E20" s="28" t="n">
        <x:f>D20*'Vehicle Economics'!D$8</x:f>
        <x:v>2456.192259233945</x:v>
      </x:c>
      <x:c r="F20" s="28" t="n">
        <x:f>$E20*'Vehicle Economics'!$J$13</x:f>
        <x:v>1228.0961296169726</x:v>
      </x:c>
      <x:c r="G20" s="28" t="n">
        <x:f>$E20*'Vehicle Economics'!$J$14</x:f>
        <x:v>2456.192259233945</x:v>
      </x:c>
      <x:c r="H20" s="28" t="n">
        <x:f>$E20*'Vehicle Economics'!$J$15</x:f>
        <x:v>3684.2883888509177</x:v>
      </x:c>
      <x:c r="I20" s="28" t="n">
        <x:f>VLOOKUP(F20,'AD Fees &amp; TLF'!$C$19:$E$63,2,TRUE)+F20*VLOOKUP(F20,'AD Fees &amp; TLF'!$C$19:$E$63,3,TRUE)+VLOOKUP(F20,'AD Fees &amp; TLF'!$G$19:$H$27,2,TRUE)+SUM('AD Fees &amp; TLF'!$H$30:$H$31)</x:f>
        <x:v>580</x:v>
      </x:c>
      <x:c r="J20" s="28" t="n">
        <x:f>VLOOKUP(G20,'AD Fees &amp; TLF'!$C$19:$E$63,2,TRUE)+G20*VLOOKUP(G20,'AD Fees &amp; TLF'!$C$19:$E$63,3,TRUE)+VLOOKUP(G20,'AD Fees &amp; TLF'!$G$19:$H$27,2,TRUE)+SUM('AD Fees &amp; TLF'!$H$30:$H$31)</x:f>
        <x:v>780</x:v>
      </x:c>
      <x:c r="K20" s="28" t="n">
        <x:f>VLOOKUP(H20,'AD Fees &amp; TLF'!$C$19:$E$63,2,TRUE)+H20*VLOOKUP(H20,'AD Fees &amp; TLF'!$C$19:$E$63,3,TRUE)+VLOOKUP(H20,'AD Fees &amp; TLF'!$G$19:$H$27,2,TRUE)+SUM('AD Fees &amp; TLF'!$H$30:$H$31)</x:f>
        <x:v>915</x:v>
      </x:c>
      <x:c r="L20" s="28" t="n">
        <x:f>I20*'Vehicle Economics'!$K$13+J20*'Vehicle Economics'!$K$14+K20*'Vehicle Economics'!$K$15</x:f>
        <x:v>763.75</x:v>
      </x:c>
      <x:c r="M20" s="28" t="n">
        <x:f>L20+E20*'Vehicle Economics'!D$9</x:f>
        <x:v>861.9976903693578</x:v>
      </x:c>
    </x:row>
    <x:row r="21" ht="18" customHeight="1">
      <x:c r="A21" s="2"/>
      <x:c r="B21" s="2"/>
      <x:c r="C21" s="105" t="str">
        <x:v>Car / 13</x:v>
      </x:c>
      <x:c r="D21" s="28" t="n">
        <x:f>'Vehicle Economics'!$J$9*EXP(-'Vehicle Economics'!$J$10*(13-10))*'Vehicle Economics'!D$7</x:f>
        <x:v>7408.182206817178</x:v>
      </x:c>
      <x:c r="E21" s="28" t="n">
        <x:f>D21*'Vehicle Economics'!D$8</x:f>
        <x:v>2222.4546620451533</x:v>
      </x:c>
      <x:c r="F21" s="28" t="n">
        <x:f>$E21*'Vehicle Economics'!$J$13</x:f>
        <x:v>1111.2273310225767</x:v>
      </x:c>
      <x:c r="G21" s="28" t="n">
        <x:f>$E21*'Vehicle Economics'!$J$14</x:f>
        <x:v>2222.4546620451533</x:v>
      </x:c>
      <x:c r="H21" s="28" t="n">
        <x:f>$E21*'Vehicle Economics'!$J$15</x:f>
        <x:v>3333.68199306773</x:v>
      </x:c>
      <x:c r="I21" s="28" t="n">
        <x:f>VLOOKUP(F21,'AD Fees &amp; TLF'!$C$19:$E$63,2,TRUE)+F21*VLOOKUP(F21,'AD Fees &amp; TLF'!$C$19:$E$63,3,TRUE)+VLOOKUP(F21,'AD Fees &amp; TLF'!$G$19:$H$27,2,TRUE)+SUM('AD Fees &amp; TLF'!$H$30:$H$31)</x:f>
        <x:v>560</x:v>
      </x:c>
      <x:c r="J21" s="28" t="n">
        <x:f>VLOOKUP(G21,'AD Fees &amp; TLF'!$C$19:$E$63,2,TRUE)+G21*VLOOKUP(G21,'AD Fees &amp; TLF'!$C$19:$E$63,3,TRUE)+VLOOKUP(G21,'AD Fees &amp; TLF'!$G$19:$H$27,2,TRUE)+SUM('AD Fees &amp; TLF'!$H$30:$H$31)</x:f>
        <x:v>745</x:v>
      </x:c>
      <x:c r="K21" s="28" t="n">
        <x:f>VLOOKUP(H21,'AD Fees &amp; TLF'!$C$19:$E$63,2,TRUE)+H21*VLOOKUP(H21,'AD Fees &amp; TLF'!$C$19:$E$63,3,TRUE)+VLOOKUP(H21,'AD Fees &amp; TLF'!$G$19:$H$27,2,TRUE)+SUM('AD Fees &amp; TLF'!$H$30:$H$31)</x:f>
        <x:v>865</x:v>
      </x:c>
      <x:c r="L21" s="28" t="n">
        <x:f>I21*'Vehicle Economics'!$K$13+J21*'Vehicle Economics'!$K$14+K21*'Vehicle Economics'!$K$15</x:f>
        <x:v>728.75</x:v>
      </x:c>
      <x:c r="M21" s="28" t="n">
        <x:f>L21+E21*'Vehicle Economics'!D$9</x:f>
        <x:v>817.6481864818061</x:v>
      </x:c>
    </x:row>
    <x:row r="22" ht="18" customHeight="1">
      <x:c r="A22" s="2"/>
      <x:c r="B22" s="2"/>
      <x:c r="C22" s="105" t="str">
        <x:v>Car / 14</x:v>
      </x:c>
      <x:c r="D22" s="28" t="n">
        <x:f>'Vehicle Economics'!$J$9*EXP(-'Vehicle Economics'!$J$10*(14-10))*'Vehicle Economics'!D$7</x:f>
        <x:v>6703.200460356394</x:v>
      </x:c>
      <x:c r="E22" s="28" t="n">
        <x:f>D22*'Vehicle Economics'!D$8</x:f>
        <x:v>2010.960138106918</x:v>
      </x:c>
      <x:c r="F22" s="28" t="n">
        <x:f>$E22*'Vehicle Economics'!$J$13</x:f>
        <x:v>1005.480069053459</x:v>
      </x:c>
      <x:c r="G22" s="28" t="n">
        <x:f>$E22*'Vehicle Economics'!$J$14</x:f>
        <x:v>2010.960138106918</x:v>
      </x:c>
      <x:c r="H22" s="28" t="n">
        <x:f>$E22*'Vehicle Economics'!$J$15</x:f>
        <x:v>3016.440207160377</x:v>
      </x:c>
      <x:c r="I22" s="28" t="n">
        <x:f>VLOOKUP(F22,'AD Fees &amp; TLF'!$C$19:$E$63,2,TRUE)+F22*VLOOKUP(F22,'AD Fees &amp; TLF'!$C$19:$E$63,3,TRUE)+VLOOKUP(F22,'AD Fees &amp; TLF'!$G$19:$H$27,2,TRUE)+SUM('AD Fees &amp; TLF'!$H$30:$H$31)</x:f>
        <x:v>560</x:v>
      </x:c>
      <x:c r="J22" s="28" t="n">
        <x:f>VLOOKUP(G22,'AD Fees &amp; TLF'!$C$19:$E$63,2,TRUE)+G22*VLOOKUP(G22,'AD Fees &amp; TLF'!$C$19:$E$63,3,TRUE)+VLOOKUP(G22,'AD Fees &amp; TLF'!$G$19:$H$27,2,TRUE)+SUM('AD Fees &amp; TLF'!$H$30:$H$31)</x:f>
        <x:v>745</x:v>
      </x:c>
      <x:c r="K22" s="28" t="n">
        <x:f>VLOOKUP(H22,'AD Fees &amp; TLF'!$C$19:$E$63,2,TRUE)+H22*VLOOKUP(H22,'AD Fees &amp; TLF'!$C$19:$E$63,3,TRUE)+VLOOKUP(H22,'AD Fees &amp; TLF'!$G$19:$H$27,2,TRUE)+SUM('AD Fees &amp; TLF'!$H$30:$H$31)</x:f>
        <x:v>865</x:v>
      </x:c>
      <x:c r="L22" s="28" t="n">
        <x:f>I22*'Vehicle Economics'!$K$13+J22*'Vehicle Economics'!$K$14+K22*'Vehicle Economics'!$K$15</x:f>
        <x:v>728.75</x:v>
      </x:c>
      <x:c r="M22" s="28" t="n">
        <x:f>L22+E22*'Vehicle Economics'!D$9</x:f>
        <x:v>809.1884055242767</x:v>
      </x:c>
    </x:row>
    <x:row r="23" ht="18" customHeight="1">
      <x:c r="A23" s="2"/>
      <x:c r="B23" s="2"/>
      <x:c r="C23" s="105" t="str">
        <x:v>Car / 15</x:v>
      </x:c>
      <x:c r="D23" s="28" t="n">
        <x:f>'Vehicle Economics'!$J$9*EXP(-'Vehicle Economics'!$J$10*(15-10))*'Vehicle Economics'!D$7</x:f>
        <x:v>6065.306597126334</x:v>
      </x:c>
      <x:c r="E23" s="28" t="n">
        <x:f>D23*'Vehicle Economics'!D$8</x:f>
        <x:v>1819.5919791379001</x:v>
      </x:c>
      <x:c r="F23" s="28" t="n">
        <x:f>$E23*'Vehicle Economics'!$J$13</x:f>
        <x:v>909.7959895689501</x:v>
      </x:c>
      <x:c r="G23" s="28" t="n">
        <x:f>$E23*'Vehicle Economics'!$J$14</x:f>
        <x:v>1819.5919791379001</x:v>
      </x:c>
      <x:c r="H23" s="28" t="n">
        <x:f>$E23*'Vehicle Economics'!$J$15</x:f>
        <x:v>2729.38796870685</x:v>
      </x:c>
      <x:c r="I23" s="28" t="n">
        <x:f>VLOOKUP(F23,'AD Fees &amp; TLF'!$C$19:$E$63,2,TRUE)+F23*VLOOKUP(F23,'AD Fees &amp; TLF'!$C$19:$E$63,3,TRUE)+VLOOKUP(F23,'AD Fees &amp; TLF'!$G$19:$H$27,2,TRUE)+SUM('AD Fees &amp; TLF'!$H$30:$H$31)</x:f>
        <x:v>485</x:v>
      </x:c>
      <x:c r="J23" s="28" t="n">
        <x:f>VLOOKUP(G23,'AD Fees &amp; TLF'!$C$19:$E$63,2,TRUE)+G23*VLOOKUP(G23,'AD Fees &amp; TLF'!$C$19:$E$63,3,TRUE)+VLOOKUP(G23,'AD Fees &amp; TLF'!$G$19:$H$27,2,TRUE)+SUM('AD Fees &amp; TLF'!$H$30:$H$31)</x:f>
        <x:v>705</x:v>
      </x:c>
      <x:c r="K23" s="28" t="n">
        <x:f>VLOOKUP(H23,'AD Fees &amp; TLF'!$C$19:$E$63,2,TRUE)+H23*VLOOKUP(H23,'AD Fees &amp; TLF'!$C$19:$E$63,3,TRUE)+VLOOKUP(H23,'AD Fees &amp; TLF'!$G$19:$H$27,2,TRUE)+SUM('AD Fees &amp; TLF'!$H$30:$H$31)</x:f>
        <x:v>820</x:v>
      </x:c>
      <x:c r="L23" s="28" t="n">
        <x:f>I23*'Vehicle Economics'!$K$13+J23*'Vehicle Economics'!$K$14+K23*'Vehicle Economics'!$K$15</x:f>
        <x:v>678.75</x:v>
      </x:c>
      <x:c r="M23" s="28" t="n">
        <x:f>L23+E23*'Vehicle Economics'!D$9</x:f>
        <x:v>751.533679165516</x:v>
      </x:c>
    </x:row>
    <x:row r="24" ht="18" customHeight="1">
      <x:c r="A24" s="2"/>
      <x:c r="B24" s="2"/>
      <x:c r="C24" s="105" t="str">
        <x:v>Car / 16</x:v>
      </x:c>
      <x:c r="D24" s="28" t="n">
        <x:f>'Vehicle Economics'!$J$9*EXP(-'Vehicle Economics'!$J$10*(16-10))*'Vehicle Economics'!D$7</x:f>
        <x:v>5488.116360940264</x:v>
      </x:c>
      <x:c r="E24" s="28" t="n">
        <x:f>D24*'Vehicle Economics'!D$8</x:f>
        <x:v>1646.434908282079</x:v>
      </x:c>
      <x:c r="F24" s="28" t="n">
        <x:f>$E24*'Vehicle Economics'!$J$13</x:f>
        <x:v>823.2174541410395</x:v>
      </x:c>
      <x:c r="G24" s="28" t="n">
        <x:f>$E24*'Vehicle Economics'!$J$14</x:f>
        <x:v>1646.434908282079</x:v>
      </x:c>
      <x:c r="H24" s="28" t="n">
        <x:f>$E24*'Vehicle Economics'!$J$15</x:f>
        <x:v>2469.6523624231186</x:v>
      </x:c>
      <x:c r="I24" s="28" t="n">
        <x:f>VLOOKUP(F24,'AD Fees &amp; TLF'!$C$19:$E$63,2,TRUE)+F24*VLOOKUP(F24,'AD Fees &amp; TLF'!$C$19:$E$63,3,TRUE)+VLOOKUP(F24,'AD Fees &amp; TLF'!$G$19:$H$27,2,TRUE)+SUM('AD Fees &amp; TLF'!$H$30:$H$31)</x:f>
        <x:v>460</x:v>
      </x:c>
      <x:c r="J24" s="28" t="n">
        <x:f>VLOOKUP(G24,'AD Fees &amp; TLF'!$C$19:$E$63,2,TRUE)+G24*VLOOKUP(G24,'AD Fees &amp; TLF'!$C$19:$E$63,3,TRUE)+VLOOKUP(G24,'AD Fees &amp; TLF'!$G$19:$H$27,2,TRUE)+SUM('AD Fees &amp; TLF'!$H$30:$H$31)</x:f>
        <x:v>660</x:v>
      </x:c>
      <x:c r="K24" s="28" t="n">
        <x:f>VLOOKUP(H24,'AD Fees &amp; TLF'!$C$19:$E$63,2,TRUE)+H24*VLOOKUP(H24,'AD Fees &amp; TLF'!$C$19:$E$63,3,TRUE)+VLOOKUP(H24,'AD Fees &amp; TLF'!$G$19:$H$27,2,TRUE)+SUM('AD Fees &amp; TLF'!$H$30:$H$31)</x:f>
        <x:v>780</x:v>
      </x:c>
      <x:c r="L24" s="28" t="n">
        <x:f>I24*'Vehicle Economics'!$K$13+J24*'Vehicle Economics'!$K$14+K24*'Vehicle Economics'!$K$15</x:f>
        <x:v>640</x:v>
      </x:c>
      <x:c r="M24" s="28" t="n">
        <x:f>L24+E24*'Vehicle Economics'!D$9</x:f>
        <x:v>705.8573963312832</x:v>
      </x:c>
    </x:row>
    <x:row r="25" ht="18" customHeight="1">
      <x:c r="A25" s="2"/>
      <x:c r="B25" s="2"/>
      <x:c r="C25" s="105" t="str">
        <x:v>Car / 17</x:v>
      </x:c>
      <x:c r="D25" s="28" t="n">
        <x:f>'Vehicle Economics'!$J$9*EXP(-'Vehicle Economics'!$J$10*(17-10))*'Vehicle Economics'!D$7</x:f>
        <x:v>4965.853037914095</x:v>
      </x:c>
      <x:c r="E25" s="28" t="n">
        <x:f>D25*'Vehicle Economics'!D$8</x:f>
        <x:v>1489.7559113742284</x:v>
      </x:c>
      <x:c r="F25" s="28" t="n">
        <x:f>$E25*'Vehicle Economics'!$J$13</x:f>
        <x:v>744.8779556871142</x:v>
      </x:c>
      <x:c r="G25" s="28" t="n">
        <x:f>$E25*'Vehicle Economics'!$J$14</x:f>
        <x:v>1489.7559113742284</x:v>
      </x:c>
      <x:c r="H25" s="28" t="n">
        <x:f>$E25*'Vehicle Economics'!$J$15</x:f>
        <x:v>2234.6338670613427</x:v>
      </x:c>
      <x:c r="I25" s="28" t="n">
        <x:f>VLOOKUP(F25,'AD Fees &amp; TLF'!$C$19:$E$63,2,TRUE)+F25*VLOOKUP(F25,'AD Fees &amp; TLF'!$C$19:$E$63,3,TRUE)+VLOOKUP(F25,'AD Fees &amp; TLF'!$G$19:$H$27,2,TRUE)+SUM('AD Fees &amp; TLF'!$H$30:$H$31)</x:f>
        <x:v>435</x:v>
      </x:c>
      <x:c r="J25" s="28" t="n">
        <x:f>VLOOKUP(G25,'AD Fees &amp; TLF'!$C$19:$E$63,2,TRUE)+G25*VLOOKUP(G25,'AD Fees &amp; TLF'!$C$19:$E$63,3,TRUE)+VLOOKUP(G25,'AD Fees &amp; TLF'!$G$19:$H$27,2,TRUE)+SUM('AD Fees &amp; TLF'!$H$30:$H$31)</x:f>
        <x:v>615</x:v>
      </x:c>
      <x:c r="K25" s="28" t="n">
        <x:f>VLOOKUP(H25,'AD Fees &amp; TLF'!$C$19:$E$63,2,TRUE)+H25*VLOOKUP(H25,'AD Fees &amp; TLF'!$C$19:$E$63,3,TRUE)+VLOOKUP(H25,'AD Fees &amp; TLF'!$G$19:$H$27,2,TRUE)+SUM('AD Fees &amp; TLF'!$H$30:$H$31)</x:f>
        <x:v>745</x:v>
      </x:c>
      <x:c r="L25" s="28" t="n">
        <x:f>I25*'Vehicle Economics'!$K$13+J25*'Vehicle Economics'!$K$14+K25*'Vehicle Economics'!$K$15</x:f>
        <x:v>602.5</x:v>
      </x:c>
      <x:c r="M25" s="28" t="n">
        <x:f>L25+E25*'Vehicle Economics'!D$9</x:f>
        <x:v>662.0902364549692</x:v>
      </x:c>
    </x:row>
    <x:row r="26" ht="18" customHeight="1">
      <x:c r="A26" s="2"/>
      <x:c r="B26" s="2"/>
      <x:c r="C26" s="105" t="str">
        <x:v>Car / 18</x:v>
      </x:c>
      <x:c r="D26" s="28" t="n">
        <x:f>'Vehicle Economics'!$J$9*EXP(-'Vehicle Economics'!$J$10*(18-10))*'Vehicle Economics'!D$7</x:f>
        <x:v>4493.289641172216</x:v>
      </x:c>
      <x:c r="E26" s="28" t="n">
        <x:f>D26*'Vehicle Economics'!D$8</x:f>
        <x:v>1347.9868923516647</x:v>
      </x:c>
      <x:c r="F26" s="28" t="n">
        <x:f>$E26*'Vehicle Economics'!$J$13</x:f>
        <x:v>673.9934461758323</x:v>
      </x:c>
      <x:c r="G26" s="28" t="n">
        <x:f>$E26*'Vehicle Economics'!$J$14</x:f>
        <x:v>1347.9868923516647</x:v>
      </x:c>
      <x:c r="H26" s="28" t="n">
        <x:f>$E26*'Vehicle Economics'!$J$15</x:f>
        <x:v>2021.980338527497</x:v>
      </x:c>
      <x:c r="I26" s="28" t="n">
        <x:f>VLOOKUP(F26,'AD Fees &amp; TLF'!$C$19:$E$63,2,TRUE)+F26*VLOOKUP(F26,'AD Fees &amp; TLF'!$C$19:$E$63,3,TRUE)+VLOOKUP(F26,'AD Fees &amp; TLF'!$G$19:$H$27,2,TRUE)+SUM('AD Fees &amp; TLF'!$H$30:$H$31)</x:f>
        <x:v>405</x:v>
      </x:c>
      <x:c r="J26" s="28" t="n">
        <x:f>VLOOKUP(G26,'AD Fees &amp; TLF'!$C$19:$E$63,2,TRUE)+G26*VLOOKUP(G26,'AD Fees &amp; TLF'!$C$19:$E$63,3,TRUE)+VLOOKUP(G26,'AD Fees &amp; TLF'!$G$19:$H$27,2,TRUE)+SUM('AD Fees &amp; TLF'!$H$30:$H$31)</x:f>
        <x:v>595</x:v>
      </x:c>
      <x:c r="K26" s="28" t="n">
        <x:f>VLOOKUP(H26,'AD Fees &amp; TLF'!$C$19:$E$63,2,TRUE)+H26*VLOOKUP(H26,'AD Fees &amp; TLF'!$C$19:$E$63,3,TRUE)+VLOOKUP(H26,'AD Fees &amp; TLF'!$G$19:$H$27,2,TRUE)+SUM('AD Fees &amp; TLF'!$H$30:$H$31)</x:f>
        <x:v>745</x:v>
      </x:c>
      <x:c r="L26" s="28" t="n">
        <x:f>I26*'Vehicle Economics'!$K$13+J26*'Vehicle Economics'!$K$14+K26*'Vehicle Economics'!$K$15</x:f>
        <x:v>585</x:v>
      </x:c>
      <x:c r="M26" s="28" t="n">
        <x:f>L26+E26*'Vehicle Economics'!D$9</x:f>
        <x:v>638.9194756940666</x:v>
      </x:c>
    </x:row>
    <x:row r="27" ht="18" customHeight="1">
      <x:c r="A27" s="2"/>
      <x:c r="B27" s="2"/>
      <x:c r="C27" s="105" t="str">
        <x:v>Car / 19</x:v>
      </x:c>
      <x:c r="D27" s="28" t="n">
        <x:f>'Vehicle Economics'!$J$9*EXP(-'Vehicle Economics'!$J$10*(19-10))*'Vehicle Economics'!D$7</x:f>
        <x:v>4065.6965974059913</x:v>
      </x:c>
      <x:c r="E27" s="28" t="n">
        <x:f>D27*'Vehicle Economics'!D$8</x:f>
        <x:v>1219.7089792217973</x:v>
      </x:c>
      <x:c r="F27" s="28" t="n">
        <x:f>$E27*'Vehicle Economics'!$J$13</x:f>
        <x:v>609.8544896108987</x:v>
      </x:c>
      <x:c r="G27" s="28" t="n">
        <x:f>$E27*'Vehicle Economics'!$J$14</x:f>
        <x:v>1219.7089792217973</x:v>
      </x:c>
      <x:c r="H27" s="28" t="n">
        <x:f>$E27*'Vehicle Economics'!$J$15</x:f>
        <x:v>1829.563468832696</x:v>
      </x:c>
      <x:c r="I27" s="28" t="n">
        <x:f>VLOOKUP(F27,'AD Fees &amp; TLF'!$C$19:$E$63,2,TRUE)+F27*VLOOKUP(F27,'AD Fees &amp; TLF'!$C$19:$E$63,3,TRUE)+VLOOKUP(F27,'AD Fees &amp; TLF'!$G$19:$H$27,2,TRUE)+SUM('AD Fees &amp; TLF'!$H$30:$H$31)</x:f>
        <x:v>405</x:v>
      </x:c>
      <x:c r="J27" s="28" t="n">
        <x:f>VLOOKUP(G27,'AD Fees &amp; TLF'!$C$19:$E$63,2,TRUE)+G27*VLOOKUP(G27,'AD Fees &amp; TLF'!$C$19:$E$63,3,TRUE)+VLOOKUP(G27,'AD Fees &amp; TLF'!$G$19:$H$27,2,TRUE)+SUM('AD Fees &amp; TLF'!$H$30:$H$31)</x:f>
        <x:v>580</x:v>
      </x:c>
      <x:c r="K27" s="28" t="n">
        <x:f>VLOOKUP(H27,'AD Fees &amp; TLF'!$C$19:$E$63,2,TRUE)+H27*VLOOKUP(H27,'AD Fees &amp; TLF'!$C$19:$E$63,3,TRUE)+VLOOKUP(H27,'AD Fees &amp; TLF'!$G$19:$H$27,2,TRUE)+SUM('AD Fees &amp; TLF'!$H$30:$H$31)</x:f>
        <x:v>705</x:v>
      </x:c>
      <x:c r="L27" s="28" t="n">
        <x:f>I27*'Vehicle Economics'!$K$13+J27*'Vehicle Economics'!$K$14+K27*'Vehicle Economics'!$K$15</x:f>
        <x:v>567.5</x:v>
      </x:c>
      <x:c r="M27" s="28" t="n">
        <x:f>L27+E27*'Vehicle Economics'!D$9</x:f>
        <x:v>616.2883591688719</x:v>
      </x:c>
    </x:row>
    <x:row r="28" ht="18" customHeight="1">
      <x:c r="A28" s="2"/>
      <x:c r="B28" s="2"/>
      <x:c r="C28" s="105" t="str">
        <x:v>Car / 20</x:v>
      </x:c>
      <x:c r="D28" s="28" t="n">
        <x:f>'Vehicle Economics'!$J$9*EXP(-'Vehicle Economics'!$J$10*(20-10))*'Vehicle Economics'!D$7</x:f>
        <x:v>3678.7944117144234</x:v>
      </x:c>
      <x:c r="E28" s="28" t="n">
        <x:f>D28*'Vehicle Economics'!D$8</x:f>
        <x:v>1103.6383235143269</x:v>
      </x:c>
      <x:c r="F28" s="28" t="n">
        <x:f>$E28*'Vehicle Economics'!$J$13</x:f>
        <x:v>551.8191617571634</x:v>
      </x:c>
      <x:c r="G28" s="28" t="n">
        <x:f>$E28*'Vehicle Economics'!$J$14</x:f>
        <x:v>1103.6383235143269</x:v>
      </x:c>
      <x:c r="H28" s="28" t="n">
        <x:f>$E28*'Vehicle Economics'!$J$15</x:f>
        <x:v>1655.4574852714904</x:v>
      </x:c>
      <x:c r="I28" s="28" t="n">
        <x:f>VLOOKUP(F28,'AD Fees &amp; TLF'!$C$19:$E$63,2,TRUE)+F28*VLOOKUP(F28,'AD Fees &amp; TLF'!$C$19:$E$63,3,TRUE)+VLOOKUP(F28,'AD Fees &amp; TLF'!$G$19:$H$27,2,TRUE)+SUM('AD Fees &amp; TLF'!$H$30:$H$31)</x:f>
        <x:v>375</x:v>
      </x:c>
      <x:c r="J28" s="28" t="n">
        <x:f>VLOOKUP(G28,'AD Fees &amp; TLF'!$C$19:$E$63,2,TRUE)+G28*VLOOKUP(G28,'AD Fees &amp; TLF'!$C$19:$E$63,3,TRUE)+VLOOKUP(G28,'AD Fees &amp; TLF'!$G$19:$H$27,2,TRUE)+SUM('AD Fees &amp; TLF'!$H$30:$H$31)</x:f>
        <x:v>560</x:v>
      </x:c>
      <x:c r="K28" s="28" t="n">
        <x:f>VLOOKUP(H28,'AD Fees &amp; TLF'!$C$19:$E$63,2,TRUE)+H28*VLOOKUP(H28,'AD Fees &amp; TLF'!$C$19:$E$63,3,TRUE)+VLOOKUP(H28,'AD Fees &amp; TLF'!$G$19:$H$27,2,TRUE)+SUM('AD Fees &amp; TLF'!$H$30:$H$31)</x:f>
        <x:v>660</x:v>
      </x:c>
      <x:c r="L28" s="28" t="n">
        <x:f>I28*'Vehicle Economics'!$K$13+J28*'Vehicle Economics'!$K$14+K28*'Vehicle Economics'!$K$15</x:f>
        <x:v>538.75</x:v>
      </x:c>
      <x:c r="M28" s="28" t="n">
        <x:f>L28+E28*'Vehicle Economics'!D$9</x:f>
        <x:v>582.895532940573</x:v>
      </x:c>
    </x:row>
    <x:row r="29" ht="18" customHeight="1">
      <x:c r="A29" s="2"/>
      <x:c r="B29" s="2"/>
      <x:c r="C29" s="105" t="str">
        <x:v>Car / 21</x:v>
      </x:c>
      <x:c r="D29" s="28" t="n">
        <x:f>'Vehicle Economics'!$J$9*EXP(-'Vehicle Economics'!$J$10*(21-10))*'Vehicle Economics'!D$7</x:f>
        <x:v>3328.7108369807947</x:v>
      </x:c>
      <x:c r="E29" s="28" t="n">
        <x:f>D29*'Vehicle Economics'!D$8</x:f>
        <x:v>998.6132510942384</x:v>
      </x:c>
      <x:c r="F29" s="28" t="n">
        <x:f>$E29*'Vehicle Economics'!$J$13</x:f>
        <x:v>499.3066255471192</x:v>
      </x:c>
      <x:c r="G29" s="28" t="n">
        <x:f>$E29*'Vehicle Economics'!$J$14</x:f>
        <x:v>998.6132510942384</x:v>
      </x:c>
      <x:c r="H29" s="28" t="n">
        <x:f>$E29*'Vehicle Economics'!$J$15</x:f>
        <x:v>1497.9198766413576</x:v>
      </x:c>
      <x:c r="I29" s="28" t="n">
        <x:f>VLOOKUP(F29,'AD Fees &amp; TLF'!$C$19:$E$63,2,TRUE)+F29*VLOOKUP(F29,'AD Fees &amp; TLF'!$C$19:$E$63,3,TRUE)+VLOOKUP(F29,'AD Fees &amp; TLF'!$G$19:$H$27,2,TRUE)+SUM('AD Fees &amp; TLF'!$H$30:$H$31)</x:f>
        <x:v>335</x:v>
      </x:c>
      <x:c r="J29" s="28" t="n">
        <x:f>VLOOKUP(G29,'AD Fees &amp; TLF'!$C$19:$E$63,2,TRUE)+G29*VLOOKUP(G29,'AD Fees &amp; TLF'!$C$19:$E$63,3,TRUE)+VLOOKUP(G29,'AD Fees &amp; TLF'!$G$19:$H$27,2,TRUE)+SUM('AD Fees &amp; TLF'!$H$30:$H$31)</x:f>
        <x:v>485</x:v>
      </x:c>
      <x:c r="K29" s="28" t="n">
        <x:f>VLOOKUP(H29,'AD Fees &amp; TLF'!$C$19:$E$63,2,TRUE)+H29*VLOOKUP(H29,'AD Fees &amp; TLF'!$C$19:$E$63,3,TRUE)+VLOOKUP(H29,'AD Fees &amp; TLF'!$G$19:$H$27,2,TRUE)+SUM('AD Fees &amp; TLF'!$H$30:$H$31)</x:f>
        <x:v>615</x:v>
      </x:c>
      <x:c r="L29" s="28" t="n">
        <x:f>I29*'Vehicle Economics'!$K$13+J29*'Vehicle Economics'!$K$14+K29*'Vehicle Economics'!$K$15</x:f>
        <x:v>480</x:v>
      </x:c>
      <x:c r="M29" s="28" t="n">
        <x:f>L29+E29*'Vehicle Economics'!D$9</x:f>
        <x:v>519.9445300437695</x:v>
      </x:c>
    </x:row>
    <x:row r="30" ht="18" customHeight="1">
      <x:c r="A30" s="2"/>
      <x:c r="B30" s="2"/>
      <x:c r="C30" s="105" t="str">
        <x:v>Car / 22</x:v>
      </x:c>
      <x:c r="D30" s="28" t="n">
        <x:f>'Vehicle Economics'!$J$9*EXP(-'Vehicle Economics'!$J$10*(22-10))*'Vehicle Economics'!D$7</x:f>
        <x:v>3011.9421191220204</x:v>
      </x:c>
      <x:c r="E30" s="28" t="n">
        <x:f>D30*'Vehicle Economics'!D$8</x:f>
        <x:v>903.5826357366061</x:v>
      </x:c>
      <x:c r="F30" s="28" t="n">
        <x:f>$E30*'Vehicle Economics'!$J$13</x:f>
        <x:v>451.79131786830305</x:v>
      </x:c>
      <x:c r="G30" s="28" t="n">
        <x:f>$E30*'Vehicle Economics'!$J$14</x:f>
        <x:v>903.5826357366061</x:v>
      </x:c>
      <x:c r="H30" s="28" t="n">
        <x:f>$E30*'Vehicle Economics'!$J$15</x:f>
        <x:v>1355.3739536049093</x:v>
      </x:c>
      <x:c r="I30" s="28" t="n">
        <x:f>VLOOKUP(F30,'AD Fees &amp; TLF'!$C$19:$E$63,2,TRUE)+F30*VLOOKUP(F30,'AD Fees &amp; TLF'!$C$19:$E$63,3,TRUE)+VLOOKUP(F30,'AD Fees &amp; TLF'!$G$19:$H$27,2,TRUE)+SUM('AD Fees &amp; TLF'!$H$30:$H$31)</x:f>
        <x:v>335</x:v>
      </x:c>
      <x:c r="J30" s="28" t="n">
        <x:f>VLOOKUP(G30,'AD Fees &amp; TLF'!$C$19:$E$63,2,TRUE)+G30*VLOOKUP(G30,'AD Fees &amp; TLF'!$C$19:$E$63,3,TRUE)+VLOOKUP(G30,'AD Fees &amp; TLF'!$G$19:$H$27,2,TRUE)+SUM('AD Fees &amp; TLF'!$H$30:$H$31)</x:f>
        <x:v>485</x:v>
      </x:c>
      <x:c r="K30" s="28" t="n">
        <x:f>VLOOKUP(H30,'AD Fees &amp; TLF'!$C$19:$E$63,2,TRUE)+H30*VLOOKUP(H30,'AD Fees &amp; TLF'!$C$19:$E$63,3,TRUE)+VLOOKUP(H30,'AD Fees &amp; TLF'!$G$19:$H$27,2,TRUE)+SUM('AD Fees &amp; TLF'!$H$30:$H$31)</x:f>
        <x:v>595</x:v>
      </x:c>
      <x:c r="L30" s="28" t="n">
        <x:f>I30*'Vehicle Economics'!$K$13+J30*'Vehicle Economics'!$K$14+K30*'Vehicle Economics'!$K$15</x:f>
        <x:v>475</x:v>
      </x:c>
      <x:c r="M30" s="28" t="n">
        <x:f>L30+E30*'Vehicle Economics'!D$9</x:f>
        <x:v>511.14330542946425</x:v>
      </x:c>
    </x:row>
    <x:row r="31" ht="18" customHeight="1">
      <x:c r="A31" s="2"/>
      <x:c r="B31" s="2"/>
      <x:c r="C31" s="105" t="str">
        <x:v>Car / 23</x:v>
      </x:c>
      <x:c r="D31" s="28" t="n">
        <x:f>'Vehicle Economics'!$J$9*EXP(-'Vehicle Economics'!$J$10*(23-10))*'Vehicle Economics'!D$7</x:f>
        <x:v>2725.3179303401257</x:v>
      </x:c>
      <x:c r="E31" s="28" t="n">
        <x:f>D31*'Vehicle Economics'!D$8</x:f>
        <x:v>817.5953791020377</x:v>
      </x:c>
      <x:c r="F31" s="28" t="n">
        <x:f>$E31*'Vehicle Economics'!$J$13</x:f>
        <x:v>408.79768955101883</x:v>
      </x:c>
      <x:c r="G31" s="28" t="n">
        <x:f>$E31*'Vehicle Economics'!$J$14</x:f>
        <x:v>817.5953791020377</x:v>
      </x:c>
      <x:c r="H31" s="28" t="n">
        <x:f>$E31*'Vehicle Economics'!$J$15</x:f>
        <x:v>1226.3930686530566</x:v>
      </x:c>
      <x:c r="I31" s="28" t="n">
        <x:f>VLOOKUP(F31,'AD Fees &amp; TLF'!$C$19:$E$63,2,TRUE)+F31*VLOOKUP(F31,'AD Fees &amp; TLF'!$C$19:$E$63,3,TRUE)+VLOOKUP(F31,'AD Fees &amp; TLF'!$G$19:$H$27,2,TRUE)+SUM('AD Fees &amp; TLF'!$H$30:$H$31)</x:f>
        <x:v>325</x:v>
      </x:c>
      <x:c r="J31" s="28" t="n">
        <x:f>VLOOKUP(G31,'AD Fees &amp; TLF'!$C$19:$E$63,2,TRUE)+G31*VLOOKUP(G31,'AD Fees &amp; TLF'!$C$19:$E$63,3,TRUE)+VLOOKUP(G31,'AD Fees &amp; TLF'!$G$19:$H$27,2,TRUE)+SUM('AD Fees &amp; TLF'!$H$30:$H$31)</x:f>
        <x:v>460</x:v>
      </x:c>
      <x:c r="K31" s="28" t="n">
        <x:f>VLOOKUP(H31,'AD Fees &amp; TLF'!$C$19:$E$63,2,TRUE)+H31*VLOOKUP(H31,'AD Fees &amp; TLF'!$C$19:$E$63,3,TRUE)+VLOOKUP(H31,'AD Fees &amp; TLF'!$G$19:$H$27,2,TRUE)+SUM('AD Fees &amp; TLF'!$H$30:$H$31)</x:f>
        <x:v>580</x:v>
      </x:c>
      <x:c r="L31" s="28" t="n">
        <x:f>I31*'Vehicle Economics'!$K$13+J31*'Vehicle Economics'!$K$14+K31*'Vehicle Economics'!$K$15</x:f>
        <x:v>456.25</x:v>
      </x:c>
      <x:c r="M31" s="28" t="n">
        <x:f>L31+E31*'Vehicle Economics'!D$9</x:f>
        <x:v>488.9538151640815</x:v>
      </x:c>
    </x:row>
    <x:row r="32" ht="18" customHeight="1">
      <x:c r="A32" s="2"/>
      <x:c r="B32" s="2"/>
      <x:c r="C32" s="105" t="str">
        <x:v>Car / 24</x:v>
      </x:c>
      <x:c r="D32" s="28" t="n">
        <x:f>'Vehicle Economics'!$J$9*EXP(-'Vehicle Economics'!$J$10*(24-10))*'Vehicle Economics'!D$7</x:f>
        <x:v>2465.969639416064</x:v>
      </x:c>
      <x:c r="E32" s="28" t="n">
        <x:f>D32*'Vehicle Economics'!D$8</x:f>
        <x:v>739.7908918248193</x:v>
      </x:c>
      <x:c r="F32" s="28" t="n">
        <x:f>$E32*'Vehicle Economics'!$J$13</x:f>
        <x:v>369.8954459124096</x:v>
      </x:c>
      <x:c r="G32" s="28" t="n">
        <x:f>$E32*'Vehicle Economics'!$J$14</x:f>
        <x:v>739.7908918248193</x:v>
      </x:c>
      <x:c r="H32" s="28" t="n">
        <x:f>$E32*'Vehicle Economics'!$J$15</x:f>
        <x:v>1109.6863377372288</x:v>
      </x:c>
      <x:c r="I32" s="28" t="n">
        <x:f>VLOOKUP(F32,'AD Fees &amp; TLF'!$C$19:$E$63,2,TRUE)+F32*VLOOKUP(F32,'AD Fees &amp; TLF'!$C$19:$E$63,3,TRUE)+VLOOKUP(F32,'AD Fees &amp; TLF'!$G$19:$H$27,2,TRUE)+SUM('AD Fees &amp; TLF'!$H$30:$H$31)</x:f>
        <x:v>295</x:v>
      </x:c>
      <x:c r="J32" s="28" t="n">
        <x:f>VLOOKUP(G32,'AD Fees &amp; TLF'!$C$19:$E$63,2,TRUE)+G32*VLOOKUP(G32,'AD Fees &amp; TLF'!$C$19:$E$63,3,TRUE)+VLOOKUP(G32,'AD Fees &amp; TLF'!$G$19:$H$27,2,TRUE)+SUM('AD Fees &amp; TLF'!$H$30:$H$31)</x:f>
        <x:v>435</x:v>
      </x:c>
      <x:c r="K32" s="28" t="n">
        <x:f>VLOOKUP(H32,'AD Fees &amp; TLF'!$C$19:$E$63,2,TRUE)+H32*VLOOKUP(H32,'AD Fees &amp; TLF'!$C$19:$E$63,3,TRUE)+VLOOKUP(H32,'AD Fees &amp; TLF'!$G$19:$H$27,2,TRUE)+SUM('AD Fees &amp; TLF'!$H$30:$H$31)</x:f>
        <x:v>560</x:v>
      </x:c>
      <x:c r="L32" s="28" t="n">
        <x:f>I32*'Vehicle Economics'!$K$13+J32*'Vehicle Economics'!$K$14+K32*'Vehicle Economics'!$K$15</x:f>
        <x:v>431.25</x:v>
      </x:c>
      <x:c r="M32" s="28" t="n">
        <x:f>L32+E32*'Vehicle Economics'!D$9</x:f>
        <x:v>460.84163567299277</x:v>
      </x:c>
    </x:row>
    <x:row r="33" ht="18" customHeight="1">
      <x:c r="A33" s="2"/>
      <x:c r="B33" s="2"/>
      <x:c r="C33" s="105" t="str">
        <x:v>Car / 25</x:v>
      </x:c>
      <x:c r="D33" s="28" t="n">
        <x:f>'Vehicle Economics'!$J$9*EXP(-'Vehicle Economics'!$J$10*(25-10))*'Vehicle Economics'!D$7</x:f>
        <x:v>2231.3016014842983</x:v>
      </x:c>
      <x:c r="E33" s="28" t="n">
        <x:f>D33*'Vehicle Economics'!D$8</x:f>
        <x:v>669.3904804452894</x:v>
      </x:c>
      <x:c r="F33" s="28" t="n">
        <x:f>$E33*'Vehicle Economics'!$J$13</x:f>
        <x:v>334.6952402226447</x:v>
      </x:c>
      <x:c r="G33" s="28" t="n">
        <x:f>$E33*'Vehicle Economics'!$J$14</x:f>
        <x:v>669.3904804452894</x:v>
      </x:c>
      <x:c r="H33" s="28" t="n">
        <x:f>$E33*'Vehicle Economics'!$J$15</x:f>
        <x:v>1004.0857206679341</x:v>
      </x:c>
      <x:c r="I33" s="28" t="n">
        <x:f>VLOOKUP(F33,'AD Fees &amp; TLF'!$C$19:$E$63,2,TRUE)+F33*VLOOKUP(F33,'AD Fees &amp; TLF'!$C$19:$E$63,3,TRUE)+VLOOKUP(F33,'AD Fees &amp; TLF'!$G$19:$H$27,2,TRUE)+SUM('AD Fees &amp; TLF'!$H$30:$H$31)</x:f>
        <x:v>287.5</x:v>
      </x:c>
      <x:c r="J33" s="28" t="n">
        <x:f>VLOOKUP(G33,'AD Fees &amp; TLF'!$C$19:$E$63,2,TRUE)+G33*VLOOKUP(G33,'AD Fees &amp; TLF'!$C$19:$E$63,3,TRUE)+VLOOKUP(G33,'AD Fees &amp; TLF'!$G$19:$H$27,2,TRUE)+SUM('AD Fees &amp; TLF'!$H$30:$H$31)</x:f>
        <x:v>405</x:v>
      </x:c>
      <x:c r="K33" s="28" t="n">
        <x:f>VLOOKUP(H33,'AD Fees &amp; TLF'!$C$19:$E$63,2,TRUE)+H33*VLOOKUP(H33,'AD Fees &amp; TLF'!$C$19:$E$63,3,TRUE)+VLOOKUP(H33,'AD Fees &amp; TLF'!$G$19:$H$27,2,TRUE)+SUM('AD Fees &amp; TLF'!$H$30:$H$31)</x:f>
        <x:v>560</x:v>
      </x:c>
      <x:c r="L33" s="28" t="n">
        <x:f>I33*'Vehicle Economics'!$K$13+J33*'Vehicle Economics'!$K$14+K33*'Vehicle Economics'!$K$15</x:f>
        <x:v>414.375</x:v>
      </x:c>
      <x:c r="M33" s="28" t="n">
        <x:f>L33+E33*'Vehicle Economics'!D$9</x:f>
        <x:v>441.1506192178116</x:v>
      </x:c>
    </x:row>
    <x:row r="34" ht="18" customHeight="1">
      <x:c r="A34" s="2"/>
      <x:c r="B34" s="2"/>
      <x:c r="C34" s="105" t="str">
        <x:v>Car / 26</x:v>
      </x:c>
      <x:c r="D34" s="28" t="n">
        <x:f>'Vehicle Economics'!$J$9*EXP(-'Vehicle Economics'!$J$10*(26-10))*'Vehicle Economics'!D$7</x:f>
        <x:v>2018.965179946554</x:v>
      </x:c>
      <x:c r="E34" s="28" t="n">
        <x:f>D34*'Vehicle Economics'!D$8</x:f>
        <x:v>605.6895539839661</x:v>
      </x:c>
      <x:c r="F34" s="28" t="n">
        <x:f>$E34*'Vehicle Economics'!$J$13</x:f>
        <x:v>302.84477699198305</x:v>
      </x:c>
      <x:c r="G34" s="28" t="n">
        <x:f>$E34*'Vehicle Economics'!$J$14</x:f>
        <x:v>605.6895539839661</x:v>
      </x:c>
      <x:c r="H34" s="28" t="n">
        <x:f>$E34*'Vehicle Economics'!$J$15</x:f>
        <x:v>908.5343309759492</x:v>
      </x:c>
      <x:c r="I34" s="28" t="n">
        <x:f>VLOOKUP(F34,'AD Fees &amp; TLF'!$C$19:$E$63,2,TRUE)+F34*VLOOKUP(F34,'AD Fees &amp; TLF'!$C$19:$E$63,3,TRUE)+VLOOKUP(F34,'AD Fees &amp; TLF'!$G$19:$H$27,2,TRUE)+SUM('AD Fees &amp; TLF'!$H$30:$H$31)</x:f>
        <x:v>287.5</x:v>
      </x:c>
      <x:c r="J34" s="28" t="n">
        <x:f>VLOOKUP(G34,'AD Fees &amp; TLF'!$C$19:$E$63,2,TRUE)+G34*VLOOKUP(G34,'AD Fees &amp; TLF'!$C$19:$E$63,3,TRUE)+VLOOKUP(G34,'AD Fees &amp; TLF'!$G$19:$H$27,2,TRUE)+SUM('AD Fees &amp; TLF'!$H$30:$H$31)</x:f>
        <x:v>405</x:v>
      </x:c>
      <x:c r="K34" s="28" t="n">
        <x:f>VLOOKUP(H34,'AD Fees &amp; TLF'!$C$19:$E$63,2,TRUE)+H34*VLOOKUP(H34,'AD Fees &amp; TLF'!$C$19:$E$63,3,TRUE)+VLOOKUP(H34,'AD Fees &amp; TLF'!$G$19:$H$27,2,TRUE)+SUM('AD Fees &amp; TLF'!$H$30:$H$31)</x:f>
        <x:v>485</x:v>
      </x:c>
      <x:c r="L34" s="28" t="n">
        <x:f>I34*'Vehicle Economics'!$K$13+J34*'Vehicle Economics'!$K$14+K34*'Vehicle Economics'!$K$15</x:f>
        <x:v>395.625</x:v>
      </x:c>
      <x:c r="M34" s="28" t="n">
        <x:f>L34+E34*'Vehicle Economics'!D$9</x:f>
        <x:v>419.85258215935863</x:v>
      </x:c>
    </x:row>
    <x:row r="35" ht="18" customHeight="1">
      <x:c r="A35" s="2"/>
      <x:c r="B35" s="2"/>
      <x:c r="C35" s="105" t="str">
        <x:v>Car / 27</x:v>
      </x:c>
      <x:c r="D35" s="28" t="n">
        <x:f>'Vehicle Economics'!$J$9*EXP(-'Vehicle Economics'!$J$10*(27-10))*'Vehicle Economics'!D$7</x:f>
        <x:v>1826.8352405273463</x:v>
      </x:c>
      <x:c r="E35" s="28" t="n">
        <x:f>D35*'Vehicle Economics'!D$8</x:f>
        <x:v>548.0505721582039</x:v>
      </x:c>
      <x:c r="F35" s="28" t="n">
        <x:f>$E35*'Vehicle Economics'!$J$13</x:f>
        <x:v>274.02528607910193</x:v>
      </x:c>
      <x:c r="G35" s="28" t="n">
        <x:f>$E35*'Vehicle Economics'!$J$14</x:f>
        <x:v>548.0505721582039</x:v>
      </x:c>
      <x:c r="H35" s="28" t="n">
        <x:f>$E35*'Vehicle Economics'!$J$15</x:f>
        <x:v>822.0758582373057</x:v>
      </x:c>
      <x:c r="I35" s="28" t="n">
        <x:f>VLOOKUP(F35,'AD Fees &amp; TLF'!$C$19:$E$63,2,TRUE)+F35*VLOOKUP(F35,'AD Fees &amp; TLF'!$C$19:$E$63,3,TRUE)+VLOOKUP(F35,'AD Fees &amp; TLF'!$G$19:$H$27,2,TRUE)+SUM('AD Fees &amp; TLF'!$H$30:$H$31)</x:f>
        <x:v>280</x:v>
      </x:c>
      <x:c r="J35" s="28" t="n">
        <x:f>VLOOKUP(G35,'AD Fees &amp; TLF'!$C$19:$E$63,2,TRUE)+G35*VLOOKUP(G35,'AD Fees &amp; TLF'!$C$19:$E$63,3,TRUE)+VLOOKUP(G35,'AD Fees &amp; TLF'!$G$19:$H$27,2,TRUE)+SUM('AD Fees &amp; TLF'!$H$30:$H$31)</x:f>
        <x:v>370</x:v>
      </x:c>
      <x:c r="K35" s="28" t="n">
        <x:f>VLOOKUP(H35,'AD Fees &amp; TLF'!$C$19:$E$63,2,TRUE)+H35*VLOOKUP(H35,'AD Fees &amp; TLF'!$C$19:$E$63,3,TRUE)+VLOOKUP(H35,'AD Fees &amp; TLF'!$G$19:$H$27,2,TRUE)+SUM('AD Fees &amp; TLF'!$H$30:$H$31)</x:f>
        <x:v>460</x:v>
      </x:c>
      <x:c r="L35" s="28" t="n">
        <x:f>I35*'Vehicle Economics'!$K$13+J35*'Vehicle Economics'!$K$14+K35*'Vehicle Economics'!$K$15</x:f>
        <x:v>370</x:v>
      </x:c>
      <x:c r="M35" s="28" t="n">
        <x:f>L35+E35*'Vehicle Economics'!D$9</x:f>
        <x:v>391.92202288632814</x:v>
      </x:c>
    </x:row>
    <x:row r="36" ht="18" customHeight="1">
      <x:c r="A36" s="2"/>
      <x:c r="B36" s="2"/>
      <x:c r="C36" s="105" t="str">
        <x:v>Car / 28</x:v>
      </x:c>
      <x:c r="D36" s="28" t="n">
        <x:f>'Vehicle Economics'!$J$9*EXP(-'Vehicle Economics'!$J$10*(28-10))*'Vehicle Economics'!D$7</x:f>
        <x:v>1652.9888822158653</x:v>
      </x:c>
      <x:c r="E36" s="28" t="n">
        <x:f>D36*'Vehicle Economics'!D$8</x:f>
        <x:v>495.89666466475956</x:v>
      </x:c>
      <x:c r="F36" s="28" t="n">
        <x:f>$E36*'Vehicle Economics'!$J$13</x:f>
        <x:v>247.94833233237978</x:v>
      </x:c>
      <x:c r="G36" s="28" t="n">
        <x:f>$E36*'Vehicle Economics'!$J$14</x:f>
        <x:v>495.89666466475956</x:v>
      </x:c>
      <x:c r="H36" s="28" t="n">
        <x:f>$E36*'Vehicle Economics'!$J$15</x:f>
        <x:v>743.8449969971393</x:v>
      </x:c>
      <x:c r="I36" s="28" t="n">
        <x:f>VLOOKUP(F36,'AD Fees &amp; TLF'!$C$19:$E$63,2,TRUE)+F36*VLOOKUP(F36,'AD Fees &amp; TLF'!$C$19:$E$63,3,TRUE)+VLOOKUP(F36,'AD Fees &amp; TLF'!$G$19:$H$27,2,TRUE)+SUM('AD Fees &amp; TLF'!$H$30:$H$31)</x:f>
        <x:v>280</x:v>
      </x:c>
      <x:c r="J36" s="28" t="n">
        <x:f>VLOOKUP(G36,'AD Fees &amp; TLF'!$C$19:$E$63,2,TRUE)+G36*VLOOKUP(G36,'AD Fees &amp; TLF'!$C$19:$E$63,3,TRUE)+VLOOKUP(G36,'AD Fees &amp; TLF'!$G$19:$H$27,2,TRUE)+SUM('AD Fees &amp; TLF'!$H$30:$H$31)</x:f>
        <x:v>335</x:v>
      </x:c>
      <x:c r="K36" s="28" t="n">
        <x:f>VLOOKUP(H36,'AD Fees &amp; TLF'!$C$19:$E$63,2,TRUE)+H36*VLOOKUP(H36,'AD Fees &amp; TLF'!$C$19:$E$63,3,TRUE)+VLOOKUP(H36,'AD Fees &amp; TLF'!$G$19:$H$27,2,TRUE)+SUM('AD Fees &amp; TLF'!$H$30:$H$31)</x:f>
        <x:v>435</x:v>
      </x:c>
      <x:c r="L36" s="28" t="n">
        <x:f>I36*'Vehicle Economics'!$K$13+J36*'Vehicle Economics'!$K$14+K36*'Vehicle Economics'!$K$15</x:f>
        <x:v>346.25</x:v>
      </x:c>
      <x:c r="M36" s="28" t="n">
        <x:f>L36+E36*'Vehicle Economics'!D$9</x:f>
        <x:v>366.0858665865904</x:v>
      </x:c>
    </x:row>
    <x:row r="37" ht="18" customHeight="1">
      <x:c r="A37" s="2"/>
      <x:c r="B37" s="2"/>
      <x:c r="C37" s="105" t="str">
        <x:v>Car / 29</x:v>
      </x:c>
      <x:c r="D37" s="28" t="n">
        <x:f>'Vehicle Economics'!$J$9*EXP(-'Vehicle Economics'!$J$10*(29-10))*'Vehicle Economics'!D$7</x:f>
        <x:v>1495.6861922263504</x:v>
      </x:c>
      <x:c r="E37" s="28" t="n">
        <x:f>D37*'Vehicle Economics'!D$8</x:f>
        <x:v>448.7058576679051</x:v>
      </x:c>
      <x:c r="F37" s="28" t="n">
        <x:f>$E37*'Vehicle Economics'!$J$13</x:f>
        <x:v>224.35292883395255</x:v>
      </x:c>
      <x:c r="G37" s="28" t="n">
        <x:f>$E37*'Vehicle Economics'!$J$14</x:f>
        <x:v>448.7058576679051</x:v>
      </x:c>
      <x:c r="H37" s="28" t="n">
        <x:f>$E37*'Vehicle Economics'!$J$15</x:f>
        <x:v>673.0587865018576</x:v>
      </x:c>
      <x:c r="I37" s="28" t="n">
        <x:f>VLOOKUP(F37,'AD Fees &amp; TLF'!$C$19:$E$63,2,TRUE)+F37*VLOOKUP(F37,'AD Fees &amp; TLF'!$C$19:$E$63,3,TRUE)+VLOOKUP(F37,'AD Fees &amp; TLF'!$G$19:$H$27,2,TRUE)+SUM('AD Fees &amp; TLF'!$H$30:$H$31)</x:f>
        <x:v>280</x:v>
      </x:c>
      <x:c r="J37" s="28" t="n">
        <x:f>VLOOKUP(G37,'AD Fees &amp; TLF'!$C$19:$E$63,2,TRUE)+G37*VLOOKUP(G37,'AD Fees &amp; TLF'!$C$19:$E$63,3,TRUE)+VLOOKUP(G37,'AD Fees &amp; TLF'!$G$19:$H$27,2,TRUE)+SUM('AD Fees &amp; TLF'!$H$30:$H$31)</x:f>
        <x:v>325</x:v>
      </x:c>
      <x:c r="K37" s="28" t="n">
        <x:f>VLOOKUP(H37,'AD Fees &amp; TLF'!$C$19:$E$63,2,TRUE)+H37*VLOOKUP(H37,'AD Fees &amp; TLF'!$C$19:$E$63,3,TRUE)+VLOOKUP(H37,'AD Fees &amp; TLF'!$G$19:$H$27,2,TRUE)+SUM('AD Fees &amp; TLF'!$H$30:$H$31)</x:f>
        <x:v>405</x:v>
      </x:c>
      <x:c r="L37" s="28" t="n">
        <x:f>I37*'Vehicle Economics'!$K$13+J37*'Vehicle Economics'!$K$14+K37*'Vehicle Economics'!$K$15</x:f>
        <x:v>333.75</x:v>
      </x:c>
      <x:c r="M37" s="28" t="n">
        <x:f>L37+E37*'Vehicle Economics'!D$9</x:f>
        <x:v>351.6982343067162</x:v>
      </x:c>
    </x:row>
    <x:row r="38" ht="18" customHeight="1">
      <x:c r="A38" s="2"/>
      <x:c r="B38" s="2"/>
      <x:c r="C38" s="105" t="str">
        <x:v>Car / 30</x:v>
      </x:c>
      <x:c r="D38" s="28" t="n">
        <x:f>'Vehicle Economics'!$J$9*EXP(-'Vehicle Economics'!$J$10*(30-10))*'Vehicle Economics'!D$7</x:f>
        <x:v>1353.3528323661271</x:v>
      </x:c>
      <x:c r="E38" s="28" t="n">
        <x:f>D38*'Vehicle Economics'!D$8</x:f>
        <x:v>406.0058497098381</x:v>
      </x:c>
      <x:c r="F38" s="28" t="n">
        <x:f>$E38*'Vehicle Economics'!$J$13</x:f>
        <x:v>203.00292485491906</x:v>
      </x:c>
      <x:c r="G38" s="28" t="n">
        <x:f>$E38*'Vehicle Economics'!$J$14</x:f>
        <x:v>406.0058497098381</x:v>
      </x:c>
      <x:c r="H38" s="28" t="n">
        <x:f>$E38*'Vehicle Economics'!$J$15</x:f>
        <x:v>609.0087745647572</x:v>
      </x:c>
      <x:c r="I38" s="28" t="n">
        <x:f>VLOOKUP(F38,'AD Fees &amp; TLF'!$C$19:$E$63,2,TRUE)+F38*VLOOKUP(F38,'AD Fees &amp; TLF'!$C$19:$E$63,3,TRUE)+VLOOKUP(F38,'AD Fees &amp; TLF'!$G$19:$H$27,2,TRUE)+SUM('AD Fees &amp; TLF'!$H$30:$H$31)</x:f>
        <x:v>280</x:v>
      </x:c>
      <x:c r="J38" s="28" t="n">
        <x:f>VLOOKUP(G38,'AD Fees &amp; TLF'!$C$19:$E$63,2,TRUE)+G38*VLOOKUP(G38,'AD Fees &amp; TLF'!$C$19:$E$63,3,TRUE)+VLOOKUP(G38,'AD Fees &amp; TLF'!$G$19:$H$27,2,TRUE)+SUM('AD Fees &amp; TLF'!$H$30:$H$31)</x:f>
        <x:v>325</x:v>
      </x:c>
      <x:c r="K38" s="28" t="n">
        <x:f>VLOOKUP(H38,'AD Fees &amp; TLF'!$C$19:$E$63,2,TRUE)+H38*VLOOKUP(H38,'AD Fees &amp; TLF'!$C$19:$E$63,3,TRUE)+VLOOKUP(H38,'AD Fees &amp; TLF'!$G$19:$H$27,2,TRUE)+SUM('AD Fees &amp; TLF'!$H$30:$H$31)</x:f>
        <x:v>405</x:v>
      </x:c>
      <x:c r="L38" s="28" t="n">
        <x:f>I38*'Vehicle Economics'!$K$13+J38*'Vehicle Economics'!$K$14+K38*'Vehicle Economics'!$K$15</x:f>
        <x:v>333.75</x:v>
      </x:c>
      <x:c r="M38" s="28" t="n">
        <x:f>L38+E38*'Vehicle Economics'!D$9</x:f>
        <x:v>349.9902339883935</x:v>
      </x:c>
    </x:row>
    <x:row r="39" ht="18" customHeight="1">
      <x:c r="A39" s="2"/>
      <x:c r="B39" s="2"/>
      <x:c r="C39" s="105" t="str">
        <x:v>Car / 31</x:v>
      </x:c>
      <x:c r="D39" s="28" t="n">
        <x:f>'Vehicle Economics'!$J$9*EXP(-'Vehicle Economics'!$J$10*(31-10))*'Vehicle Economics'!D$7</x:f>
        <x:v>1224.5642825298191</x:v>
      </x:c>
      <x:c r="E39" s="28" t="n">
        <x:f>D39*'Vehicle Economics'!D$8</x:f>
        <x:v>367.36928475894575</x:v>
      </x:c>
      <x:c r="F39" s="28" t="n">
        <x:f>$E39*'Vehicle Economics'!$J$13</x:f>
        <x:v>183.68464237947288</x:v>
      </x:c>
      <x:c r="G39" s="28" t="n">
        <x:f>$E39*'Vehicle Economics'!$J$14</x:f>
        <x:v>367.36928475894575</x:v>
      </x:c>
      <x:c r="H39" s="28" t="n">
        <x:f>$E39*'Vehicle Economics'!$J$15</x:f>
        <x:v>551.0539271384187</x:v>
      </x:c>
      <x:c r="I39" s="28" t="n">
        <x:f>VLOOKUP(F39,'AD Fees &amp; TLF'!$C$19:$E$63,2,TRUE)+F39*VLOOKUP(F39,'AD Fees &amp; TLF'!$C$19:$E$63,3,TRUE)+VLOOKUP(F39,'AD Fees &amp; TLF'!$G$19:$H$27,2,TRUE)+SUM('AD Fees &amp; TLF'!$H$30:$H$31)</x:f>
        <x:v>230</x:v>
      </x:c>
      <x:c r="J39" s="28" t="n">
        <x:f>VLOOKUP(G39,'AD Fees &amp; TLF'!$C$19:$E$63,2,TRUE)+G39*VLOOKUP(G39,'AD Fees &amp; TLF'!$C$19:$E$63,3,TRUE)+VLOOKUP(G39,'AD Fees &amp; TLF'!$G$19:$H$27,2,TRUE)+SUM('AD Fees &amp; TLF'!$H$30:$H$31)</x:f>
        <x:v>295</x:v>
      </x:c>
      <x:c r="K39" s="28" t="n">
        <x:f>VLOOKUP(H39,'AD Fees &amp; TLF'!$C$19:$E$63,2,TRUE)+H39*VLOOKUP(H39,'AD Fees &amp; TLF'!$C$19:$E$63,3,TRUE)+VLOOKUP(H39,'AD Fees &amp; TLF'!$G$19:$H$27,2,TRUE)+SUM('AD Fees &amp; TLF'!$H$30:$H$31)</x:f>
        <x:v>375</x:v>
      </x:c>
      <x:c r="L39" s="28" t="n">
        <x:f>I39*'Vehicle Economics'!$K$13+J39*'Vehicle Economics'!$K$14+K39*'Vehicle Economics'!$K$15</x:f>
        <x:v>298.75</x:v>
      </x:c>
      <x:c r="M39" s="28" t="n">
        <x:f>L39+E39*'Vehicle Economics'!D$9</x:f>
        <x:v>313.44477139035786</x:v>
      </x:c>
    </x:row>
    <x:row r="40" ht="18" customHeight="1">
      <x:c r="A40" s="2"/>
      <x:c r="B40" s="2"/>
      <x:c r="C40" s="105" t="str">
        <x:v>Car / 32</x:v>
      </x:c>
      <x:c r="D40" s="28" t="n">
        <x:f>'Vehicle Economics'!$J$9*EXP(-'Vehicle Economics'!$J$10*(32-10))*'Vehicle Economics'!D$7</x:f>
        <x:v>1108.0315836233387</x:v>
      </x:c>
      <x:c r="E40" s="28" t="n">
        <x:f>D40*'Vehicle Economics'!D$8</x:f>
        <x:v>332.4094750870016</x:v>
      </x:c>
      <x:c r="F40" s="28" t="n">
        <x:f>$E40*'Vehicle Economics'!$J$13</x:f>
        <x:v>166.2047375435008</x:v>
      </x:c>
      <x:c r="G40" s="28" t="n">
        <x:f>$E40*'Vehicle Economics'!$J$14</x:f>
        <x:v>332.4094750870016</x:v>
      </x:c>
      <x:c r="H40" s="28" t="n">
        <x:f>$E40*'Vehicle Economics'!$J$15</x:f>
        <x:v>498.61421263050244</x:v>
      </x:c>
      <x:c r="I40" s="28" t="n">
        <x:f>VLOOKUP(F40,'AD Fees &amp; TLF'!$C$19:$E$63,2,TRUE)+F40*VLOOKUP(F40,'AD Fees &amp; TLF'!$C$19:$E$63,3,TRUE)+VLOOKUP(F40,'AD Fees &amp; TLF'!$G$19:$H$27,2,TRUE)+SUM('AD Fees &amp; TLF'!$H$30:$H$31)</x:f>
        <x:v>230</x:v>
      </x:c>
      <x:c r="J40" s="28" t="n">
        <x:f>VLOOKUP(G40,'AD Fees &amp; TLF'!$C$19:$E$63,2,TRUE)+G40*VLOOKUP(G40,'AD Fees &amp; TLF'!$C$19:$E$63,3,TRUE)+VLOOKUP(G40,'AD Fees &amp; TLF'!$G$19:$H$27,2,TRUE)+SUM('AD Fees &amp; TLF'!$H$30:$H$31)</x:f>
        <x:v>287.5</x:v>
      </x:c>
      <x:c r="K40" s="28" t="n">
        <x:f>VLOOKUP(H40,'AD Fees &amp; TLF'!$C$19:$E$63,2,TRUE)+H40*VLOOKUP(H40,'AD Fees &amp; TLF'!$C$19:$E$63,3,TRUE)+VLOOKUP(H40,'AD Fees &amp; TLF'!$G$19:$H$27,2,TRUE)+SUM('AD Fees &amp; TLF'!$H$30:$H$31)</x:f>
        <x:v>335</x:v>
      </x:c>
      <x:c r="L40" s="28" t="n">
        <x:f>I40*'Vehicle Economics'!$K$13+J40*'Vehicle Economics'!$K$14+K40*'Vehicle Economics'!$K$15</x:f>
        <x:v>285</x:v>
      </x:c>
      <x:c r="M40" s="28" t="n">
        <x:f>L40+E40*'Vehicle Economics'!D$9</x:f>
        <x:v>298.29637900348007</x:v>
      </x:c>
    </x:row>
    <x:row r="41" ht="18" customHeight="1">
      <x:c r="A41" s="2"/>
      <x:c r="B41" s="2"/>
      <x:c r="C41" s="2" t="str">
        <x:v>Car / 33</x:v>
      </x:c>
      <x:c r="D41" s="28" t="n">
        <x:f>'Vehicle Economics'!$J$9*EXP(-'Vehicle Economics'!$J$10*(33-10))*'Vehicle Economics'!D$7</x:f>
        <x:v>1002.588437228037</x:v>
      </x:c>
      <x:c r="E41" s="28" t="n">
        <x:f>D41*'Vehicle Economics'!D$8</x:f>
        <x:v>300.7765311684111</x:v>
      </x:c>
      <x:c r="F41" s="28" t="n">
        <x:f>$E41*'Vehicle Economics'!$J$13</x:f>
        <x:v>150.38826558420556</x:v>
      </x:c>
      <x:c r="G41" s="28" t="n">
        <x:f>$E41*'Vehicle Economics'!$J$14</x:f>
        <x:v>300.7765311684111</x:v>
      </x:c>
      <x:c r="H41" s="28" t="n">
        <x:f>$E41*'Vehicle Economics'!$J$15</x:f>
        <x:v>451.16479675261667</x:v>
      </x:c>
      <x:c r="I41" s="28" t="n">
        <x:f>VLOOKUP(F41,'AD Fees &amp; TLF'!$C$19:$E$63,2,TRUE)+F41*VLOOKUP(F41,'AD Fees &amp; TLF'!$C$19:$E$63,3,TRUE)+VLOOKUP(F41,'AD Fees &amp; TLF'!$G$19:$H$27,2,TRUE)+SUM('AD Fees &amp; TLF'!$H$30:$H$31)</x:f>
        <x:v>230</x:v>
      </x:c>
      <x:c r="J41" s="28" t="n">
        <x:f>VLOOKUP(G41,'AD Fees &amp; TLF'!$C$19:$E$63,2,TRUE)+G41*VLOOKUP(G41,'AD Fees &amp; TLF'!$C$19:$E$63,3,TRUE)+VLOOKUP(G41,'AD Fees &amp; TLF'!$G$19:$H$27,2,TRUE)+SUM('AD Fees &amp; TLF'!$H$30:$H$31)</x:f>
        <x:v>287.5</x:v>
      </x:c>
      <x:c r="K41" s="28" t="n">
        <x:f>VLOOKUP(H41,'AD Fees &amp; TLF'!$C$19:$E$63,2,TRUE)+H41*VLOOKUP(H41,'AD Fees &amp; TLF'!$C$19:$E$63,3,TRUE)+VLOOKUP(H41,'AD Fees &amp; TLF'!$G$19:$H$27,2,TRUE)+SUM('AD Fees &amp; TLF'!$H$30:$H$31)</x:f>
        <x:v>335</x:v>
      </x:c>
      <x:c r="L41" s="28" t="n">
        <x:f>I41*'Vehicle Economics'!$K$13+J41*'Vehicle Economics'!$K$14+K41*'Vehicle Economics'!$K$15</x:f>
        <x:v>285</x:v>
      </x:c>
      <x:c r="M41" s="28" t="n">
        <x:f>L41+E41*'Vehicle Economics'!D$9</x:f>
        <x:v>297.03106124673644</x:v>
      </x:c>
    </x:row>
    <x:row r="42" ht="18" customHeight="1">
      <x:c r="A42" s="2"/>
      <x:c r="B42" s="2"/>
      <x:c r="C42" s="2" t="str">
        <x:v>Car / 34</x:v>
      </x:c>
      <x:c r="D42" s="28" t="n">
        <x:f>'Vehicle Economics'!$J$9*EXP(-'Vehicle Economics'!$J$10*(34-10))*'Vehicle Economics'!D$7</x:f>
        <x:v>907.1795328941247</x:v>
      </x:c>
      <x:c r="E42" s="28" t="n">
        <x:f>D42*'Vehicle Economics'!D$8</x:f>
        <x:v>272.1538598682374</x:v>
      </x:c>
      <x:c r="F42" s="28" t="n">
        <x:f>$E42*'Vehicle Economics'!$J$13</x:f>
        <x:v>136.0769299341187</x:v>
      </x:c>
      <x:c r="G42" s="28" t="n">
        <x:f>$E42*'Vehicle Economics'!$J$14</x:f>
        <x:v>272.1538598682374</x:v>
      </x:c>
      <x:c r="H42" s="28" t="n">
        <x:f>$E42*'Vehicle Economics'!$J$15</x:f>
        <x:v>408.2307898023561</x:v>
      </x:c>
      <x:c r="I42" s="28" t="n">
        <x:f>VLOOKUP(F42,'AD Fees &amp; TLF'!$C$19:$E$63,2,TRUE)+F42*VLOOKUP(F42,'AD Fees &amp; TLF'!$C$19:$E$63,3,TRUE)+VLOOKUP(F42,'AD Fees &amp; TLF'!$G$19:$H$27,2,TRUE)+SUM('AD Fees &amp; TLF'!$H$30:$H$31)</x:f>
        <x:v>230</x:v>
      </x:c>
      <x:c r="J42" s="28" t="n">
        <x:f>VLOOKUP(G42,'AD Fees &amp; TLF'!$C$19:$E$63,2,TRUE)+G42*VLOOKUP(G42,'AD Fees &amp; TLF'!$C$19:$E$63,3,TRUE)+VLOOKUP(G42,'AD Fees &amp; TLF'!$G$19:$H$27,2,TRUE)+SUM('AD Fees &amp; TLF'!$H$30:$H$31)</x:f>
        <x:v>280</x:v>
      </x:c>
      <x:c r="K42" s="28" t="n">
        <x:f>VLOOKUP(H42,'AD Fees &amp; TLF'!$C$19:$E$63,2,TRUE)+H42*VLOOKUP(H42,'AD Fees &amp; TLF'!$C$19:$E$63,3,TRUE)+VLOOKUP(H42,'AD Fees &amp; TLF'!$G$19:$H$27,2,TRUE)+SUM('AD Fees &amp; TLF'!$H$30:$H$31)</x:f>
        <x:v>325</x:v>
      </x:c>
      <x:c r="L42" s="28" t="n">
        <x:f>I42*'Vehicle Economics'!$K$13+J42*'Vehicle Economics'!$K$14+K42*'Vehicle Economics'!$K$15</x:f>
        <x:v>278.75</x:v>
      </x:c>
      <x:c r="M42" s="28" t="n">
        <x:f>L42+E42*'Vehicle Economics'!D$9</x:f>
        <x:v>289.6361543947295</x:v>
      </x:c>
    </x:row>
    <x:row r="43" ht="18" customHeight="1">
      <x:c r="A43" s="2"/>
      <x:c r="B43" s="2"/>
      <x:c r="C43" s="2" t="str">
        <x:v>Car / 35</x:v>
      </x:c>
      <x:c r="D43" s="28" t="n">
        <x:f>'Vehicle Economics'!$J$9*EXP(-'Vehicle Economics'!$J$10*(35-10))*'Vehicle Economics'!D$7</x:f>
        <x:v>820.849986238988</x:v>
      </x:c>
      <x:c r="E43" s="28" t="n">
        <x:f>D43*'Vehicle Economics'!D$8</x:f>
        <x:v>246.2549958716964</x:v>
      </x:c>
      <x:c r="F43" s="28" t="n">
        <x:f>$E43*'Vehicle Economics'!$J$13</x:f>
        <x:v>123.1274979358482</x:v>
      </x:c>
      <x:c r="G43" s="28" t="n">
        <x:f>$E43*'Vehicle Economics'!$J$14</x:f>
        <x:v>246.2549958716964</x:v>
      </x:c>
      <x:c r="H43" s="28" t="n">
        <x:f>$E43*'Vehicle Economics'!$J$15</x:f>
        <x:v>369.3824938075446</x:v>
      </x:c>
      <x:c r="I43" s="28" t="n">
        <x:f>VLOOKUP(F43,'AD Fees &amp; TLF'!$C$19:$E$63,2,TRUE)+F43*VLOOKUP(F43,'AD Fees &amp; TLF'!$C$19:$E$63,3,TRUE)+VLOOKUP(F43,'AD Fees &amp; TLF'!$G$19:$H$27,2,TRUE)+SUM('AD Fees &amp; TLF'!$H$30:$H$31)</x:f>
        <x:v>230</x:v>
      </x:c>
      <x:c r="J43" s="28" t="n">
        <x:f>VLOOKUP(G43,'AD Fees &amp; TLF'!$C$19:$E$63,2,TRUE)+G43*VLOOKUP(G43,'AD Fees &amp; TLF'!$C$19:$E$63,3,TRUE)+VLOOKUP(G43,'AD Fees &amp; TLF'!$G$19:$H$27,2,TRUE)+SUM('AD Fees &amp; TLF'!$H$30:$H$31)</x:f>
        <x:v>280</x:v>
      </x:c>
      <x:c r="K43" s="28" t="n">
        <x:f>VLOOKUP(H43,'AD Fees &amp; TLF'!$C$19:$E$63,2,TRUE)+H43*VLOOKUP(H43,'AD Fees &amp; TLF'!$C$19:$E$63,3,TRUE)+VLOOKUP(H43,'AD Fees &amp; TLF'!$G$19:$H$27,2,TRUE)+SUM('AD Fees &amp; TLF'!$H$30:$H$31)</x:f>
        <x:v>295</x:v>
      </x:c>
      <x:c r="L43" s="28" t="n">
        <x:f>I43*'Vehicle Economics'!$K$13+J43*'Vehicle Economics'!$K$14+K43*'Vehicle Economics'!$K$15</x:f>
        <x:v>271.25</x:v>
      </x:c>
      <x:c r="M43" s="28" t="n">
        <x:f>L43+E43*'Vehicle Economics'!D$9</x:f>
        <x:v>281.10019983486785</x:v>
      </x:c>
    </x:row>
    <x:row r="44" ht="18" customHeight="1">
      <x:c r="A44" s="2"/>
      <x:c r="B44" s="2"/>
      <x:c r="C44" s="2" t="str">
        <x:v>Car / 36</x:v>
      </x:c>
      <x:c r="D44" s="28" t="n">
        <x:f>'Vehicle Economics'!$J$9*EXP(-'Vehicle Economics'!$J$10*(36-10))*'Vehicle Economics'!D$7</x:f>
        <x:v>742.7357821433387</x:v>
      </x:c>
      <x:c r="E44" s="28" t="n">
        <x:f>D44*'Vehicle Economics'!D$8</x:f>
        <x:v>222.8207346430016</x:v>
      </x:c>
      <x:c r="F44" s="28" t="n">
        <x:f>$E44*'Vehicle Economics'!$J$13</x:f>
        <x:v>111.4103673215008</x:v>
      </x:c>
      <x:c r="G44" s="28" t="n">
        <x:f>$E44*'Vehicle Economics'!$J$14</x:f>
        <x:v>222.8207346430016</x:v>
      </x:c>
      <x:c r="H44" s="28" t="n">
        <x:f>$E44*'Vehicle Economics'!$J$15</x:f>
        <x:v>334.2311019645024</x:v>
      </x:c>
      <x:c r="I44" s="28" t="n">
        <x:f>VLOOKUP(F44,'AD Fees &amp; TLF'!$C$19:$E$63,2,TRUE)+F44*VLOOKUP(F44,'AD Fees &amp; TLF'!$C$19:$E$63,3,TRUE)+VLOOKUP(F44,'AD Fees &amp; TLF'!$G$19:$H$27,2,TRUE)+SUM('AD Fees &amp; TLF'!$H$30:$H$31)</x:f>
        <x:v>230</x:v>
      </x:c>
      <x:c r="J44" s="28" t="n">
        <x:f>VLOOKUP(G44,'AD Fees &amp; TLF'!$C$19:$E$63,2,TRUE)+G44*VLOOKUP(G44,'AD Fees &amp; TLF'!$C$19:$E$63,3,TRUE)+VLOOKUP(G44,'AD Fees &amp; TLF'!$G$19:$H$27,2,TRUE)+SUM('AD Fees &amp; TLF'!$H$30:$H$31)</x:f>
        <x:v>280</x:v>
      </x:c>
      <x:c r="K44" s="28" t="n">
        <x:f>VLOOKUP(H44,'AD Fees &amp; TLF'!$C$19:$E$63,2,TRUE)+H44*VLOOKUP(H44,'AD Fees &amp; TLF'!$C$19:$E$63,3,TRUE)+VLOOKUP(H44,'AD Fees &amp; TLF'!$G$19:$H$27,2,TRUE)+SUM('AD Fees &amp; TLF'!$H$30:$H$31)</x:f>
        <x:v>287.5</x:v>
      </x:c>
      <x:c r="L44" s="28" t="n">
        <x:f>I44*'Vehicle Economics'!$K$13+J44*'Vehicle Economics'!$K$14+K44*'Vehicle Economics'!$K$15</x:f>
        <x:v>269.375</x:v>
      </x:c>
      <x:c r="M44" s="28" t="n">
        <x:f>L44+E44*'Vehicle Economics'!D$9</x:f>
        <x:v>278.28782938572004</x:v>
      </x:c>
    </x:row>
    <x:row r="45" ht="18" customHeight="1">
      <x:c r="A45" s="2"/>
      <x:c r="B45" s="2"/>
      <x:c r="C45" s="2" t="str">
        <x:v>Car / 37</x:v>
      </x:c>
      <x:c r="D45" s="28" t="n">
        <x:f>'Vehicle Economics'!$J$9*EXP(-'Vehicle Economics'!$J$10*(37-10))*'Vehicle Economics'!D$7</x:f>
        <x:v>672.0551273974976</x:v>
      </x:c>
      <x:c r="E45" s="28" t="n">
        <x:f>D45*'Vehicle Economics'!D$8</x:f>
        <x:v>201.61653821924926</x:v>
      </x:c>
      <x:c r="F45" s="28" t="n">
        <x:f>$E45*'Vehicle Economics'!$J$13</x:f>
        <x:v>100.80826910962463</x:v>
      </x:c>
      <x:c r="G45" s="28" t="n">
        <x:f>$E45*'Vehicle Economics'!$J$14</x:f>
        <x:v>201.61653821924926</x:v>
      </x:c>
      <x:c r="H45" s="28" t="n">
        <x:f>$E45*'Vehicle Economics'!$J$15</x:f>
        <x:v>302.4248073288739</x:v>
      </x:c>
      <x:c r="I45" s="28" t="n">
        <x:f>VLOOKUP(F45,'AD Fees &amp; TLF'!$C$19:$E$63,2,TRUE)+F45*VLOOKUP(F45,'AD Fees &amp; TLF'!$C$19:$E$63,3,TRUE)+VLOOKUP(F45,'AD Fees &amp; TLF'!$G$19:$H$27,2,TRUE)+SUM('AD Fees &amp; TLF'!$H$30:$H$31)</x:f>
        <x:v>230</x:v>
      </x:c>
      <x:c r="J45" s="28" t="n">
        <x:f>VLOOKUP(G45,'AD Fees &amp; TLF'!$C$19:$E$63,2,TRUE)+G45*VLOOKUP(G45,'AD Fees &amp; TLF'!$C$19:$E$63,3,TRUE)+VLOOKUP(G45,'AD Fees &amp; TLF'!$G$19:$H$27,2,TRUE)+SUM('AD Fees &amp; TLF'!$H$30:$H$31)</x:f>
        <x:v>280</x:v>
      </x:c>
      <x:c r="K45" s="28" t="n">
        <x:f>VLOOKUP(H45,'AD Fees &amp; TLF'!$C$19:$E$63,2,TRUE)+H45*VLOOKUP(H45,'AD Fees &amp; TLF'!$C$19:$E$63,3,TRUE)+VLOOKUP(H45,'AD Fees &amp; TLF'!$G$19:$H$27,2,TRUE)+SUM('AD Fees &amp; TLF'!$H$30:$H$31)</x:f>
        <x:v>287.5</x:v>
      </x:c>
      <x:c r="L45" s="28" t="n">
        <x:f>I45*'Vehicle Economics'!$K$13+J45*'Vehicle Economics'!$K$14+K45*'Vehicle Economics'!$K$15</x:f>
        <x:v>269.375</x:v>
      </x:c>
      <x:c r="M45" s="28" t="n">
        <x:f>L45+E45*'Vehicle Economics'!D$9</x:f>
        <x:v>277.43966152877</x:v>
      </x:c>
    </x:row>
    <x:row r="46" ht="18" customHeight="1">
      <x:c r="A46" s="2"/>
      <x:c r="B46" s="2"/>
      <x:c r="C46" s="2" t="str">
        <x:v>Car / 38</x:v>
      </x:c>
      <x:c r="D46" s="28" t="n">
        <x:f>'Vehicle Economics'!$J$9*EXP(-'Vehicle Economics'!$J$10*(38-10))*'Vehicle Economics'!D$7</x:f>
        <x:v>608.1006262521795</x:v>
      </x:c>
      <x:c r="E46" s="28" t="n">
        <x:f>D46*'Vehicle Economics'!D$8</x:f>
        <x:v>182.43018787565384</x:v>
      </x:c>
      <x:c r="F46" s="28" t="n">
        <x:f>$E46*'Vehicle Economics'!$J$13</x:f>
        <x:v>91.21509393782692</x:v>
      </x:c>
      <x:c r="G46" s="28" t="n">
        <x:f>$E46*'Vehicle Economics'!$J$14</x:f>
        <x:v>182.43018787565384</x:v>
      </x:c>
      <x:c r="H46" s="28" t="n">
        <x:f>$E46*'Vehicle Economics'!$J$15</x:f>
        <x:v>273.6452818134808</x:v>
      </x:c>
      <x:c r="I46" s="28" t="n">
        <x:f>VLOOKUP(F46,'AD Fees &amp; TLF'!$C$19:$E$63,2,TRUE)+F46*VLOOKUP(F46,'AD Fees &amp; TLF'!$C$19:$E$63,3,TRUE)+VLOOKUP(F46,'AD Fees &amp; TLF'!$G$19:$H$27,2,TRUE)+SUM('AD Fees &amp; TLF'!$H$30:$H$31)</x:f>
        <x:v>155</x:v>
      </x:c>
      <x:c r="J46" s="28" t="n">
        <x:f>VLOOKUP(G46,'AD Fees &amp; TLF'!$C$19:$E$63,2,TRUE)+G46*VLOOKUP(G46,'AD Fees &amp; TLF'!$C$19:$E$63,3,TRUE)+VLOOKUP(G46,'AD Fees &amp; TLF'!$G$19:$H$27,2,TRUE)+SUM('AD Fees &amp; TLF'!$H$30:$H$31)</x:f>
        <x:v>230</x:v>
      </x:c>
      <x:c r="K46" s="28" t="n">
        <x:f>VLOOKUP(H46,'AD Fees &amp; TLF'!$C$19:$E$63,2,TRUE)+H46*VLOOKUP(H46,'AD Fees &amp; TLF'!$C$19:$E$63,3,TRUE)+VLOOKUP(H46,'AD Fees &amp; TLF'!$G$19:$H$27,2,TRUE)+SUM('AD Fees &amp; TLF'!$H$30:$H$31)</x:f>
        <x:v>280</x:v>
      </x:c>
      <x:c r="L46" s="28" t="n">
        <x:f>I46*'Vehicle Economics'!$K$13+J46*'Vehicle Economics'!$K$14+K46*'Vehicle Economics'!$K$15</x:f>
        <x:v>223.75</x:v>
      </x:c>
      <x:c r="M46" s="28" t="n">
        <x:f>L46+E46*'Vehicle Economics'!D$9</x:f>
        <x:v>231.04720751502614</x:v>
      </x:c>
    </x:row>
    <x:row r="47" ht="18" customHeight="1">
      <x:c r="A47" s="2"/>
      <x:c r="B47" s="2"/>
      <x:c r="C47" s="2" t="str">
        <x:v>Car / 39</x:v>
      </x:c>
      <x:c r="D47" s="28" t="n">
        <x:f>'Vehicle Economics'!$J$9*EXP(-'Vehicle Economics'!$J$10*(39-10))*'Vehicle Economics'!D$7</x:f>
        <x:v>550.2322005640721</x:v>
      </x:c>
      <x:c r="E47" s="28" t="n">
        <x:f>D47*'Vehicle Economics'!D$8</x:f>
        <x:v>165.0696601692216</x:v>
      </x:c>
      <x:c r="F47" s="28" t="n">
        <x:f>$E47*'Vehicle Economics'!$J$13</x:f>
        <x:v>82.5348300846108</x:v>
      </x:c>
      <x:c r="G47" s="28" t="n">
        <x:f>$E47*'Vehicle Economics'!$J$14</x:f>
        <x:v>165.0696601692216</x:v>
      </x:c>
      <x:c r="H47" s="28" t="n">
        <x:f>$E47*'Vehicle Economics'!$J$15</x:f>
        <x:v>247.6044902538324</x:v>
      </x:c>
      <x:c r="I47" s="28" t="n">
        <x:f>VLOOKUP(F47,'AD Fees &amp; TLF'!$C$19:$E$63,2,TRUE)+F47*VLOOKUP(F47,'AD Fees &amp; TLF'!$C$19:$E$63,3,TRUE)+VLOOKUP(F47,'AD Fees &amp; TLF'!$G$19:$H$27,2,TRUE)+SUM('AD Fees &amp; TLF'!$H$30:$H$31)</x:f>
        <x:v>155</x:v>
      </x:c>
      <x:c r="J47" s="28" t="n">
        <x:f>VLOOKUP(G47,'AD Fees &amp; TLF'!$C$19:$E$63,2,TRUE)+G47*VLOOKUP(G47,'AD Fees &amp; TLF'!$C$19:$E$63,3,TRUE)+VLOOKUP(G47,'AD Fees &amp; TLF'!$G$19:$H$27,2,TRUE)+SUM('AD Fees &amp; TLF'!$H$30:$H$31)</x:f>
        <x:v>230</x:v>
      </x:c>
      <x:c r="K47" s="28" t="n">
        <x:f>VLOOKUP(H47,'AD Fees &amp; TLF'!$C$19:$E$63,2,TRUE)+H47*VLOOKUP(H47,'AD Fees &amp; TLF'!$C$19:$E$63,3,TRUE)+VLOOKUP(H47,'AD Fees &amp; TLF'!$G$19:$H$27,2,TRUE)+SUM('AD Fees &amp; TLF'!$H$30:$H$31)</x:f>
        <x:v>280</x:v>
      </x:c>
      <x:c r="L47" s="28" t="n">
        <x:f>I47*'Vehicle Economics'!$K$13+J47*'Vehicle Economics'!$K$14+K47*'Vehicle Economics'!$K$15</x:f>
        <x:v>223.75</x:v>
      </x:c>
      <x:c r="M47" s="28" t="n">
        <x:f>L47+E47*'Vehicle Economics'!D$9</x:f>
        <x:v>230.35278640676887</x:v>
      </x:c>
    </x:row>
    <x:row r="48" ht="18" customHeight="1">
      <x:c r="A48" s="2"/>
      <x:c r="B48" s="2"/>
      <x:c r="C48" s="2" t="str">
        <x:v>Car / 40</x:v>
      </x:c>
      <x:c r="D48" s="28" t="n">
        <x:f>'Vehicle Economics'!$J$9*EXP(-'Vehicle Economics'!$J$10*(40-10))*'Vehicle Economics'!D$7</x:f>
        <x:v>497.87068367863947</x:v>
      </x:c>
      <x:c r="E48" s="28" t="n">
        <x:f>D48*'Vehicle Economics'!D$8</x:f>
        <x:v>149.36120510359183</x:v>
      </x:c>
      <x:c r="F48" s="28" t="n">
        <x:f>$E48*'Vehicle Economics'!$J$13</x:f>
        <x:v>74.68060255179591</x:v>
      </x:c>
      <x:c r="G48" s="28" t="n">
        <x:f>$E48*'Vehicle Economics'!$J$14</x:f>
        <x:v>149.36120510359183</x:v>
      </x:c>
      <x:c r="H48" s="28" t="n">
        <x:f>$E48*'Vehicle Economics'!$J$15</x:f>
        <x:v>224.04180765538774</x:v>
      </x:c>
      <x:c r="I48" s="28" t="n">
        <x:f>VLOOKUP(F48,'AD Fees &amp; TLF'!$C$19:$E$63,2,TRUE)+F48*VLOOKUP(F48,'AD Fees &amp; TLF'!$C$19:$E$63,3,TRUE)+VLOOKUP(F48,'AD Fees &amp; TLF'!$G$19:$H$27,2,TRUE)+SUM('AD Fees &amp; TLF'!$H$30:$H$31)</x:f>
        <x:v>155</x:v>
      </x:c>
      <x:c r="J48" s="28" t="n">
        <x:f>VLOOKUP(G48,'AD Fees &amp; TLF'!$C$19:$E$63,2,TRUE)+G48*VLOOKUP(G48,'AD Fees &amp; TLF'!$C$19:$E$63,3,TRUE)+VLOOKUP(G48,'AD Fees &amp; TLF'!$G$19:$H$27,2,TRUE)+SUM('AD Fees &amp; TLF'!$H$30:$H$31)</x:f>
        <x:v>230</x:v>
      </x:c>
      <x:c r="K48" s="28" t="n">
        <x:f>VLOOKUP(H48,'AD Fees &amp; TLF'!$C$19:$E$63,2,TRUE)+H48*VLOOKUP(H48,'AD Fees &amp; TLF'!$C$19:$E$63,3,TRUE)+VLOOKUP(H48,'AD Fees &amp; TLF'!$G$19:$H$27,2,TRUE)+SUM('AD Fees &amp; TLF'!$H$30:$H$31)</x:f>
        <x:v>280</x:v>
      </x:c>
      <x:c r="L48" s="28" t="n">
        <x:f>I48*'Vehicle Economics'!$K$13+J48*'Vehicle Economics'!$K$14+K48*'Vehicle Economics'!$K$15</x:f>
        <x:v>223.75</x:v>
      </x:c>
      <x:c r="M48" s="28" t="n">
        <x:f>L48+E48*'Vehicle Economics'!D$9</x:f>
        <x:v>229.72444820414367</x:v>
      </x:c>
    </x:row>
    <x:row r="49" ht="18" customHeight="1">
      <x:c r="A49" s="2"/>
      <x:c r="B49" s="2"/>
      <x:c r="C49" s="2" t="str">
        <x:v>Car / 41</x:v>
      </x:c>
      <x:c r="D49" s="28" t="n">
        <x:f>'Vehicle Economics'!$J$9*EXP(-'Vehicle Economics'!$J$10*(41-10))*'Vehicle Economics'!D$7</x:f>
        <x:v>450.492023935578</x:v>
      </x:c>
      <x:c r="E49" s="28" t="n">
        <x:f>D49*'Vehicle Economics'!D$8</x:f>
        <x:v>135.1476071806734</x:v>
      </x:c>
      <x:c r="F49" s="28" t="n">
        <x:f>$E49*'Vehicle Economics'!$J$13</x:f>
        <x:v>67.5738035903367</x:v>
      </x:c>
      <x:c r="G49" s="28" t="n">
        <x:f>$E49*'Vehicle Economics'!$J$14</x:f>
        <x:v>135.1476071806734</x:v>
      </x:c>
      <x:c r="H49" s="28" t="n">
        <x:f>$E49*'Vehicle Economics'!$J$15</x:f>
        <x:v>202.72141077101008</x:v>
      </x:c>
      <x:c r="I49" s="28" t="n">
        <x:f>VLOOKUP(F49,'AD Fees &amp; TLF'!$C$19:$E$63,2,TRUE)+F49*VLOOKUP(F49,'AD Fees &amp; TLF'!$C$19:$E$63,3,TRUE)+VLOOKUP(F49,'AD Fees &amp; TLF'!$G$19:$H$27,2,TRUE)+SUM('AD Fees &amp; TLF'!$H$30:$H$31)</x:f>
        <x:v>155</x:v>
      </x:c>
      <x:c r="J49" s="28" t="n">
        <x:f>VLOOKUP(G49,'AD Fees &amp; TLF'!$C$19:$E$63,2,TRUE)+G49*VLOOKUP(G49,'AD Fees &amp; TLF'!$C$19:$E$63,3,TRUE)+VLOOKUP(G49,'AD Fees &amp; TLF'!$G$19:$H$27,2,TRUE)+SUM('AD Fees &amp; TLF'!$H$30:$H$31)</x:f>
        <x:v>230</x:v>
      </x:c>
      <x:c r="K49" s="28" t="n">
        <x:f>VLOOKUP(H49,'AD Fees &amp; TLF'!$C$19:$E$63,2,TRUE)+H49*VLOOKUP(H49,'AD Fees &amp; TLF'!$C$19:$E$63,3,TRUE)+VLOOKUP(H49,'AD Fees &amp; TLF'!$G$19:$H$27,2,TRUE)+SUM('AD Fees &amp; TLF'!$H$30:$H$31)</x:f>
        <x:v>280</x:v>
      </x:c>
      <x:c r="L49" s="28" t="n">
        <x:f>I49*'Vehicle Economics'!$K$13+J49*'Vehicle Economics'!$K$14+K49*'Vehicle Economics'!$K$15</x:f>
        <x:v>223.75</x:v>
      </x:c>
      <x:c r="M49" s="28" t="n">
        <x:f>L49+E49*'Vehicle Economics'!D$9</x:f>
        <x:v>229.15590428722695</x:v>
      </x:c>
    </x:row>
    <x:row r="50" ht="18" customHeight="1">
      <x:c r="A50" s="2"/>
      <x:c r="B50" s="2"/>
      <x:c r="C50" s="2" t="str">
        <x:v>Car / 42</x:v>
      </x:c>
      <x:c r="D50" s="28" t="n">
        <x:f>'Vehicle Economics'!$J$9*EXP(-'Vehicle Economics'!$J$10*(42-10))*'Vehicle Economics'!D$7</x:f>
        <x:v>407.62203978366205</x:v>
      </x:c>
      <x:c r="E50" s="28" t="n">
        <x:f>D50*'Vehicle Economics'!D$8</x:f>
        <x:v>122.2866119350986</x:v>
      </x:c>
      <x:c r="F50" s="28" t="n">
        <x:f>$E50*'Vehicle Economics'!$J$13</x:f>
        <x:v>61.1433059675493</x:v>
      </x:c>
      <x:c r="G50" s="28" t="n">
        <x:f>$E50*'Vehicle Economics'!$J$14</x:f>
        <x:v>122.2866119350986</x:v>
      </x:c>
      <x:c r="H50" s="28" t="n">
        <x:f>$E50*'Vehicle Economics'!$J$15</x:f>
        <x:v>183.4299179026479</x:v>
      </x:c>
      <x:c r="I50" s="28" t="n">
        <x:f>VLOOKUP(F50,'AD Fees &amp; TLF'!$C$19:$E$63,2,TRUE)+F50*VLOOKUP(F50,'AD Fees &amp; TLF'!$C$19:$E$63,3,TRUE)+VLOOKUP(F50,'AD Fees &amp; TLF'!$G$19:$H$27,2,TRUE)+SUM('AD Fees &amp; TLF'!$H$30:$H$31)</x:f>
        <x:v>155</x:v>
      </x:c>
      <x:c r="J50" s="28" t="n">
        <x:f>VLOOKUP(G50,'AD Fees &amp; TLF'!$C$19:$E$63,2,TRUE)+G50*VLOOKUP(G50,'AD Fees &amp; TLF'!$C$19:$E$63,3,TRUE)+VLOOKUP(G50,'AD Fees &amp; TLF'!$G$19:$H$27,2,TRUE)+SUM('AD Fees &amp; TLF'!$H$30:$H$31)</x:f>
        <x:v>230</x:v>
      </x:c>
      <x:c r="K50" s="28" t="n">
        <x:f>VLOOKUP(H50,'AD Fees &amp; TLF'!$C$19:$E$63,2,TRUE)+H50*VLOOKUP(H50,'AD Fees &amp; TLF'!$C$19:$E$63,3,TRUE)+VLOOKUP(H50,'AD Fees &amp; TLF'!$G$19:$H$27,2,TRUE)+SUM('AD Fees &amp; TLF'!$H$30:$H$31)</x:f>
        <x:v>230</x:v>
      </x:c>
      <x:c r="L50" s="28" t="n">
        <x:f>I50*'Vehicle Economics'!$K$13+J50*'Vehicle Economics'!$K$14+K50*'Vehicle Economics'!$K$15</x:f>
        <x:v>211.25</x:v>
      </x:c>
      <x:c r="M50" s="28" t="n">
        <x:f>L50+E50*'Vehicle Economics'!D$9</x:f>
        <x:v>216.14146447740396</x:v>
      </x:c>
    </x:row>
    <x:row r="51" ht="18" customHeight="1">
      <x:c r="A51" s="2"/>
      <x:c r="B51" s="2"/>
      <x:c r="C51" s="2" t="str">
        <x:v>Car / 43</x:v>
      </x:c>
      <x:c r="D51" s="28" t="n">
        <x:f>'Vehicle Economics'!$J$9*EXP(-'Vehicle Economics'!$J$10*(43-10))*'Vehicle Economics'!D$7</x:f>
        <x:v>368.83167401239996</x:v>
      </x:c>
      <x:c r="E51" s="28" t="n">
        <x:f>D51*'Vehicle Economics'!D$8</x:f>
        <x:v>110.64950220371999</x:v>
      </x:c>
      <x:c r="F51" s="28" t="n">
        <x:f>$E51*'Vehicle Economics'!$J$13</x:f>
        <x:v>55.324751101859995</x:v>
      </x:c>
      <x:c r="G51" s="28" t="n">
        <x:f>$E51*'Vehicle Economics'!$J$14</x:f>
        <x:v>110.64950220371999</x:v>
      </x:c>
      <x:c r="H51" s="28" t="n">
        <x:f>$E51*'Vehicle Economics'!$J$15</x:f>
        <x:v>165.97425330558</x:v>
      </x:c>
      <x:c r="I51" s="28" t="n">
        <x:f>VLOOKUP(F51,'AD Fees &amp; TLF'!$C$19:$E$63,2,TRUE)+F51*VLOOKUP(F51,'AD Fees &amp; TLF'!$C$19:$E$63,3,TRUE)+VLOOKUP(F51,'AD Fees &amp; TLF'!$G$19:$H$27,2,TRUE)+SUM('AD Fees &amp; TLF'!$H$30:$H$31)</x:f>
        <x:v>155</x:v>
      </x:c>
      <x:c r="J51" s="28" t="n">
        <x:f>VLOOKUP(G51,'AD Fees &amp; TLF'!$C$19:$E$63,2,TRUE)+G51*VLOOKUP(G51,'AD Fees &amp; TLF'!$C$19:$E$63,3,TRUE)+VLOOKUP(G51,'AD Fees &amp; TLF'!$G$19:$H$27,2,TRUE)+SUM('AD Fees &amp; TLF'!$H$30:$H$31)</x:f>
        <x:v>230</x:v>
      </x:c>
      <x:c r="K51" s="28" t="n">
        <x:f>VLOOKUP(H51,'AD Fees &amp; TLF'!$C$19:$E$63,2,TRUE)+H51*VLOOKUP(H51,'AD Fees &amp; TLF'!$C$19:$E$63,3,TRUE)+VLOOKUP(H51,'AD Fees &amp; TLF'!$G$19:$H$27,2,TRUE)+SUM('AD Fees &amp; TLF'!$H$30:$H$31)</x:f>
        <x:v>230</x:v>
      </x:c>
      <x:c r="L51" s="28" t="n">
        <x:f>I51*'Vehicle Economics'!$K$13+J51*'Vehicle Economics'!$K$14+K51*'Vehicle Economics'!$K$15</x:f>
        <x:v>211.25</x:v>
      </x:c>
      <x:c r="M51" s="28" t="n">
        <x:f>L51+E51*'Vehicle Economics'!D$9</x:f>
        <x:v>215.6759800881488</x:v>
      </x:c>
    </x:row>
    <x:row r="52" ht="18" customHeight="1">
      <x:c r="A52" s="2"/>
      <x:c r="B52" s="2"/>
      <x:c r="C52" s="2" t="str">
        <x:v>Car / 44</x:v>
      </x:c>
      <x:c r="D52" s="28" t="n">
        <x:f>'Vehicle Economics'!$J$9*EXP(-'Vehicle Economics'!$J$10*(44-10))*'Vehicle Economics'!D$7</x:f>
        <x:v>333.73269960326064</x:v>
      </x:c>
      <x:c r="E52" s="28" t="n">
        <x:f>D52*'Vehicle Economics'!D$8</x:f>
        <x:v>100.1198098809782</x:v>
      </x:c>
      <x:c r="F52" s="28" t="n">
        <x:f>$E52*'Vehicle Economics'!$J$13</x:f>
        <x:v>50.0599049404891</x:v>
      </x:c>
      <x:c r="G52" s="28" t="n">
        <x:f>$E52*'Vehicle Economics'!$J$14</x:f>
        <x:v>100.1198098809782</x:v>
      </x:c>
      <x:c r="H52" s="28" t="n">
        <x:f>$E52*'Vehicle Economics'!$J$15</x:f>
        <x:v>150.1797148214673</x:v>
      </x:c>
      <x:c r="I52" s="28" t="n">
        <x:f>VLOOKUP(F52,'AD Fees &amp; TLF'!$C$19:$E$63,2,TRUE)+F52*VLOOKUP(F52,'AD Fees &amp; TLF'!$C$19:$E$63,3,TRUE)+VLOOKUP(F52,'AD Fees &amp; TLF'!$G$19:$H$27,2,TRUE)+SUM('AD Fees &amp; TLF'!$H$30:$H$31)</x:f>
        <x:v>155</x:v>
      </x:c>
      <x:c r="J52" s="28" t="n">
        <x:f>VLOOKUP(G52,'AD Fees &amp; TLF'!$C$19:$E$63,2,TRUE)+G52*VLOOKUP(G52,'AD Fees &amp; TLF'!$C$19:$E$63,3,TRUE)+VLOOKUP(G52,'AD Fees &amp; TLF'!$G$19:$H$27,2,TRUE)+SUM('AD Fees &amp; TLF'!$H$30:$H$31)</x:f>
        <x:v>230</x:v>
      </x:c>
      <x:c r="K52" s="28" t="n">
        <x:f>VLOOKUP(H52,'AD Fees &amp; TLF'!$C$19:$E$63,2,TRUE)+H52*VLOOKUP(H52,'AD Fees &amp; TLF'!$C$19:$E$63,3,TRUE)+VLOOKUP(H52,'AD Fees &amp; TLF'!$G$19:$H$27,2,TRUE)+SUM('AD Fees &amp; TLF'!$H$30:$H$31)</x:f>
        <x:v>230</x:v>
      </x:c>
      <x:c r="L52" s="28" t="n">
        <x:f>I52*'Vehicle Economics'!$K$13+J52*'Vehicle Economics'!$K$14+K52*'Vehicle Economics'!$K$15</x:f>
        <x:v>211.25</x:v>
      </x:c>
      <x:c r="M52" s="28" t="n">
        <x:f>L52+E52*'Vehicle Economics'!D$9</x:f>
        <x:v>215.25479239523912</x:v>
      </x:c>
    </x:row>
    <x:row r="53" ht="18" customHeight="1">
      <x:c r="A53" s="2"/>
      <x:c r="B53" s="2"/>
      <x:c r="C53" s="2" t="str">
        <x:v>Car / 45</x:v>
      </x:c>
      <x:c r="D53" s="28" t="n">
        <x:f>'Vehicle Economics'!$J$9*EXP(-'Vehicle Economics'!$J$10*(45-10))*'Vehicle Economics'!D$7</x:f>
        <x:v>301.973834223185</x:v>
      </x:c>
      <x:c r="E53" s="28" t="n">
        <x:f>D53*'Vehicle Economics'!D$8</x:f>
        <x:v>90.5921502669555</x:v>
      </x:c>
      <x:c r="F53" s="28" t="n">
        <x:f>$E53*'Vehicle Economics'!$J$13</x:f>
        <x:v>45.29607513347775</x:v>
      </x:c>
      <x:c r="G53" s="28" t="n">
        <x:f>$E53*'Vehicle Economics'!$J$14</x:f>
        <x:v>90.5921502669555</x:v>
      </x:c>
      <x:c r="H53" s="28" t="n">
        <x:f>$E53*'Vehicle Economics'!$J$15</x:f>
        <x:v>135.88822540043324</x:v>
      </x:c>
      <x:c r="I53" s="28" t="n">
        <x:f>VLOOKUP(F53,'AD Fees &amp; TLF'!$C$19:$E$63,2,TRUE)+F53*VLOOKUP(F53,'AD Fees &amp; TLF'!$C$19:$E$63,3,TRUE)+VLOOKUP(F53,'AD Fees &amp; TLF'!$G$19:$H$27,2,TRUE)+SUM('AD Fees &amp; TLF'!$H$30:$H$31)</x:f>
        <x:v>135</x:v>
      </x:c>
      <x:c r="J53" s="28" t="n">
        <x:f>VLOOKUP(G53,'AD Fees &amp; TLF'!$C$19:$E$63,2,TRUE)+G53*VLOOKUP(G53,'AD Fees &amp; TLF'!$C$19:$E$63,3,TRUE)+VLOOKUP(G53,'AD Fees &amp; TLF'!$G$19:$H$27,2,TRUE)+SUM('AD Fees &amp; TLF'!$H$30:$H$31)</x:f>
        <x:v>155</x:v>
      </x:c>
      <x:c r="K53" s="28" t="n">
        <x:f>VLOOKUP(H53,'AD Fees &amp; TLF'!$C$19:$E$63,2,TRUE)+H53*VLOOKUP(H53,'AD Fees &amp; TLF'!$C$19:$E$63,3,TRUE)+VLOOKUP(H53,'AD Fees &amp; TLF'!$G$19:$H$27,2,TRUE)+SUM('AD Fees &amp; TLF'!$H$30:$H$31)</x:f>
        <x:v>230</x:v>
      </x:c>
      <x:c r="L53" s="28" t="n">
        <x:f>I53*'Vehicle Economics'!$K$13+J53*'Vehicle Economics'!$K$14+K53*'Vehicle Economics'!$K$15</x:f>
        <x:v>168.75</x:v>
      </x:c>
      <x:c r="M53" s="28" t="n">
        <x:f>L53+E53*'Vehicle Economics'!D$9</x:f>
        <x:v>172.37368601067823</x:v>
      </x:c>
    </x:row>
    <x:row r="54" ht="18" customHeight="1">
      <x:c r="A54" s="2"/>
      <x:c r="B54" s="2"/>
      <x:c r="C54" s="2" t="str">
        <x:v>SUV / crossover / 0</x:v>
      </x:c>
      <x:c r="D54" s="28" t="n">
        <x:f>'Vehicle Economics'!$J$9*EXP(-'Vehicle Economics'!$J$10*(0-10))*'Vehicle Economics'!E$7</x:f>
        <x:v>40774.22742688568</x:v>
      </x:c>
      <x:c r="E54" s="28" t="n">
        <x:f>D54*'Vehicle Economics'!E$8</x:f>
        <x:v>12232.268228065703</x:v>
      </x:c>
      <x:c r="F54" s="28" t="n">
        <x:f>$E54*'Vehicle Economics'!$J$13</x:f>
        <x:v>6116.134114032851</x:v>
      </x:c>
      <x:c r="G54" s="28" t="n">
        <x:f>$E54*'Vehicle Economics'!$J$14</x:f>
        <x:v>12232.268228065703</x:v>
      </x:c>
      <x:c r="H54" s="28" t="n">
        <x:f>$E54*'Vehicle Economics'!$J$15</x:f>
        <x:v>18348.402342098554</x:v>
      </x:c>
      <x:c r="I54" s="28" t="n">
        <x:f>VLOOKUP(F54,'AD Fees &amp; TLF'!$C$19:$E$63,2,TRUE)+F54*VLOOKUP(F54,'AD Fees &amp; TLF'!$C$19:$E$63,3,TRUE)+VLOOKUP(F54,'AD Fees &amp; TLF'!$G$19:$H$27,2,TRUE)+SUM('AD Fees &amp; TLF'!$H$30:$H$31)</x:f>
        <x:v>1060</x:v>
      </x:c>
      <x:c r="J54" s="28" t="n">
        <x:f>VLOOKUP(G54,'AD Fees &amp; TLF'!$C$19:$E$63,2,TRUE)+G54*VLOOKUP(G54,'AD Fees &amp; TLF'!$C$19:$E$63,3,TRUE)+VLOOKUP(G54,'AD Fees &amp; TLF'!$G$19:$H$27,2,TRUE)+SUM('AD Fees &amp; TLF'!$H$30:$H$31)</x:f>
        <x:v>1250</x:v>
      </x:c>
      <x:c r="K54" s="28" t="n">
        <x:f>VLOOKUP(H54,'AD Fees &amp; TLF'!$C$19:$E$63,2,TRUE)+H54*VLOOKUP(H54,'AD Fees &amp; TLF'!$C$19:$E$63,3,TRUE)+VLOOKUP(H54,'AD Fees &amp; TLF'!$G$19:$H$27,2,TRUE)+SUM('AD Fees &amp; TLF'!$H$30:$H$31)</x:f>
        <x:v>1626.1301756573914</x:v>
      </x:c>
      <x:c r="L54" s="28" t="n">
        <x:f>I54*'Vehicle Economics'!$K$13+J54*'Vehicle Economics'!$K$14+K54*'Vehicle Economics'!$K$15</x:f>
        <x:v>1296.5325439143478</x:v>
      </x:c>
      <x:c r="M54" s="28" t="n">
        <x:f>L54+E54*'Vehicle Economics'!E$9</x:f>
        <x:v>1785.823273036976</x:v>
      </x:c>
    </x:row>
    <x:row r="55" ht="18" customHeight="1">
      <x:c r="A55" s="2"/>
      <x:c r="B55" s="2"/>
      <x:c r="C55" s="2" t="str">
        <x:v>SUV / crossover / 1</x:v>
      </x:c>
      <x:c r="D55" s="28" t="n">
        <x:f>'Vehicle Economics'!$J$9*EXP(-'Vehicle Economics'!$J$10*(1-10))*'Vehicle Economics'!E$7</x:f>
        <x:v>36894.04666735425</x:v>
      </x:c>
      <x:c r="E55" s="28" t="n">
        <x:f>D55*'Vehicle Economics'!E$8</x:f>
        <x:v>11068.214000206273</x:v>
      </x:c>
      <x:c r="F55" s="28" t="n">
        <x:f>$E55*'Vehicle Economics'!$J$13</x:f>
        <x:v>5534.107000103137</x:v>
      </x:c>
      <x:c r="G55" s="28" t="n">
        <x:f>$E55*'Vehicle Economics'!$J$14</x:f>
        <x:v>11068.214000206273</x:v>
      </x:c>
      <x:c r="H55" s="28" t="n">
        <x:f>$E55*'Vehicle Economics'!$J$15</x:f>
        <x:v>16602.32100030941</x:v>
      </x:c>
      <x:c r="I55" s="28" t="n">
        <x:f>VLOOKUP(F55,'AD Fees &amp; TLF'!$C$19:$E$63,2,TRUE)+F55*VLOOKUP(F55,'AD Fees &amp; TLF'!$C$19:$E$63,3,TRUE)+VLOOKUP(F55,'AD Fees &amp; TLF'!$G$19:$H$27,2,TRUE)+SUM('AD Fees &amp; TLF'!$H$30:$H$31)</x:f>
        <x:v>1020</x:v>
      </x:c>
      <x:c r="J55" s="28" t="n">
        <x:f>VLOOKUP(G55,'AD Fees &amp; TLF'!$C$19:$E$63,2,TRUE)+G55*VLOOKUP(G55,'AD Fees &amp; TLF'!$C$19:$E$63,3,TRUE)+VLOOKUP(G55,'AD Fees &amp; TLF'!$G$19:$H$27,2,TRUE)+SUM('AD Fees &amp; TLF'!$H$30:$H$31)</x:f>
        <x:v>1250</x:v>
      </x:c>
      <x:c r="K55" s="28" t="n">
        <x:f>VLOOKUP(H55,'AD Fees &amp; TLF'!$C$19:$E$63,2,TRUE)+H55*VLOOKUP(H55,'AD Fees &amp; TLF'!$C$19:$E$63,3,TRUE)+VLOOKUP(H55,'AD Fees &amp; TLF'!$G$19:$H$27,2,TRUE)+SUM('AD Fees &amp; TLF'!$H$30:$H$31)</x:f>
        <x:v>1495.1740750232057</x:v>
      </x:c>
      <x:c r="L55" s="28" t="n">
        <x:f>I55*'Vehicle Economics'!$K$13+J55*'Vehicle Economics'!$K$14+K55*'Vehicle Economics'!$K$15</x:f>
        <x:v>1253.7935187558014</x:v>
      </x:c>
      <x:c r="M55" s="28" t="n">
        <x:f>L55+E55*'Vehicle Economics'!E$9</x:f>
        <x:v>1696.5220787640524</x:v>
      </x:c>
    </x:row>
    <x:row r="56" ht="18" customHeight="1">
      <x:c r="A56" s="2"/>
      <x:c r="B56" s="2"/>
      <x:c r="C56" s="2" t="str">
        <x:v>SUV / crossover / 2</x:v>
      </x:c>
      <x:c r="D56" s="28" t="n">
        <x:f>'Vehicle Economics'!$J$9*EXP(-'Vehicle Economics'!$J$10*(2-10))*'Vehicle Economics'!E$7</x:f>
        <x:v>33383.113927387014</x:v>
      </x:c>
      <x:c r="E56" s="28" t="n">
        <x:f>D56*'Vehicle Economics'!E$8</x:f>
        <x:v>10014.934178216105</x:v>
      </x:c>
      <x:c r="F56" s="28" t="n">
        <x:f>$E56*'Vehicle Economics'!$J$13</x:f>
        <x:v>5007.467089108052</x:v>
      </x:c>
      <x:c r="G56" s="28" t="n">
        <x:f>$E56*'Vehicle Economics'!$J$14</x:f>
        <x:v>10014.934178216105</x:v>
      </x:c>
      <x:c r="H56" s="28" t="n">
        <x:f>$E56*'Vehicle Economics'!$J$15</x:f>
        <x:v>15022.401267324156</x:v>
      </x:c>
      <x:c r="I56" s="28" t="n">
        <x:f>VLOOKUP(F56,'AD Fees &amp; TLF'!$C$19:$E$63,2,TRUE)+F56*VLOOKUP(F56,'AD Fees &amp; TLF'!$C$19:$E$63,3,TRUE)+VLOOKUP(F56,'AD Fees &amp; TLF'!$G$19:$H$27,2,TRUE)+SUM('AD Fees &amp; TLF'!$H$30:$H$31)</x:f>
        <x:v>995</x:v>
      </x:c>
      <x:c r="J56" s="28" t="n">
        <x:f>VLOOKUP(G56,'AD Fees &amp; TLF'!$C$19:$E$63,2,TRUE)+G56*VLOOKUP(G56,'AD Fees &amp; TLF'!$C$19:$E$63,3,TRUE)+VLOOKUP(G56,'AD Fees &amp; TLF'!$G$19:$H$27,2,TRUE)+SUM('AD Fees &amp; TLF'!$H$30:$H$31)</x:f>
        <x:v>1250</x:v>
      </x:c>
      <x:c r="K56" s="28" t="n">
        <x:f>VLOOKUP(H56,'AD Fees &amp; TLF'!$C$19:$E$63,2,TRUE)+H56*VLOOKUP(H56,'AD Fees &amp; TLF'!$C$19:$E$63,3,TRUE)+VLOOKUP(H56,'AD Fees &amp; TLF'!$G$19:$H$27,2,TRUE)+SUM('AD Fees &amp; TLF'!$H$30:$H$31)</x:f>
        <x:v>1376.6800950493116</x:v>
      </x:c>
      <x:c r="L56" s="28" t="n">
        <x:f>I56*'Vehicle Economics'!$K$13+J56*'Vehicle Economics'!$K$14+K56*'Vehicle Economics'!$K$15</x:f>
        <x:v>1217.920023762328</x:v>
      </x:c>
      <x:c r="M56" s="28" t="n">
        <x:f>L56+E56*'Vehicle Economics'!E$9</x:f>
        <x:v>1618.5173908909721</x:v>
      </x:c>
    </x:row>
    <x:row r="57" ht="18" customHeight="1">
      <x:c r="A57" s="2"/>
      <x:c r="B57" s="2"/>
      <x:c r="C57" s="2" t="str">
        <x:v>SUV / crossover / 3</x:v>
      </x:c>
      <x:c r="D57" s="28" t="n">
        <x:f>'Vehicle Economics'!$J$9*EXP(-'Vehicle Economics'!$J$10*(3-10))*'Vehicle Economics'!E$7</x:f>
        <x:v>30206.29061205715</x:v>
      </x:c>
      <x:c r="E57" s="28" t="n">
        <x:f>D57*'Vehicle Economics'!E$8</x:f>
        <x:v>9061.887183617144</x:v>
      </x:c>
      <x:c r="F57" s="28" t="n">
        <x:f>$E57*'Vehicle Economics'!$J$13</x:f>
        <x:v>4530.943591808572</x:v>
      </x:c>
      <x:c r="G57" s="28" t="n">
        <x:f>$E57*'Vehicle Economics'!$J$14</x:f>
        <x:v>9061.887183617144</x:v>
      </x:c>
      <x:c r="H57" s="28" t="n">
        <x:f>$E57*'Vehicle Economics'!$J$15</x:f>
        <x:v>13592.830775425715</x:v>
      </x:c>
      <x:c r="I57" s="28" t="n">
        <x:f>VLOOKUP(F57,'AD Fees &amp; TLF'!$C$19:$E$63,2,TRUE)+F57*VLOOKUP(F57,'AD Fees &amp; TLF'!$C$19:$E$63,3,TRUE)+VLOOKUP(F57,'AD Fees &amp; TLF'!$G$19:$H$27,2,TRUE)+SUM('AD Fees &amp; TLF'!$H$30:$H$31)</x:f>
        <x:v>970</x:v>
      </x:c>
      <x:c r="J57" s="28" t="n">
        <x:f>VLOOKUP(G57,'AD Fees &amp; TLF'!$C$19:$E$63,2,TRUE)+G57*VLOOKUP(G57,'AD Fees &amp; TLF'!$C$19:$E$63,3,TRUE)+VLOOKUP(G57,'AD Fees &amp; TLF'!$G$19:$H$27,2,TRUE)+SUM('AD Fees &amp; TLF'!$H$30:$H$31)</x:f>
        <x:v>1195</x:v>
      </x:c>
      <x:c r="K57" s="28" t="n">
        <x:f>VLOOKUP(H57,'AD Fees &amp; TLF'!$C$19:$E$63,2,TRUE)+H57*VLOOKUP(H57,'AD Fees &amp; TLF'!$C$19:$E$63,3,TRUE)+VLOOKUP(H57,'AD Fees &amp; TLF'!$G$19:$H$27,2,TRUE)+SUM('AD Fees &amp; TLF'!$H$30:$H$31)</x:f>
        <x:v>1250</x:v>
      </x:c>
      <x:c r="L57" s="28" t="n">
        <x:f>I57*'Vehicle Economics'!$K$13+J57*'Vehicle Economics'!$K$14+K57*'Vehicle Economics'!$K$15</x:f>
        <x:v>1152.5</x:v>
      </x:c>
      <x:c r="M57" s="28" t="n">
        <x:f>L57+E57*'Vehicle Economics'!E$9</x:f>
        <x:v>1514.9754873446857</x:v>
      </x:c>
    </x:row>
    <x:row r="58" ht="18" customHeight="1">
      <x:c r="A58" s="2"/>
      <x:c r="B58" s="2"/>
      <x:c r="C58" s="2" t="str">
        <x:v>SUV / crossover / 4</x:v>
      </x:c>
      <x:c r="D58" s="28" t="n">
        <x:f>'Vehicle Economics'!$J$9*EXP(-'Vehicle Economics'!$J$10*(4-10))*'Vehicle Economics'!E$7</x:f>
        <x:v>27331.78200585764</x:v>
      </x:c>
      <x:c r="E58" s="28" t="n">
        <x:f>D58*'Vehicle Economics'!E$8</x:f>
        <x:v>8199.534601757292</x:v>
      </x:c>
      <x:c r="F58" s="28" t="n">
        <x:f>$E58*'Vehicle Economics'!$J$13</x:f>
        <x:v>4099.767300878646</x:v>
      </x:c>
      <x:c r="G58" s="28" t="n">
        <x:f>$E58*'Vehicle Economics'!$J$14</x:f>
        <x:v>8199.534601757292</x:v>
      </x:c>
      <x:c r="H58" s="28" t="n">
        <x:f>$E58*'Vehicle Economics'!$J$15</x:f>
        <x:v>12299.301902635938</x:v>
      </x:c>
      <x:c r="I58" s="28" t="n">
        <x:f>VLOOKUP(F58,'AD Fees &amp; TLF'!$C$19:$E$63,2,TRUE)+F58*VLOOKUP(F58,'AD Fees &amp; TLF'!$C$19:$E$63,3,TRUE)+VLOOKUP(F58,'AD Fees &amp; TLF'!$G$19:$H$27,2,TRUE)+SUM('AD Fees &amp; TLF'!$H$30:$H$31)</x:f>
        <x:v>945</x:v>
      </x:c>
      <x:c r="J58" s="28" t="n">
        <x:f>VLOOKUP(G58,'AD Fees &amp; TLF'!$C$19:$E$63,2,TRUE)+G58*VLOOKUP(G58,'AD Fees &amp; TLF'!$C$19:$E$63,3,TRUE)+VLOOKUP(G58,'AD Fees &amp; TLF'!$G$19:$H$27,2,TRUE)+SUM('AD Fees &amp; TLF'!$H$30:$H$31)</x:f>
        <x:v>1175</x:v>
      </x:c>
      <x:c r="K58" s="28" t="n">
        <x:f>VLOOKUP(H58,'AD Fees &amp; TLF'!$C$19:$E$63,2,TRUE)+H58*VLOOKUP(H58,'AD Fees &amp; TLF'!$C$19:$E$63,3,TRUE)+VLOOKUP(H58,'AD Fees &amp; TLF'!$G$19:$H$27,2,TRUE)+SUM('AD Fees &amp; TLF'!$H$30:$H$31)</x:f>
        <x:v>1250</x:v>
      </x:c>
      <x:c r="L58" s="28" t="n">
        <x:f>I58*'Vehicle Economics'!$K$13+J58*'Vehicle Economics'!$K$14+K58*'Vehicle Economics'!$K$15</x:f>
        <x:v>1136.25</x:v>
      </x:c>
      <x:c r="M58" s="28" t="n">
        <x:f>L58+E58*'Vehicle Economics'!E$9</x:f>
        <x:v>1464.2313840702918</x:v>
      </x:c>
    </x:row>
    <x:row r="59" ht="18" customHeight="1">
      <x:c r="A59" s="2"/>
      <x:c r="B59" s="2"/>
      <x:c r="C59" s="2" t="str">
        <x:v>SUV / crossover / 5</x:v>
      </x:c>
      <x:c r="D59" s="28" t="n">
        <x:f>'Vehicle Economics'!$J$9*EXP(-'Vehicle Economics'!$J$10*(5-10))*'Vehicle Economics'!E$7</x:f>
        <x:v>24730.819060501926</x:v>
      </x:c>
      <x:c r="E59" s="28" t="n">
        <x:f>D59*'Vehicle Economics'!E$8</x:f>
        <x:v>7419.245718150578</x:v>
      </x:c>
      <x:c r="F59" s="28" t="n">
        <x:f>$E59*'Vehicle Economics'!$J$13</x:f>
        <x:v>3709.622859075289</x:v>
      </x:c>
      <x:c r="G59" s="28" t="n">
        <x:f>$E59*'Vehicle Economics'!$J$14</x:f>
        <x:v>7419.245718150578</x:v>
      </x:c>
      <x:c r="H59" s="28" t="n">
        <x:f>$E59*'Vehicle Economics'!$J$15</x:f>
        <x:v>11128.868577225867</x:v>
      </x:c>
      <x:c r="I59" s="28" t="n">
        <x:f>VLOOKUP(F59,'AD Fees &amp; TLF'!$C$19:$E$63,2,TRUE)+F59*VLOOKUP(F59,'AD Fees &amp; TLF'!$C$19:$E$63,3,TRUE)+VLOOKUP(F59,'AD Fees &amp; TLF'!$G$19:$H$27,2,TRUE)+SUM('AD Fees &amp; TLF'!$H$30:$H$31)</x:f>
        <x:v>915</x:v>
      </x:c>
      <x:c r="J59" s="28" t="n">
        <x:f>VLOOKUP(G59,'AD Fees &amp; TLF'!$C$19:$E$63,2,TRUE)+G59*VLOOKUP(G59,'AD Fees &amp; TLF'!$C$19:$E$63,3,TRUE)+VLOOKUP(G59,'AD Fees &amp; TLF'!$G$19:$H$27,2,TRUE)+SUM('AD Fees &amp; TLF'!$H$30:$H$31)</x:f>
        <x:v>1115</x:v>
      </x:c>
      <x:c r="K59" s="28" t="n">
        <x:f>VLOOKUP(H59,'AD Fees &amp; TLF'!$C$19:$E$63,2,TRUE)+H59*VLOOKUP(H59,'AD Fees &amp; TLF'!$C$19:$E$63,3,TRUE)+VLOOKUP(H59,'AD Fees &amp; TLF'!$G$19:$H$27,2,TRUE)+SUM('AD Fees &amp; TLF'!$H$30:$H$31)</x:f>
        <x:v>1250</x:v>
      </x:c>
      <x:c r="L59" s="28" t="n">
        <x:f>I59*'Vehicle Economics'!$K$13+J59*'Vehicle Economics'!$K$14+K59*'Vehicle Economics'!$K$15</x:f>
        <x:v>1098.75</x:v>
      </x:c>
      <x:c r="M59" s="28" t="n">
        <x:f>L59+E59*'Vehicle Economics'!E$9</x:f>
        <x:v>1395.5198287260232</x:v>
      </x:c>
    </x:row>
    <x:row r="60" ht="18" customHeight="1">
      <x:c r="A60" s="2"/>
      <x:c r="B60" s="2"/>
      <x:c r="C60" s="2" t="str">
        <x:v>SUV / crossover / 6</x:v>
      </x:c>
      <x:c r="D60" s="28" t="n">
        <x:f>'Vehicle Economics'!$J$9*EXP(-'Vehicle Economics'!$J$10*(6-10))*'Vehicle Economics'!E$7</x:f>
        <x:v>22377.370464619056</x:v>
      </x:c>
      <x:c r="E60" s="28" t="n">
        <x:f>D60*'Vehicle Economics'!E$8</x:f>
        <x:v>6713.211139385717</x:v>
      </x:c>
      <x:c r="F60" s="28" t="n">
        <x:f>$E60*'Vehicle Economics'!$J$13</x:f>
        <x:v>3356.6055696928584</x:v>
      </x:c>
      <x:c r="G60" s="28" t="n">
        <x:f>$E60*'Vehicle Economics'!$J$14</x:f>
        <x:v>6713.211139385717</x:v>
      </x:c>
      <x:c r="H60" s="28" t="n">
        <x:f>$E60*'Vehicle Economics'!$J$15</x:f>
        <x:v>10069.816709078576</x:v>
      </x:c>
      <x:c r="I60" s="28" t="n">
        <x:f>VLOOKUP(F60,'AD Fees &amp; TLF'!$C$19:$E$63,2,TRUE)+F60*VLOOKUP(F60,'AD Fees &amp; TLF'!$C$19:$E$63,3,TRUE)+VLOOKUP(F60,'AD Fees &amp; TLF'!$G$19:$H$27,2,TRUE)+SUM('AD Fees &amp; TLF'!$H$30:$H$31)</x:f>
        <x:v>865</x:v>
      </x:c>
      <x:c r="J60" s="28" t="n">
        <x:f>VLOOKUP(G60,'AD Fees &amp; TLF'!$C$19:$E$63,2,TRUE)+G60*VLOOKUP(G60,'AD Fees &amp; TLF'!$C$19:$E$63,3,TRUE)+VLOOKUP(G60,'AD Fees &amp; TLF'!$G$19:$H$27,2,TRUE)+SUM('AD Fees &amp; TLF'!$H$30:$H$31)</x:f>
        <x:v>1080</x:v>
      </x:c>
      <x:c r="K60" s="28" t="n">
        <x:f>VLOOKUP(H60,'AD Fees &amp; TLF'!$C$19:$E$63,2,TRUE)+H60*VLOOKUP(H60,'AD Fees &amp; TLF'!$C$19:$E$63,3,TRUE)+VLOOKUP(H60,'AD Fees &amp; TLF'!$G$19:$H$27,2,TRUE)+SUM('AD Fees &amp; TLF'!$H$30:$H$31)</x:f>
        <x:v>1250</x:v>
      </x:c>
      <x:c r="L60" s="28" t="n">
        <x:f>I60*'Vehicle Economics'!$K$13+J60*'Vehicle Economics'!$K$14+K60*'Vehicle Economics'!$K$15</x:f>
        <x:v>1068.75</x:v>
      </x:c>
      <x:c r="M60" s="28" t="n">
        <x:f>L60+E60*'Vehicle Economics'!E$9</x:f>
        <x:v>1337.2784455754286</x:v>
      </x:c>
    </x:row>
    <x:row r="61" ht="18" customHeight="1">
      <x:c r="A61" s="2"/>
      <x:c r="B61" s="2"/>
      <x:c r="C61" s="2" t="str">
        <x:v>SUV / crossover / 7</x:v>
      </x:c>
      <x:c r="D61" s="28" t="n">
        <x:f>'Vehicle Economics'!$J$9*EXP(-'Vehicle Economics'!$J$10*(7-10))*'Vehicle Economics'!E$7</x:f>
        <x:v>20247.882113640047</x:v>
      </x:c>
      <x:c r="E61" s="28" t="n">
        <x:f>D61*'Vehicle Economics'!E$8</x:f>
        <x:v>6074.364634092014</x:v>
      </x:c>
      <x:c r="F61" s="28" t="n">
        <x:f>$E61*'Vehicle Economics'!$J$13</x:f>
        <x:v>3037.182317046007</x:v>
      </x:c>
      <x:c r="G61" s="28" t="n">
        <x:f>$E61*'Vehicle Economics'!$J$14</x:f>
        <x:v>6074.364634092014</x:v>
      </x:c>
      <x:c r="H61" s="28" t="n">
        <x:f>$E61*'Vehicle Economics'!$J$15</x:f>
        <x:v>9111.546951138022</x:v>
      </x:c>
      <x:c r="I61" s="28" t="n">
        <x:f>VLOOKUP(F61,'AD Fees &amp; TLF'!$C$19:$E$63,2,TRUE)+F61*VLOOKUP(F61,'AD Fees &amp; TLF'!$C$19:$E$63,3,TRUE)+VLOOKUP(F61,'AD Fees &amp; TLF'!$G$19:$H$27,2,TRUE)+SUM('AD Fees &amp; TLF'!$H$30:$H$31)</x:f>
        <x:v>865</x:v>
      </x:c>
      <x:c r="J61" s="28" t="n">
        <x:f>VLOOKUP(G61,'AD Fees &amp; TLF'!$C$19:$E$63,2,TRUE)+G61*VLOOKUP(G61,'AD Fees &amp; TLF'!$C$19:$E$63,3,TRUE)+VLOOKUP(G61,'AD Fees &amp; TLF'!$G$19:$H$27,2,TRUE)+SUM('AD Fees &amp; TLF'!$H$30:$H$31)</x:f>
        <x:v>1060</x:v>
      </x:c>
      <x:c r="K61" s="28" t="n">
        <x:f>VLOOKUP(H61,'AD Fees &amp; TLF'!$C$19:$E$63,2,TRUE)+H61*VLOOKUP(H61,'AD Fees &amp; TLF'!$C$19:$E$63,3,TRUE)+VLOOKUP(H61,'AD Fees &amp; TLF'!$G$19:$H$27,2,TRUE)+SUM('AD Fees &amp; TLF'!$H$30:$H$31)</x:f>
        <x:v>1195</x:v>
      </x:c>
      <x:c r="L61" s="28" t="n">
        <x:f>I61*'Vehicle Economics'!$K$13+J61*'Vehicle Economics'!$K$14+K61*'Vehicle Economics'!$K$15</x:f>
        <x:v>1045</x:v>
      </x:c>
      <x:c r="M61" s="28" t="n">
        <x:f>L61+E61*'Vehicle Economics'!E$9</x:f>
        <x:v>1287.9745853636805</x:v>
      </x:c>
    </x:row>
    <x:row r="62" ht="18" customHeight="1">
      <x:c r="A62" s="2"/>
      <x:c r="B62" s="2"/>
      <x:c r="C62" s="2" t="str">
        <x:v>SUV / crossover / 8</x:v>
      </x:c>
      <x:c r="D62" s="28" t="n">
        <x:f>'Vehicle Economics'!$J$9*EXP(-'Vehicle Economics'!$J$10*(8-10))*'Vehicle Economics'!E$7</x:f>
        <x:v>18321.04137240255</x:v>
      </x:c>
      <x:c r="E62" s="28" t="n">
        <x:f>D62*'Vehicle Economics'!E$8</x:f>
        <x:v>5496.312411720764</x:v>
      </x:c>
      <x:c r="F62" s="28" t="n">
        <x:f>$E62*'Vehicle Economics'!$J$13</x:f>
        <x:v>2748.156205860382</x:v>
      </x:c>
      <x:c r="G62" s="28" t="n">
        <x:f>$E62*'Vehicle Economics'!$J$14</x:f>
        <x:v>5496.312411720764</x:v>
      </x:c>
      <x:c r="H62" s="28" t="n">
        <x:f>$E62*'Vehicle Economics'!$J$15</x:f>
        <x:v>8244.468617581148</x:v>
      </x:c>
      <x:c r="I62" s="28" t="n">
        <x:f>VLOOKUP(F62,'AD Fees &amp; TLF'!$C$19:$E$63,2,TRUE)+F62*VLOOKUP(F62,'AD Fees &amp; TLF'!$C$19:$E$63,3,TRUE)+VLOOKUP(F62,'AD Fees &amp; TLF'!$G$19:$H$27,2,TRUE)+SUM('AD Fees &amp; TLF'!$H$30:$H$31)</x:f>
        <x:v>820</x:v>
      </x:c>
      <x:c r="J62" s="28" t="n">
        <x:f>VLOOKUP(G62,'AD Fees &amp; TLF'!$C$19:$E$63,2,TRUE)+G62*VLOOKUP(G62,'AD Fees &amp; TLF'!$C$19:$E$63,3,TRUE)+VLOOKUP(G62,'AD Fees &amp; TLF'!$G$19:$H$27,2,TRUE)+SUM('AD Fees &amp; TLF'!$H$30:$H$31)</x:f>
        <x:v>995</x:v>
      </x:c>
      <x:c r="K62" s="28" t="n">
        <x:f>VLOOKUP(H62,'AD Fees &amp; TLF'!$C$19:$E$63,2,TRUE)+H62*VLOOKUP(H62,'AD Fees &amp; TLF'!$C$19:$E$63,3,TRUE)+VLOOKUP(H62,'AD Fees &amp; TLF'!$G$19:$H$27,2,TRUE)+SUM('AD Fees &amp; TLF'!$H$30:$H$31)</x:f>
        <x:v>1175</x:v>
      </x:c>
      <x:c r="L62" s="28" t="n">
        <x:f>I62*'Vehicle Economics'!$K$13+J62*'Vehicle Economics'!$K$14+K62*'Vehicle Economics'!$K$15</x:f>
        <x:v>996.25</x:v>
      </x:c>
      <x:c r="M62" s="28" t="n">
        <x:f>L62+E62*'Vehicle Economics'!E$9</x:f>
        <x:v>1216.1024964688306</x:v>
      </x:c>
    </x:row>
    <x:row r="63" ht="18" customHeight="1">
      <x:c r="A63" s="2"/>
      <x:c r="B63" s="2"/>
      <x:c r="C63" s="2" t="str">
        <x:v>SUV / crossover / 9</x:v>
      </x:c>
      <x:c r="D63" s="28" t="n">
        <x:f>'Vehicle Economics'!$J$9*EXP(-'Vehicle Economics'!$J$10*(9-10))*'Vehicle Economics'!E$7</x:f>
        <x:v>16577.563771134715</x:v>
      </x:c>
      <x:c r="E63" s="28" t="n">
        <x:f>D63*'Vehicle Economics'!E$8</x:f>
        <x:v>4973.269131340415</x:v>
      </x:c>
      <x:c r="F63" s="28" t="n">
        <x:f>$E63*'Vehicle Economics'!$J$13</x:f>
        <x:v>2486.6345656702074</x:v>
      </x:c>
      <x:c r="G63" s="28" t="n">
        <x:f>$E63*'Vehicle Economics'!$J$14</x:f>
        <x:v>4973.269131340415</x:v>
      </x:c>
      <x:c r="H63" s="28" t="n">
        <x:f>$E63*'Vehicle Economics'!$J$15</x:f>
        <x:v>7459.903697010623</x:v>
      </x:c>
      <x:c r="I63" s="28" t="n">
        <x:f>VLOOKUP(F63,'AD Fees &amp; TLF'!$C$19:$E$63,2,TRUE)+F63*VLOOKUP(F63,'AD Fees &amp; TLF'!$C$19:$E$63,3,TRUE)+VLOOKUP(F63,'AD Fees &amp; TLF'!$G$19:$H$27,2,TRUE)+SUM('AD Fees &amp; TLF'!$H$30:$H$31)</x:f>
        <x:v>780</x:v>
      </x:c>
      <x:c r="J63" s="28" t="n">
        <x:f>VLOOKUP(G63,'AD Fees &amp; TLF'!$C$19:$E$63,2,TRUE)+G63*VLOOKUP(G63,'AD Fees &amp; TLF'!$C$19:$E$63,3,TRUE)+VLOOKUP(G63,'AD Fees &amp; TLF'!$G$19:$H$27,2,TRUE)+SUM('AD Fees &amp; TLF'!$H$30:$H$31)</x:f>
        <x:v>970</x:v>
      </x:c>
      <x:c r="K63" s="28" t="n">
        <x:f>VLOOKUP(H63,'AD Fees &amp; TLF'!$C$19:$E$63,2,TRUE)+H63*VLOOKUP(H63,'AD Fees &amp; TLF'!$C$19:$E$63,3,TRUE)+VLOOKUP(H63,'AD Fees &amp; TLF'!$G$19:$H$27,2,TRUE)+SUM('AD Fees &amp; TLF'!$H$30:$H$31)</x:f>
        <x:v>1115</x:v>
      </x:c>
      <x:c r="L63" s="28" t="n">
        <x:f>I63*'Vehicle Economics'!$K$13+J63*'Vehicle Economics'!$K$14+K63*'Vehicle Economics'!$K$15</x:f>
        <x:v>958.75</x:v>
      </x:c>
      <x:c r="M63" s="28" t="n">
        <x:f>L63+E63*'Vehicle Economics'!E$9</x:f>
        <x:v>1157.6807652536165</x:v>
      </x:c>
    </x:row>
    <x:row r="64" ht="18" customHeight="1">
      <x:c r="A64" s="2"/>
      <x:c r="B64" s="2"/>
      <x:c r="C64" s="2" t="str">
        <x:v>SUV / crossover / 10</x:v>
      </x:c>
      <x:c r="D64" s="28" t="n">
        <x:f>'Vehicle Economics'!$J$9*EXP(-'Vehicle Economics'!$J$10*(10-10))*'Vehicle Economics'!E$7</x:f>
        <x:v>15000</x:v>
      </x:c>
      <x:c r="E64" s="28" t="n">
        <x:f>D64*'Vehicle Economics'!E$8</x:f>
        <x:v>4500</x:v>
      </x:c>
      <x:c r="F64" s="28" t="n">
        <x:f>$E64*'Vehicle Economics'!$J$13</x:f>
        <x:v>2250</x:v>
      </x:c>
      <x:c r="G64" s="28" t="n">
        <x:f>$E64*'Vehicle Economics'!$J$14</x:f>
        <x:v>4500</x:v>
      </x:c>
      <x:c r="H64" s="28" t="n">
        <x:f>$E64*'Vehicle Economics'!$J$15</x:f>
        <x:v>6750</x:v>
      </x:c>
      <x:c r="I64" s="28" t="n">
        <x:f>VLOOKUP(F64,'AD Fees &amp; TLF'!$C$19:$E$63,2,TRUE)+F64*VLOOKUP(F64,'AD Fees &amp; TLF'!$C$19:$E$63,3,TRUE)+VLOOKUP(F64,'AD Fees &amp; TLF'!$G$19:$H$27,2,TRUE)+SUM('AD Fees &amp; TLF'!$H$30:$H$31)</x:f>
        <x:v>745</x:v>
      </x:c>
      <x:c r="J64" s="28" t="n">
        <x:f>VLOOKUP(G64,'AD Fees &amp; TLF'!$C$19:$E$63,2,TRUE)+G64*VLOOKUP(G64,'AD Fees &amp; TLF'!$C$19:$E$63,3,TRUE)+VLOOKUP(G64,'AD Fees &amp; TLF'!$G$19:$H$27,2,TRUE)+SUM('AD Fees &amp; TLF'!$H$30:$H$31)</x:f>
        <x:v>970</x:v>
      </x:c>
      <x:c r="K64" s="28" t="n">
        <x:f>VLOOKUP(H64,'AD Fees &amp; TLF'!$C$19:$E$63,2,TRUE)+H64*VLOOKUP(H64,'AD Fees &amp; TLF'!$C$19:$E$63,3,TRUE)+VLOOKUP(H64,'AD Fees &amp; TLF'!$G$19:$H$27,2,TRUE)+SUM('AD Fees &amp; TLF'!$H$30:$H$31)</x:f>
        <x:v>1080</x:v>
      </x:c>
      <x:c r="L64" s="28" t="n">
        <x:f>I64*'Vehicle Economics'!$K$13+J64*'Vehicle Economics'!$K$14+K64*'Vehicle Economics'!$K$15</x:f>
        <x:v>941.25</x:v>
      </x:c>
      <x:c r="M64" s="28" t="n">
        <x:f>L64+E64*'Vehicle Economics'!E$9</x:f>
        <x:v>1121.25</x:v>
      </x:c>
    </x:row>
    <x:row r="65" ht="18" customHeight="1">
      <x:c r="A65" s="2"/>
      <x:c r="B65" s="2"/>
      <x:c r="C65" s="2" t="str">
        <x:v>SUV / crossover / 11</x:v>
      </x:c>
      <x:c r="D65" s="28" t="n">
        <x:f>'Vehicle Economics'!$J$9*EXP(-'Vehicle Economics'!$J$10*(11-10))*'Vehicle Economics'!E$7</x:f>
        <x:v>13572.561270539392</x:v>
      </x:c>
      <x:c r="E65" s="28" t="n">
        <x:f>D65*'Vehicle Economics'!E$8</x:f>
        <x:v>4071.7683811618176</x:v>
      </x:c>
      <x:c r="F65" s="28" t="n">
        <x:f>$E65*'Vehicle Economics'!$J$13</x:f>
        <x:v>2035.8841905809088</x:v>
      </x:c>
      <x:c r="G65" s="28" t="n">
        <x:f>$E65*'Vehicle Economics'!$J$14</x:f>
        <x:v>4071.7683811618176</x:v>
      </x:c>
      <x:c r="H65" s="28" t="n">
        <x:f>$E65*'Vehicle Economics'!$J$15</x:f>
        <x:v>6107.652571742727</x:v>
      </x:c>
      <x:c r="I65" s="28" t="n">
        <x:f>VLOOKUP(F65,'AD Fees &amp; TLF'!$C$19:$E$63,2,TRUE)+F65*VLOOKUP(F65,'AD Fees &amp; TLF'!$C$19:$E$63,3,TRUE)+VLOOKUP(F65,'AD Fees &amp; TLF'!$G$19:$H$27,2,TRUE)+SUM('AD Fees &amp; TLF'!$H$30:$H$31)</x:f>
        <x:v>745</x:v>
      </x:c>
      <x:c r="J65" s="28" t="n">
        <x:f>VLOOKUP(G65,'AD Fees &amp; TLF'!$C$19:$E$63,2,TRUE)+G65*VLOOKUP(G65,'AD Fees &amp; TLF'!$C$19:$E$63,3,TRUE)+VLOOKUP(G65,'AD Fees &amp; TLF'!$G$19:$H$27,2,TRUE)+SUM('AD Fees &amp; TLF'!$H$30:$H$31)</x:f>
        <x:v>945</x:v>
      </x:c>
      <x:c r="K65" s="28" t="n">
        <x:f>VLOOKUP(H65,'AD Fees &amp; TLF'!$C$19:$E$63,2,TRUE)+H65*VLOOKUP(H65,'AD Fees &amp; TLF'!$C$19:$E$63,3,TRUE)+VLOOKUP(H65,'AD Fees &amp; TLF'!$G$19:$H$27,2,TRUE)+SUM('AD Fees &amp; TLF'!$H$30:$H$31)</x:f>
        <x:v>1060</x:v>
      </x:c>
      <x:c r="L65" s="28" t="n">
        <x:f>I65*'Vehicle Economics'!$K$13+J65*'Vehicle Economics'!$K$14+K65*'Vehicle Economics'!$K$15</x:f>
        <x:v>923.75</x:v>
      </x:c>
      <x:c r="M65" s="28" t="n">
        <x:f>L65+E65*'Vehicle Economics'!E$9</x:f>
        <x:v>1086.6207352464728</x:v>
      </x:c>
    </x:row>
    <x:row r="66" ht="18" customHeight="1">
      <x:c r="A66" s="2"/>
      <x:c r="B66" s="2"/>
      <x:c r="C66" s="2" t="str">
        <x:v>SUV / crossover / 12</x:v>
      </x:c>
      <x:c r="D66" s="28" t="n">
        <x:f>'Vehicle Economics'!$J$9*EXP(-'Vehicle Economics'!$J$10*(12-10))*'Vehicle Economics'!E$7</x:f>
        <x:v>12280.961296169728</x:v>
      </x:c>
      <x:c r="E66" s="28" t="n">
        <x:f>D66*'Vehicle Economics'!E$8</x:f>
        <x:v>3684.288388850918</x:v>
      </x:c>
      <x:c r="F66" s="28" t="n">
        <x:f>$E66*'Vehicle Economics'!$J$13</x:f>
        <x:v>1842.144194425459</x:v>
      </x:c>
      <x:c r="G66" s="28" t="n">
        <x:f>$E66*'Vehicle Economics'!$J$14</x:f>
        <x:v>3684.288388850918</x:v>
      </x:c>
      <x:c r="H66" s="28" t="n">
        <x:f>$E66*'Vehicle Economics'!$J$15</x:f>
        <x:v>5526.432583276377</x:v>
      </x:c>
      <x:c r="I66" s="28" t="n">
        <x:f>VLOOKUP(F66,'AD Fees &amp; TLF'!$C$19:$E$63,2,TRUE)+F66*VLOOKUP(F66,'AD Fees &amp; TLF'!$C$19:$E$63,3,TRUE)+VLOOKUP(F66,'AD Fees &amp; TLF'!$G$19:$H$27,2,TRUE)+SUM('AD Fees &amp; TLF'!$H$30:$H$31)</x:f>
        <x:v>705</x:v>
      </x:c>
      <x:c r="J66" s="28" t="n">
        <x:f>VLOOKUP(G66,'AD Fees &amp; TLF'!$C$19:$E$63,2,TRUE)+G66*VLOOKUP(G66,'AD Fees &amp; TLF'!$C$19:$E$63,3,TRUE)+VLOOKUP(G66,'AD Fees &amp; TLF'!$G$19:$H$27,2,TRUE)+SUM('AD Fees &amp; TLF'!$H$30:$H$31)</x:f>
        <x:v>915</x:v>
      </x:c>
      <x:c r="K66" s="28" t="n">
        <x:f>VLOOKUP(H66,'AD Fees &amp; TLF'!$C$19:$E$63,2,TRUE)+H66*VLOOKUP(H66,'AD Fees &amp; TLF'!$C$19:$E$63,3,TRUE)+VLOOKUP(H66,'AD Fees &amp; TLF'!$G$19:$H$27,2,TRUE)+SUM('AD Fees &amp; TLF'!$H$30:$H$31)</x:f>
        <x:v>1020</x:v>
      </x:c>
      <x:c r="L66" s="28" t="n">
        <x:f>I66*'Vehicle Economics'!$K$13+J66*'Vehicle Economics'!$K$14+K66*'Vehicle Economics'!$K$15</x:f>
        <x:v>888.75</x:v>
      </x:c>
      <x:c r="M66" s="28" t="n">
        <x:f>L66+E66*'Vehicle Economics'!E$9</x:f>
        <x:v>1036.1215355540367</x:v>
      </x:c>
    </x:row>
    <x:row r="67" ht="18" customHeight="1">
      <x:c r="A67" s="2"/>
      <x:c r="B67" s="2"/>
      <x:c r="C67" s="2" t="str">
        <x:v>SUV / crossover / 13</x:v>
      </x:c>
      <x:c r="D67" s="28" t="n">
        <x:f>'Vehicle Economics'!$J$9*EXP(-'Vehicle Economics'!$J$10*(13-10))*'Vehicle Economics'!E$7</x:f>
        <x:v>11112.273310225766</x:v>
      </x:c>
      <x:c r="E67" s="28" t="n">
        <x:f>D67*'Vehicle Economics'!E$8</x:f>
        <x:v>3333.6819930677298</x:v>
      </x:c>
      <x:c r="F67" s="28" t="n">
        <x:f>$E67*'Vehicle Economics'!$J$13</x:f>
        <x:v>1666.8409965338649</x:v>
      </x:c>
      <x:c r="G67" s="28" t="n">
        <x:f>$E67*'Vehicle Economics'!$J$14</x:f>
        <x:v>3333.6819930677298</x:v>
      </x:c>
      <x:c r="H67" s="28" t="n">
        <x:f>$E67*'Vehicle Economics'!$J$15</x:f>
        <x:v>5000.522989601594</x:v>
      </x:c>
      <x:c r="I67" s="28" t="n">
        <x:f>VLOOKUP(F67,'AD Fees &amp; TLF'!$C$19:$E$63,2,TRUE)+F67*VLOOKUP(F67,'AD Fees &amp; TLF'!$C$19:$E$63,3,TRUE)+VLOOKUP(F67,'AD Fees &amp; TLF'!$G$19:$H$27,2,TRUE)+SUM('AD Fees &amp; TLF'!$H$30:$H$31)</x:f>
        <x:v>660</x:v>
      </x:c>
      <x:c r="J67" s="28" t="n">
        <x:f>VLOOKUP(G67,'AD Fees &amp; TLF'!$C$19:$E$63,2,TRUE)+G67*VLOOKUP(G67,'AD Fees &amp; TLF'!$C$19:$E$63,3,TRUE)+VLOOKUP(G67,'AD Fees &amp; TLF'!$G$19:$H$27,2,TRUE)+SUM('AD Fees &amp; TLF'!$H$30:$H$31)</x:f>
        <x:v>865</x:v>
      </x:c>
      <x:c r="K67" s="28" t="n">
        <x:f>VLOOKUP(H67,'AD Fees &amp; TLF'!$C$19:$E$63,2,TRUE)+H67*VLOOKUP(H67,'AD Fees &amp; TLF'!$C$19:$E$63,3,TRUE)+VLOOKUP(H67,'AD Fees &amp; TLF'!$G$19:$H$27,2,TRUE)+SUM('AD Fees &amp; TLF'!$H$30:$H$31)</x:f>
        <x:v>995</x:v>
      </x:c>
      <x:c r="L67" s="28" t="n">
        <x:f>I67*'Vehicle Economics'!$K$13+J67*'Vehicle Economics'!$K$14+K67*'Vehicle Economics'!$K$15</x:f>
        <x:v>846.25</x:v>
      </x:c>
      <x:c r="M67" s="28" t="n">
        <x:f>L67+E67*'Vehicle Economics'!E$9</x:f>
        <x:v>979.5972797227092</x:v>
      </x:c>
    </x:row>
    <x:row r="68" ht="18" customHeight="1">
      <x:c r="A68" s="2"/>
      <x:c r="B68" s="2"/>
      <x:c r="C68" s="2" t="str">
        <x:v>SUV / crossover / 14</x:v>
      </x:c>
      <x:c r="D68" s="28" t="n">
        <x:f>'Vehicle Economics'!$J$9*EXP(-'Vehicle Economics'!$J$10*(14-10))*'Vehicle Economics'!E$7</x:f>
        <x:v>10054.80069053459</x:v>
      </x:c>
      <x:c r="E68" s="28" t="n">
        <x:f>D68*'Vehicle Economics'!E$8</x:f>
        <x:v>3016.4402071603768</x:v>
      </x:c>
      <x:c r="F68" s="28" t="n">
        <x:f>$E68*'Vehicle Economics'!$J$13</x:f>
        <x:v>1508.2201035801884</x:v>
      </x:c>
      <x:c r="G68" s="28" t="n">
        <x:f>$E68*'Vehicle Economics'!$J$14</x:f>
        <x:v>3016.4402071603768</x:v>
      </x:c>
      <x:c r="H68" s="28" t="n">
        <x:f>$E68*'Vehicle Economics'!$J$15</x:f>
        <x:v>4524.660310740565</x:v>
      </x:c>
      <x:c r="I68" s="28" t="n">
        <x:f>VLOOKUP(F68,'AD Fees &amp; TLF'!$C$19:$E$63,2,TRUE)+F68*VLOOKUP(F68,'AD Fees &amp; TLF'!$C$19:$E$63,3,TRUE)+VLOOKUP(F68,'AD Fees &amp; TLF'!$G$19:$H$27,2,TRUE)+SUM('AD Fees &amp; TLF'!$H$30:$H$31)</x:f>
        <x:v>640</x:v>
      </x:c>
      <x:c r="J68" s="28" t="n">
        <x:f>VLOOKUP(G68,'AD Fees &amp; TLF'!$C$19:$E$63,2,TRUE)+G68*VLOOKUP(G68,'AD Fees &amp; TLF'!$C$19:$E$63,3,TRUE)+VLOOKUP(G68,'AD Fees &amp; TLF'!$G$19:$H$27,2,TRUE)+SUM('AD Fees &amp; TLF'!$H$30:$H$31)</x:f>
        <x:v>865</x:v>
      </x:c>
      <x:c r="K68" s="28" t="n">
        <x:f>VLOOKUP(H68,'AD Fees &amp; TLF'!$C$19:$E$63,2,TRUE)+H68*VLOOKUP(H68,'AD Fees &amp; TLF'!$C$19:$E$63,3,TRUE)+VLOOKUP(H68,'AD Fees &amp; TLF'!$G$19:$H$27,2,TRUE)+SUM('AD Fees &amp; TLF'!$H$30:$H$31)</x:f>
        <x:v>970</x:v>
      </x:c>
      <x:c r="L68" s="28" t="n">
        <x:f>I68*'Vehicle Economics'!$K$13+J68*'Vehicle Economics'!$K$14+K68*'Vehicle Economics'!$K$15</x:f>
        <x:v>835</x:v>
      </x:c>
      <x:c r="M68" s="28" t="n">
        <x:f>L68+E68*'Vehicle Economics'!E$9</x:f>
        <x:v>955.6576082864151</x:v>
      </x:c>
    </x:row>
    <x:row r="69" ht="18" customHeight="1">
      <x:c r="A69" s="2"/>
      <x:c r="B69" s="2"/>
      <x:c r="C69" s="2" t="str">
        <x:v>SUV / crossover / 15</x:v>
      </x:c>
      <x:c r="D69" s="28" t="n">
        <x:f>'Vehicle Economics'!$J$9*EXP(-'Vehicle Economics'!$J$10*(15-10))*'Vehicle Economics'!E$7</x:f>
        <x:v>9097.9598956895</x:v>
      </x:c>
      <x:c r="E69" s="28" t="n">
        <x:f>D69*'Vehicle Economics'!E$8</x:f>
        <x:v>2729.38796870685</x:v>
      </x:c>
      <x:c r="F69" s="28" t="n">
        <x:f>$E69*'Vehicle Economics'!$J$13</x:f>
        <x:v>1364.693984353425</x:v>
      </x:c>
      <x:c r="G69" s="28" t="n">
        <x:f>$E69*'Vehicle Economics'!$J$14</x:f>
        <x:v>2729.38796870685</x:v>
      </x:c>
      <x:c r="H69" s="28" t="n">
        <x:f>$E69*'Vehicle Economics'!$J$15</x:f>
        <x:v>4094.0819530602753</x:v>
      </x:c>
      <x:c r="I69" s="28" t="n">
        <x:f>VLOOKUP(F69,'AD Fees &amp; TLF'!$C$19:$E$63,2,TRUE)+F69*VLOOKUP(F69,'AD Fees &amp; TLF'!$C$19:$E$63,3,TRUE)+VLOOKUP(F69,'AD Fees &amp; TLF'!$G$19:$H$27,2,TRUE)+SUM('AD Fees &amp; TLF'!$H$30:$H$31)</x:f>
        <x:v>595</x:v>
      </x:c>
      <x:c r="J69" s="28" t="n">
        <x:f>VLOOKUP(G69,'AD Fees &amp; TLF'!$C$19:$E$63,2,TRUE)+G69*VLOOKUP(G69,'AD Fees &amp; TLF'!$C$19:$E$63,3,TRUE)+VLOOKUP(G69,'AD Fees &amp; TLF'!$G$19:$H$27,2,TRUE)+SUM('AD Fees &amp; TLF'!$H$30:$H$31)</x:f>
        <x:v>820</x:v>
      </x:c>
      <x:c r="K69" s="28" t="n">
        <x:f>VLOOKUP(H69,'AD Fees &amp; TLF'!$C$19:$E$63,2,TRUE)+H69*VLOOKUP(H69,'AD Fees &amp; TLF'!$C$19:$E$63,3,TRUE)+VLOOKUP(H69,'AD Fees &amp; TLF'!$G$19:$H$27,2,TRUE)+SUM('AD Fees &amp; TLF'!$H$30:$H$31)</x:f>
        <x:v>945</x:v>
      </x:c>
      <x:c r="L69" s="28" t="n">
        <x:f>I69*'Vehicle Economics'!$K$13+J69*'Vehicle Economics'!$K$14+K69*'Vehicle Economics'!$K$15</x:f>
        <x:v>795</x:v>
      </x:c>
      <x:c r="M69" s="28" t="n">
        <x:f>L69+E69*'Vehicle Economics'!E$9</x:f>
        <x:v>904.175518748274</x:v>
      </x:c>
    </x:row>
    <x:row r="70" ht="18" customHeight="1">
      <x:c r="A70" s="2"/>
      <x:c r="B70" s="2"/>
      <x:c r="C70" s="2" t="str">
        <x:v>SUV / crossover / 16</x:v>
      </x:c>
      <x:c r="D70" s="28" t="n">
        <x:f>'Vehicle Economics'!$J$9*EXP(-'Vehicle Economics'!$J$10*(16-10))*'Vehicle Economics'!E$7</x:f>
        <x:v>8232.174541410395</x:v>
      </x:c>
      <x:c r="E70" s="28" t="n">
        <x:f>D70*'Vehicle Economics'!E$8</x:f>
        <x:v>2469.6523624231186</x:v>
      </x:c>
      <x:c r="F70" s="28" t="n">
        <x:f>$E70*'Vehicle Economics'!$J$13</x:f>
        <x:v>1234.8261812115593</x:v>
      </x:c>
      <x:c r="G70" s="28" t="n">
        <x:f>$E70*'Vehicle Economics'!$J$14</x:f>
        <x:v>2469.6523624231186</x:v>
      </x:c>
      <x:c r="H70" s="28" t="n">
        <x:f>$E70*'Vehicle Economics'!$J$15</x:f>
        <x:v>3704.478543634678</x:v>
      </x:c>
      <x:c r="I70" s="28" t="n">
        <x:f>VLOOKUP(F70,'AD Fees &amp; TLF'!$C$19:$E$63,2,TRUE)+F70*VLOOKUP(F70,'AD Fees &amp; TLF'!$C$19:$E$63,3,TRUE)+VLOOKUP(F70,'AD Fees &amp; TLF'!$G$19:$H$27,2,TRUE)+SUM('AD Fees &amp; TLF'!$H$30:$H$31)</x:f>
        <x:v>580</x:v>
      </x:c>
      <x:c r="J70" s="28" t="n">
        <x:f>VLOOKUP(G70,'AD Fees &amp; TLF'!$C$19:$E$63,2,TRUE)+G70*VLOOKUP(G70,'AD Fees &amp; TLF'!$C$19:$E$63,3,TRUE)+VLOOKUP(G70,'AD Fees &amp; TLF'!$G$19:$H$27,2,TRUE)+SUM('AD Fees &amp; TLF'!$H$30:$H$31)</x:f>
        <x:v>780</x:v>
      </x:c>
      <x:c r="K70" s="28" t="n">
        <x:f>VLOOKUP(H70,'AD Fees &amp; TLF'!$C$19:$E$63,2,TRUE)+H70*VLOOKUP(H70,'AD Fees &amp; TLF'!$C$19:$E$63,3,TRUE)+VLOOKUP(H70,'AD Fees &amp; TLF'!$G$19:$H$27,2,TRUE)+SUM('AD Fees &amp; TLF'!$H$30:$H$31)</x:f>
        <x:v>915</x:v>
      </x:c>
      <x:c r="L70" s="28" t="n">
        <x:f>I70*'Vehicle Economics'!$K$13+J70*'Vehicle Economics'!$K$14+K70*'Vehicle Economics'!$K$15</x:f>
        <x:v>763.75</x:v>
      </x:c>
      <x:c r="M70" s="28" t="n">
        <x:f>L70+E70*'Vehicle Economics'!E$9</x:f>
        <x:v>862.5360944969248</x:v>
      </x:c>
    </x:row>
    <x:row r="71" ht="18" customHeight="1">
      <x:c r="A71" s="2"/>
      <x:c r="B71" s="2"/>
      <x:c r="C71" s="2" t="str">
        <x:v>SUV / crossover / 17</x:v>
      </x:c>
      <x:c r="D71" s="28" t="n">
        <x:f>'Vehicle Economics'!$J$9*EXP(-'Vehicle Economics'!$J$10*(17-10))*'Vehicle Economics'!E$7</x:f>
        <x:v>7448.779556871143</x:v>
      </x:c>
      <x:c r="E71" s="28" t="n">
        <x:f>D71*'Vehicle Economics'!E$8</x:f>
        <x:v>2234.6338670613427</x:v>
      </x:c>
      <x:c r="F71" s="28" t="n">
        <x:f>$E71*'Vehicle Economics'!$J$13</x:f>
        <x:v>1117.3169335306713</x:v>
      </x:c>
      <x:c r="G71" s="28" t="n">
        <x:f>$E71*'Vehicle Economics'!$J$14</x:f>
        <x:v>2234.6338670613427</x:v>
      </x:c>
      <x:c r="H71" s="28" t="n">
        <x:f>$E71*'Vehicle Economics'!$J$15</x:f>
        <x:v>3351.9508005920143</x:v>
      </x:c>
      <x:c r="I71" s="28" t="n">
        <x:f>VLOOKUP(F71,'AD Fees &amp; TLF'!$C$19:$E$63,2,TRUE)+F71*VLOOKUP(F71,'AD Fees &amp; TLF'!$C$19:$E$63,3,TRUE)+VLOOKUP(F71,'AD Fees &amp; TLF'!$G$19:$H$27,2,TRUE)+SUM('AD Fees &amp; TLF'!$H$30:$H$31)</x:f>
        <x:v>560</x:v>
      </x:c>
      <x:c r="J71" s="28" t="n">
        <x:f>VLOOKUP(G71,'AD Fees &amp; TLF'!$C$19:$E$63,2,TRUE)+G71*VLOOKUP(G71,'AD Fees &amp; TLF'!$C$19:$E$63,3,TRUE)+VLOOKUP(G71,'AD Fees &amp; TLF'!$G$19:$H$27,2,TRUE)+SUM('AD Fees &amp; TLF'!$H$30:$H$31)</x:f>
        <x:v>745</x:v>
      </x:c>
      <x:c r="K71" s="28" t="n">
        <x:f>VLOOKUP(H71,'AD Fees &amp; TLF'!$C$19:$E$63,2,TRUE)+H71*VLOOKUP(H71,'AD Fees &amp; TLF'!$C$19:$E$63,3,TRUE)+VLOOKUP(H71,'AD Fees &amp; TLF'!$G$19:$H$27,2,TRUE)+SUM('AD Fees &amp; TLF'!$H$30:$H$31)</x:f>
        <x:v>865</x:v>
      </x:c>
      <x:c r="L71" s="28" t="n">
        <x:f>I71*'Vehicle Economics'!$K$13+J71*'Vehicle Economics'!$K$14+K71*'Vehicle Economics'!$K$15</x:f>
        <x:v>728.75</x:v>
      </x:c>
      <x:c r="M71" s="28" t="n">
        <x:f>L71+E71*'Vehicle Economics'!E$9</x:f>
        <x:v>818.1353546824537</x:v>
      </x:c>
    </x:row>
    <x:row r="72" ht="18" customHeight="1">
      <x:c r="A72" s="2"/>
      <x:c r="B72" s="2"/>
      <x:c r="C72" s="2" t="str">
        <x:v>SUV / crossover / 18</x:v>
      </x:c>
      <x:c r="D72" s="28" t="n">
        <x:f>'Vehicle Economics'!$J$9*EXP(-'Vehicle Economics'!$J$10*(18-10))*'Vehicle Economics'!E$7</x:f>
        <x:v>6739.934461758324</x:v>
      </x:c>
      <x:c r="E72" s="28" t="n">
        <x:f>D72*'Vehicle Economics'!E$8</x:f>
        <x:v>2021.980338527497</x:v>
      </x:c>
      <x:c r="F72" s="28" t="n">
        <x:f>$E72*'Vehicle Economics'!$J$13</x:f>
        <x:v>1010.9901692637485</x:v>
      </x:c>
      <x:c r="G72" s="28" t="n">
        <x:f>$E72*'Vehicle Economics'!$J$14</x:f>
        <x:v>2021.980338527497</x:v>
      </x:c>
      <x:c r="H72" s="28" t="n">
        <x:f>$E72*'Vehicle Economics'!$J$15</x:f>
        <x:v>3032.9705077912454</x:v>
      </x:c>
      <x:c r="I72" s="28" t="n">
        <x:f>VLOOKUP(F72,'AD Fees &amp; TLF'!$C$19:$E$63,2,TRUE)+F72*VLOOKUP(F72,'AD Fees &amp; TLF'!$C$19:$E$63,3,TRUE)+VLOOKUP(F72,'AD Fees &amp; TLF'!$G$19:$H$27,2,TRUE)+SUM('AD Fees &amp; TLF'!$H$30:$H$31)</x:f>
        <x:v>560</x:v>
      </x:c>
      <x:c r="J72" s="28" t="n">
        <x:f>VLOOKUP(G72,'AD Fees &amp; TLF'!$C$19:$E$63,2,TRUE)+G72*VLOOKUP(G72,'AD Fees &amp; TLF'!$C$19:$E$63,3,TRUE)+VLOOKUP(G72,'AD Fees &amp; TLF'!$G$19:$H$27,2,TRUE)+SUM('AD Fees &amp; TLF'!$H$30:$H$31)</x:f>
        <x:v>745</x:v>
      </x:c>
      <x:c r="K72" s="28" t="n">
        <x:f>VLOOKUP(H72,'AD Fees &amp; TLF'!$C$19:$E$63,2,TRUE)+H72*VLOOKUP(H72,'AD Fees &amp; TLF'!$C$19:$E$63,3,TRUE)+VLOOKUP(H72,'AD Fees &amp; TLF'!$G$19:$H$27,2,TRUE)+SUM('AD Fees &amp; TLF'!$H$30:$H$31)</x:f>
        <x:v>865</x:v>
      </x:c>
      <x:c r="L72" s="28" t="n">
        <x:f>I72*'Vehicle Economics'!$K$13+J72*'Vehicle Economics'!$K$14+K72*'Vehicle Economics'!$K$15</x:f>
        <x:v>728.75</x:v>
      </x:c>
      <x:c r="M72" s="28" t="n">
        <x:f>L72+E72*'Vehicle Economics'!E$9</x:f>
        <x:v>809.6292135411</x:v>
      </x:c>
    </x:row>
    <x:row r="73" ht="18" customHeight="1">
      <x:c r="A73" s="2"/>
      <x:c r="B73" s="2"/>
      <x:c r="C73" s="2" t="str">
        <x:v>SUV / crossover / 19</x:v>
      </x:c>
      <x:c r="D73" s="28" t="n">
        <x:f>'Vehicle Economics'!$J$9*EXP(-'Vehicle Economics'!$J$10*(19-10))*'Vehicle Economics'!E$7</x:f>
        <x:v>6098.544896108987</x:v>
      </x:c>
      <x:c r="E73" s="28" t="n">
        <x:f>D73*'Vehicle Economics'!E$8</x:f>
        <x:v>1829.5634688326961</x:v>
      </x:c>
      <x:c r="F73" s="28" t="n">
        <x:f>$E73*'Vehicle Economics'!$J$13</x:f>
        <x:v>914.7817344163481</x:v>
      </x:c>
      <x:c r="G73" s="28" t="n">
        <x:f>$E73*'Vehicle Economics'!$J$14</x:f>
        <x:v>1829.5634688326961</x:v>
      </x:c>
      <x:c r="H73" s="28" t="n">
        <x:f>$E73*'Vehicle Economics'!$J$15</x:f>
        <x:v>2744.345203249044</x:v>
      </x:c>
      <x:c r="I73" s="28" t="n">
        <x:f>VLOOKUP(F73,'AD Fees &amp; TLF'!$C$19:$E$63,2,TRUE)+F73*VLOOKUP(F73,'AD Fees &amp; TLF'!$C$19:$E$63,3,TRUE)+VLOOKUP(F73,'AD Fees &amp; TLF'!$G$19:$H$27,2,TRUE)+SUM('AD Fees &amp; TLF'!$H$30:$H$31)</x:f>
        <x:v>485</x:v>
      </x:c>
      <x:c r="J73" s="28" t="n">
        <x:f>VLOOKUP(G73,'AD Fees &amp; TLF'!$C$19:$E$63,2,TRUE)+G73*VLOOKUP(G73,'AD Fees &amp; TLF'!$C$19:$E$63,3,TRUE)+VLOOKUP(G73,'AD Fees &amp; TLF'!$G$19:$H$27,2,TRUE)+SUM('AD Fees &amp; TLF'!$H$30:$H$31)</x:f>
        <x:v>705</x:v>
      </x:c>
      <x:c r="K73" s="28" t="n">
        <x:f>VLOOKUP(H73,'AD Fees &amp; TLF'!$C$19:$E$63,2,TRUE)+H73*VLOOKUP(H73,'AD Fees &amp; TLF'!$C$19:$E$63,3,TRUE)+VLOOKUP(H73,'AD Fees &amp; TLF'!$G$19:$H$27,2,TRUE)+SUM('AD Fees &amp; TLF'!$H$30:$H$31)</x:f>
        <x:v>820</x:v>
      </x:c>
      <x:c r="L73" s="28" t="n">
        <x:f>I73*'Vehicle Economics'!$K$13+J73*'Vehicle Economics'!$K$14+K73*'Vehicle Economics'!$K$15</x:f>
        <x:v>678.75</x:v>
      </x:c>
      <x:c r="M73" s="28" t="n">
        <x:f>L73+E73*'Vehicle Economics'!E$9</x:f>
        <x:v>751.9325387533079</x:v>
      </x:c>
    </x:row>
    <x:row r="74" ht="18" customHeight="1">
      <x:c r="A74" s="2"/>
      <x:c r="B74" s="2"/>
      <x:c r="C74" s="2" t="str">
        <x:v>SUV / crossover / 20</x:v>
      </x:c>
      <x:c r="D74" s="28" t="n">
        <x:f>'Vehicle Economics'!$J$9*EXP(-'Vehicle Economics'!$J$10*(20-10))*'Vehicle Economics'!E$7</x:f>
        <x:v>5518.191617571635</x:v>
      </x:c>
      <x:c r="E74" s="28" t="n">
        <x:f>D74*'Vehicle Economics'!E$8</x:f>
        <x:v>1655.4574852714904</x:v>
      </x:c>
      <x:c r="F74" s="28" t="n">
        <x:f>$E74*'Vehicle Economics'!$J$13</x:f>
        <x:v>827.7287426357452</x:v>
      </x:c>
      <x:c r="G74" s="28" t="n">
        <x:f>$E74*'Vehicle Economics'!$J$14</x:f>
        <x:v>1655.4574852714904</x:v>
      </x:c>
      <x:c r="H74" s="28" t="n">
        <x:f>$E74*'Vehicle Economics'!$J$15</x:f>
        <x:v>2483.1862279072357</x:v>
      </x:c>
      <x:c r="I74" s="28" t="n">
        <x:f>VLOOKUP(F74,'AD Fees &amp; TLF'!$C$19:$E$63,2,TRUE)+F74*VLOOKUP(F74,'AD Fees &amp; TLF'!$C$19:$E$63,3,TRUE)+VLOOKUP(F74,'AD Fees &amp; TLF'!$G$19:$H$27,2,TRUE)+SUM('AD Fees &amp; TLF'!$H$30:$H$31)</x:f>
        <x:v>460</x:v>
      </x:c>
      <x:c r="J74" s="28" t="n">
        <x:f>VLOOKUP(G74,'AD Fees &amp; TLF'!$C$19:$E$63,2,TRUE)+G74*VLOOKUP(G74,'AD Fees &amp; TLF'!$C$19:$E$63,3,TRUE)+VLOOKUP(G74,'AD Fees &amp; TLF'!$G$19:$H$27,2,TRUE)+SUM('AD Fees &amp; TLF'!$H$30:$H$31)</x:f>
        <x:v>660</x:v>
      </x:c>
      <x:c r="K74" s="28" t="n">
        <x:f>VLOOKUP(H74,'AD Fees &amp; TLF'!$C$19:$E$63,2,TRUE)+H74*VLOOKUP(H74,'AD Fees &amp; TLF'!$C$19:$E$63,3,TRUE)+VLOOKUP(H74,'AD Fees &amp; TLF'!$G$19:$H$27,2,TRUE)+SUM('AD Fees &amp; TLF'!$H$30:$H$31)</x:f>
        <x:v>780</x:v>
      </x:c>
      <x:c r="L74" s="28" t="n">
        <x:f>I74*'Vehicle Economics'!$K$13+J74*'Vehicle Economics'!$K$14+K74*'Vehicle Economics'!$K$15</x:f>
        <x:v>640</x:v>
      </x:c>
      <x:c r="M74" s="28" t="n">
        <x:f>L74+E74*'Vehicle Economics'!E$9</x:f>
        <x:v>706.2182994108596</x:v>
      </x:c>
    </x:row>
    <x:row r="75" ht="18" customHeight="1">
      <x:c r="A75" s="2"/>
      <x:c r="B75" s="2"/>
      <x:c r="C75" s="2" t="str">
        <x:v>SUV / crossover / 21</x:v>
      </x:c>
      <x:c r="D75" s="28" t="n">
        <x:f>'Vehicle Economics'!$J$9*EXP(-'Vehicle Economics'!$J$10*(21-10))*'Vehicle Economics'!E$7</x:f>
        <x:v>4993.066255471193</x:v>
      </x:c>
      <x:c r="E75" s="28" t="n">
        <x:f>D75*'Vehicle Economics'!E$8</x:f>
        <x:v>1497.9198766413576</x:v>
      </x:c>
      <x:c r="F75" s="28" t="n">
        <x:f>$E75*'Vehicle Economics'!$J$13</x:f>
        <x:v>748.9599383206788</x:v>
      </x:c>
      <x:c r="G75" s="28" t="n">
        <x:f>$E75*'Vehicle Economics'!$J$14</x:f>
        <x:v>1497.9198766413576</x:v>
      </x:c>
      <x:c r="H75" s="28" t="n">
        <x:f>$E75*'Vehicle Economics'!$J$15</x:f>
        <x:v>2246.8798149620366</x:v>
      </x:c>
      <x:c r="I75" s="28" t="n">
        <x:f>VLOOKUP(F75,'AD Fees &amp; TLF'!$C$19:$E$63,2,TRUE)+F75*VLOOKUP(F75,'AD Fees &amp; TLF'!$C$19:$E$63,3,TRUE)+VLOOKUP(F75,'AD Fees &amp; TLF'!$G$19:$H$27,2,TRUE)+SUM('AD Fees &amp; TLF'!$H$30:$H$31)</x:f>
        <x:v>435</x:v>
      </x:c>
      <x:c r="J75" s="28" t="n">
        <x:f>VLOOKUP(G75,'AD Fees &amp; TLF'!$C$19:$E$63,2,TRUE)+G75*VLOOKUP(G75,'AD Fees &amp; TLF'!$C$19:$E$63,3,TRUE)+VLOOKUP(G75,'AD Fees &amp; TLF'!$G$19:$H$27,2,TRUE)+SUM('AD Fees &amp; TLF'!$H$30:$H$31)</x:f>
        <x:v>615</x:v>
      </x:c>
      <x:c r="K75" s="28" t="n">
        <x:f>VLOOKUP(H75,'AD Fees &amp; TLF'!$C$19:$E$63,2,TRUE)+H75*VLOOKUP(H75,'AD Fees &amp; TLF'!$C$19:$E$63,3,TRUE)+VLOOKUP(H75,'AD Fees &amp; TLF'!$G$19:$H$27,2,TRUE)+SUM('AD Fees &amp; TLF'!$H$30:$H$31)</x:f>
        <x:v>745</x:v>
      </x:c>
      <x:c r="L75" s="28" t="n">
        <x:f>I75*'Vehicle Economics'!$K$13+J75*'Vehicle Economics'!$K$14+K75*'Vehicle Economics'!$K$15</x:f>
        <x:v>602.5</x:v>
      </x:c>
      <x:c r="M75" s="28" t="n">
        <x:f>L75+E75*'Vehicle Economics'!E$9</x:f>
        <x:v>662.4167950656544</x:v>
      </x:c>
    </x:row>
    <x:row r="76" ht="18" customHeight="1">
      <x:c r="A76" s="2"/>
      <x:c r="B76" s="2"/>
      <x:c r="C76" s="2" t="str">
        <x:v>SUV / crossover / 22</x:v>
      </x:c>
      <x:c r="D76" s="28" t="n">
        <x:f>'Vehicle Economics'!$J$9*EXP(-'Vehicle Economics'!$J$10*(22-10))*'Vehicle Economics'!E$7</x:f>
        <x:v>4517.91317868303</x:v>
      </x:c>
      <x:c r="E76" s="28" t="n">
        <x:f>D76*'Vehicle Economics'!E$8</x:f>
        <x:v>1355.373953604909</x:v>
      </x:c>
      <x:c r="F76" s="28" t="n">
        <x:f>$E76*'Vehicle Economics'!$J$13</x:f>
        <x:v>677.6869768024545</x:v>
      </x:c>
      <x:c r="G76" s="28" t="n">
        <x:f>$E76*'Vehicle Economics'!$J$14</x:f>
        <x:v>1355.373953604909</x:v>
      </x:c>
      <x:c r="H76" s="28" t="n">
        <x:f>$E76*'Vehicle Economics'!$J$15</x:f>
        <x:v>2033.0609304073637</x:v>
      </x:c>
      <x:c r="I76" s="28" t="n">
        <x:f>VLOOKUP(F76,'AD Fees &amp; TLF'!$C$19:$E$63,2,TRUE)+F76*VLOOKUP(F76,'AD Fees &amp; TLF'!$C$19:$E$63,3,TRUE)+VLOOKUP(F76,'AD Fees &amp; TLF'!$G$19:$H$27,2,TRUE)+SUM('AD Fees &amp; TLF'!$H$30:$H$31)</x:f>
        <x:v>405</x:v>
      </x:c>
      <x:c r="J76" s="28" t="n">
        <x:f>VLOOKUP(G76,'AD Fees &amp; TLF'!$C$19:$E$63,2,TRUE)+G76*VLOOKUP(G76,'AD Fees &amp; TLF'!$C$19:$E$63,3,TRUE)+VLOOKUP(G76,'AD Fees &amp; TLF'!$G$19:$H$27,2,TRUE)+SUM('AD Fees &amp; TLF'!$H$30:$H$31)</x:f>
        <x:v>595</x:v>
      </x:c>
      <x:c r="K76" s="28" t="n">
        <x:f>VLOOKUP(H76,'AD Fees &amp; TLF'!$C$19:$E$63,2,TRUE)+H76*VLOOKUP(H76,'AD Fees &amp; TLF'!$C$19:$E$63,3,TRUE)+VLOOKUP(H76,'AD Fees &amp; TLF'!$G$19:$H$27,2,TRUE)+SUM('AD Fees &amp; TLF'!$H$30:$H$31)</x:f>
        <x:v>745</x:v>
      </x:c>
      <x:c r="L76" s="28" t="n">
        <x:f>I76*'Vehicle Economics'!$K$13+J76*'Vehicle Economics'!$K$14+K76*'Vehicle Economics'!$K$15</x:f>
        <x:v>585</x:v>
      </x:c>
      <x:c r="M76" s="28" t="n">
        <x:f>L76+E76*'Vehicle Economics'!E$9</x:f>
        <x:v>639.2149581441963</x:v>
      </x:c>
    </x:row>
    <x:row r="77" ht="18" customHeight="1">
      <x:c r="A77" s="2"/>
      <x:c r="B77" s="2"/>
      <x:c r="C77" s="2" t="str">
        <x:v>SUV / crossover / 23</x:v>
      </x:c>
      <x:c r="D77" s="28" t="n">
        <x:f>'Vehicle Economics'!$J$9*EXP(-'Vehicle Economics'!$J$10*(23-10))*'Vehicle Economics'!E$7</x:f>
        <x:v>4087.9768955101886</x:v>
      </x:c>
      <x:c r="E77" s="28" t="n">
        <x:f>D77*'Vehicle Economics'!E$8</x:f>
        <x:v>1226.3930686530566</x:v>
      </x:c>
      <x:c r="F77" s="28" t="n">
        <x:f>$E77*'Vehicle Economics'!$J$13</x:f>
        <x:v>613.1965343265283</x:v>
      </x:c>
      <x:c r="G77" s="28" t="n">
        <x:f>$E77*'Vehicle Economics'!$J$14</x:f>
        <x:v>1226.3930686530566</x:v>
      </x:c>
      <x:c r="H77" s="28" t="n">
        <x:f>$E77*'Vehicle Economics'!$J$15</x:f>
        <x:v>1839.589602979585</x:v>
      </x:c>
      <x:c r="I77" s="28" t="n">
        <x:f>VLOOKUP(F77,'AD Fees &amp; TLF'!$C$19:$E$63,2,TRUE)+F77*VLOOKUP(F77,'AD Fees &amp; TLF'!$C$19:$E$63,3,TRUE)+VLOOKUP(F77,'AD Fees &amp; TLF'!$G$19:$H$27,2,TRUE)+SUM('AD Fees &amp; TLF'!$H$30:$H$31)</x:f>
        <x:v>405</x:v>
      </x:c>
      <x:c r="J77" s="28" t="n">
        <x:f>VLOOKUP(G77,'AD Fees &amp; TLF'!$C$19:$E$63,2,TRUE)+G77*VLOOKUP(G77,'AD Fees &amp; TLF'!$C$19:$E$63,3,TRUE)+VLOOKUP(G77,'AD Fees &amp; TLF'!$G$19:$H$27,2,TRUE)+SUM('AD Fees &amp; TLF'!$H$30:$H$31)</x:f>
        <x:v>580</x:v>
      </x:c>
      <x:c r="K77" s="28" t="n">
        <x:f>VLOOKUP(H77,'AD Fees &amp; TLF'!$C$19:$E$63,2,TRUE)+H77*VLOOKUP(H77,'AD Fees &amp; TLF'!$C$19:$E$63,3,TRUE)+VLOOKUP(H77,'AD Fees &amp; TLF'!$G$19:$H$27,2,TRUE)+SUM('AD Fees &amp; TLF'!$H$30:$H$31)</x:f>
        <x:v>705</x:v>
      </x:c>
      <x:c r="L77" s="28" t="n">
        <x:f>I77*'Vehicle Economics'!$K$13+J77*'Vehicle Economics'!$K$14+K77*'Vehicle Economics'!$K$15</x:f>
        <x:v>567.5</x:v>
      </x:c>
      <x:c r="M77" s="28" t="n">
        <x:f>L77+E77*'Vehicle Economics'!E$9</x:f>
        <x:v>616.5557227461222</x:v>
      </x:c>
    </x:row>
    <x:row r="78" ht="18" customHeight="1">
      <x:c r="A78" s="2"/>
      <x:c r="B78" s="2"/>
      <x:c r="C78" s="2" t="str">
        <x:v>SUV / crossover / 24</x:v>
      </x:c>
      <x:c r="D78" s="28" t="n">
        <x:f>'Vehicle Economics'!$J$9*EXP(-'Vehicle Economics'!$J$10*(24-10))*'Vehicle Economics'!E$7</x:f>
        <x:v>3698.9544591240965</x:v>
      </x:c>
      <x:c r="E78" s="28" t="n">
        <x:f>D78*'Vehicle Economics'!E$8</x:f>
        <x:v>1109.686337737229</x:v>
      </x:c>
      <x:c r="F78" s="28" t="n">
        <x:f>$E78*'Vehicle Economics'!$J$13</x:f>
        <x:v>554.8431688686145</x:v>
      </x:c>
      <x:c r="G78" s="28" t="n">
        <x:f>$E78*'Vehicle Economics'!$J$14</x:f>
        <x:v>1109.686337737229</x:v>
      </x:c>
      <x:c r="H78" s="28" t="n">
        <x:f>$E78*'Vehicle Economics'!$J$15</x:f>
        <x:v>1664.5295066058434</x:v>
      </x:c>
      <x:c r="I78" s="28" t="n">
        <x:f>VLOOKUP(F78,'AD Fees &amp; TLF'!$C$19:$E$63,2,TRUE)+F78*VLOOKUP(F78,'AD Fees &amp; TLF'!$C$19:$E$63,3,TRUE)+VLOOKUP(F78,'AD Fees &amp; TLF'!$G$19:$H$27,2,TRUE)+SUM('AD Fees &amp; TLF'!$H$30:$H$31)</x:f>
        <x:v>375</x:v>
      </x:c>
      <x:c r="J78" s="28" t="n">
        <x:f>VLOOKUP(G78,'AD Fees &amp; TLF'!$C$19:$E$63,2,TRUE)+G78*VLOOKUP(G78,'AD Fees &amp; TLF'!$C$19:$E$63,3,TRUE)+VLOOKUP(G78,'AD Fees &amp; TLF'!$G$19:$H$27,2,TRUE)+SUM('AD Fees &amp; TLF'!$H$30:$H$31)</x:f>
        <x:v>560</x:v>
      </x:c>
      <x:c r="K78" s="28" t="n">
        <x:f>VLOOKUP(H78,'AD Fees &amp; TLF'!$C$19:$E$63,2,TRUE)+H78*VLOOKUP(H78,'AD Fees &amp; TLF'!$C$19:$E$63,3,TRUE)+VLOOKUP(H78,'AD Fees &amp; TLF'!$G$19:$H$27,2,TRUE)+SUM('AD Fees &amp; TLF'!$H$30:$H$31)</x:f>
        <x:v>660</x:v>
      </x:c>
      <x:c r="L78" s="28" t="n">
        <x:f>I78*'Vehicle Economics'!$K$13+J78*'Vehicle Economics'!$K$14+K78*'Vehicle Economics'!$K$15</x:f>
        <x:v>538.75</x:v>
      </x:c>
      <x:c r="M78" s="28" t="n">
        <x:f>L78+E78*'Vehicle Economics'!E$9</x:f>
        <x:v>583.1374535094892</x:v>
      </x:c>
    </x:row>
    <x:row r="79" ht="18" customHeight="1">
      <x:c r="A79" s="2"/>
      <x:c r="B79" s="2"/>
      <x:c r="C79" s="2" t="str">
        <x:v>SUV / crossover / 25</x:v>
      </x:c>
      <x:c r="D79" s="28" t="n">
        <x:f>'Vehicle Economics'!$J$9*EXP(-'Vehicle Economics'!$J$10*(25-10))*'Vehicle Economics'!E$7</x:f>
        <x:v>3346.9524022264477</x:v>
      </x:c>
      <x:c r="E79" s="28" t="n">
        <x:f>D79*'Vehicle Economics'!E$8</x:f>
        <x:v>1004.0857206679343</x:v>
      </x:c>
      <x:c r="F79" s="28" t="n">
        <x:f>$E79*'Vehicle Economics'!$J$13</x:f>
        <x:v>502.04286033396716</x:v>
      </x:c>
      <x:c r="G79" s="28" t="n">
        <x:f>$E79*'Vehicle Economics'!$J$14</x:f>
        <x:v>1004.0857206679343</x:v>
      </x:c>
      <x:c r="H79" s="28" t="n">
        <x:f>$E79*'Vehicle Economics'!$J$15</x:f>
        <x:v>1506.1285810019015</x:v>
      </x:c>
      <x:c r="I79" s="28" t="n">
        <x:f>VLOOKUP(F79,'AD Fees &amp; TLF'!$C$19:$E$63,2,TRUE)+F79*VLOOKUP(F79,'AD Fees &amp; TLF'!$C$19:$E$63,3,TRUE)+VLOOKUP(F79,'AD Fees &amp; TLF'!$G$19:$H$27,2,TRUE)+SUM('AD Fees &amp; TLF'!$H$30:$H$31)</x:f>
        <x:v>370</x:v>
      </x:c>
      <x:c r="J79" s="28" t="n">
        <x:f>VLOOKUP(G79,'AD Fees &amp; TLF'!$C$19:$E$63,2,TRUE)+G79*VLOOKUP(G79,'AD Fees &amp; TLF'!$C$19:$E$63,3,TRUE)+VLOOKUP(G79,'AD Fees &amp; TLF'!$G$19:$H$27,2,TRUE)+SUM('AD Fees &amp; TLF'!$H$30:$H$31)</x:f>
        <x:v>560</x:v>
      </x:c>
      <x:c r="K79" s="28" t="n">
        <x:f>VLOOKUP(H79,'AD Fees &amp; TLF'!$C$19:$E$63,2,TRUE)+H79*VLOOKUP(H79,'AD Fees &amp; TLF'!$C$19:$E$63,3,TRUE)+VLOOKUP(H79,'AD Fees &amp; TLF'!$G$19:$H$27,2,TRUE)+SUM('AD Fees &amp; TLF'!$H$30:$H$31)</x:f>
        <x:v>640</x:v>
      </x:c>
      <x:c r="L79" s="28" t="n">
        <x:f>I79*'Vehicle Economics'!$K$13+J79*'Vehicle Economics'!$K$14+K79*'Vehicle Economics'!$K$15</x:f>
        <x:v>532.5</x:v>
      </x:c>
      <x:c r="M79" s="28" t="n">
        <x:f>L79+E79*'Vehicle Economics'!E$9</x:f>
        <x:v>572.6634288267173</x:v>
      </x:c>
    </x:row>
    <x:row r="80" ht="18" customHeight="1">
      <x:c r="A80" s="2"/>
      <x:c r="B80" s="2"/>
      <x:c r="C80" s="2" t="str">
        <x:v>SUV / crossover / 26</x:v>
      </x:c>
      <x:c r="D80" s="28" t="n">
        <x:f>'Vehicle Economics'!$J$9*EXP(-'Vehicle Economics'!$J$10*(26-10))*'Vehicle Economics'!E$7</x:f>
        <x:v>3028.447769919831</x:v>
      </x:c>
      <x:c r="E80" s="28" t="n">
        <x:f>D80*'Vehicle Economics'!E$8</x:f>
        <x:v>908.5343309759493</x:v>
      </x:c>
      <x:c r="F80" s="28" t="n">
        <x:f>$E80*'Vehicle Economics'!$J$13</x:f>
        <x:v>454.26716548797464</x:v>
      </x:c>
      <x:c r="G80" s="28" t="n">
        <x:f>$E80*'Vehicle Economics'!$J$14</x:f>
        <x:v>908.5343309759493</x:v>
      </x:c>
      <x:c r="H80" s="28" t="n">
        <x:f>$E80*'Vehicle Economics'!$J$15</x:f>
        <x:v>1362.801496463924</x:v>
      </x:c>
      <x:c r="I80" s="28" t="n">
        <x:f>VLOOKUP(F80,'AD Fees &amp; TLF'!$C$19:$E$63,2,TRUE)+F80*VLOOKUP(F80,'AD Fees &amp; TLF'!$C$19:$E$63,3,TRUE)+VLOOKUP(F80,'AD Fees &amp; TLF'!$G$19:$H$27,2,TRUE)+SUM('AD Fees &amp; TLF'!$H$30:$H$31)</x:f>
        <x:v>335</x:v>
      </x:c>
      <x:c r="J80" s="28" t="n">
        <x:f>VLOOKUP(G80,'AD Fees &amp; TLF'!$C$19:$E$63,2,TRUE)+G80*VLOOKUP(G80,'AD Fees &amp; TLF'!$C$19:$E$63,3,TRUE)+VLOOKUP(G80,'AD Fees &amp; TLF'!$G$19:$H$27,2,TRUE)+SUM('AD Fees &amp; TLF'!$H$30:$H$31)</x:f>
        <x:v>485</x:v>
      </x:c>
      <x:c r="K80" s="28" t="n">
        <x:f>VLOOKUP(H80,'AD Fees &amp; TLF'!$C$19:$E$63,2,TRUE)+H80*VLOOKUP(H80,'AD Fees &amp; TLF'!$C$19:$E$63,3,TRUE)+VLOOKUP(H80,'AD Fees &amp; TLF'!$G$19:$H$27,2,TRUE)+SUM('AD Fees &amp; TLF'!$H$30:$H$31)</x:f>
        <x:v>595</x:v>
      </x:c>
      <x:c r="L80" s="28" t="n">
        <x:f>I80*'Vehicle Economics'!$K$13+J80*'Vehicle Economics'!$K$14+K80*'Vehicle Economics'!$K$15</x:f>
        <x:v>475</x:v>
      </x:c>
      <x:c r="M80" s="28" t="n">
        <x:f>L80+E80*'Vehicle Economics'!E$9</x:f>
        <x:v>511.341373239038</x:v>
      </x:c>
    </x:row>
    <x:row r="81" ht="18" customHeight="1">
      <x:c r="A81" s="2"/>
      <x:c r="B81" s="2"/>
      <x:c r="C81" s="2" t="str">
        <x:v>SUV / crossover / 27</x:v>
      </x:c>
      <x:c r="D81" s="28" t="n">
        <x:f>'Vehicle Economics'!$J$9*EXP(-'Vehicle Economics'!$J$10*(27-10))*'Vehicle Economics'!E$7</x:f>
        <x:v>2740.2528607910194</x:v>
      </x:c>
      <x:c r="E81" s="28" t="n">
        <x:f>D81*'Vehicle Economics'!E$8</x:f>
        <x:v>822.0758582373059</x:v>
      </x:c>
      <x:c r="F81" s="28" t="n">
        <x:f>$E81*'Vehicle Economics'!$J$13</x:f>
        <x:v>411.0379291186529</x:v>
      </x:c>
      <x:c r="G81" s="28" t="n">
        <x:f>$E81*'Vehicle Economics'!$J$14</x:f>
        <x:v>822.0758582373059</x:v>
      </x:c>
      <x:c r="H81" s="28" t="n">
        <x:f>$E81*'Vehicle Economics'!$J$15</x:f>
        <x:v>1233.1137873559587</x:v>
      </x:c>
      <x:c r="I81" s="28" t="n">
        <x:f>VLOOKUP(F81,'AD Fees &amp; TLF'!$C$19:$E$63,2,TRUE)+F81*VLOOKUP(F81,'AD Fees &amp; TLF'!$C$19:$E$63,3,TRUE)+VLOOKUP(F81,'AD Fees &amp; TLF'!$G$19:$H$27,2,TRUE)+SUM('AD Fees &amp; TLF'!$H$30:$H$31)</x:f>
        <x:v>325</x:v>
      </x:c>
      <x:c r="J81" s="28" t="n">
        <x:f>VLOOKUP(G81,'AD Fees &amp; TLF'!$C$19:$E$63,2,TRUE)+G81*VLOOKUP(G81,'AD Fees &amp; TLF'!$C$19:$E$63,3,TRUE)+VLOOKUP(G81,'AD Fees &amp; TLF'!$G$19:$H$27,2,TRUE)+SUM('AD Fees &amp; TLF'!$H$30:$H$31)</x:f>
        <x:v>460</x:v>
      </x:c>
      <x:c r="K81" s="28" t="n">
        <x:f>VLOOKUP(H81,'AD Fees &amp; TLF'!$C$19:$E$63,2,TRUE)+H81*VLOOKUP(H81,'AD Fees &amp; TLF'!$C$19:$E$63,3,TRUE)+VLOOKUP(H81,'AD Fees &amp; TLF'!$G$19:$H$27,2,TRUE)+SUM('AD Fees &amp; TLF'!$H$30:$H$31)</x:f>
        <x:v>580</x:v>
      </x:c>
      <x:c r="L81" s="28" t="n">
        <x:f>I81*'Vehicle Economics'!$K$13+J81*'Vehicle Economics'!$K$14+K81*'Vehicle Economics'!$K$15</x:f>
        <x:v>456.25</x:v>
      </x:c>
      <x:c r="M81" s="28" t="n">
        <x:f>L81+E81*'Vehicle Economics'!E$9</x:f>
        <x:v>489.13303432949226</x:v>
      </x:c>
    </x:row>
    <x:row r="82" ht="18" customHeight="1">
      <x:c r="A82" s="2"/>
      <x:c r="B82" s="2"/>
      <x:c r="C82" s="2" t="str">
        <x:v>SUV / crossover / 28</x:v>
      </x:c>
      <x:c r="D82" s="28" t="n">
        <x:f>'Vehicle Economics'!$J$9*EXP(-'Vehicle Economics'!$J$10*(28-10))*'Vehicle Economics'!E$7</x:f>
        <x:v>2479.483323323798</x:v>
      </x:c>
      <x:c r="E82" s="28" t="n">
        <x:f>D82*'Vehicle Economics'!E$8</x:f>
        <x:v>743.8449969971393</x:v>
      </x:c>
      <x:c r="F82" s="28" t="n">
        <x:f>$E82*'Vehicle Economics'!$J$13</x:f>
        <x:v>371.92249849856967</x:v>
      </x:c>
      <x:c r="G82" s="28" t="n">
        <x:f>$E82*'Vehicle Economics'!$J$14</x:f>
        <x:v>743.8449969971393</x:v>
      </x:c>
      <x:c r="H82" s="28" t="n">
        <x:f>$E82*'Vehicle Economics'!$J$15</x:f>
        <x:v>1115.767495495709</x:v>
      </x:c>
      <x:c r="I82" s="28" t="n">
        <x:f>VLOOKUP(F82,'AD Fees &amp; TLF'!$C$19:$E$63,2,TRUE)+F82*VLOOKUP(F82,'AD Fees &amp; TLF'!$C$19:$E$63,3,TRUE)+VLOOKUP(F82,'AD Fees &amp; TLF'!$G$19:$H$27,2,TRUE)+SUM('AD Fees &amp; TLF'!$H$30:$H$31)</x:f>
        <x:v>295</x:v>
      </x:c>
      <x:c r="J82" s="28" t="n">
        <x:f>VLOOKUP(G82,'AD Fees &amp; TLF'!$C$19:$E$63,2,TRUE)+G82*VLOOKUP(G82,'AD Fees &amp; TLF'!$C$19:$E$63,3,TRUE)+VLOOKUP(G82,'AD Fees &amp; TLF'!$G$19:$H$27,2,TRUE)+SUM('AD Fees &amp; TLF'!$H$30:$H$31)</x:f>
        <x:v>435</x:v>
      </x:c>
      <x:c r="K82" s="28" t="n">
        <x:f>VLOOKUP(H82,'AD Fees &amp; TLF'!$C$19:$E$63,2,TRUE)+H82*VLOOKUP(H82,'AD Fees &amp; TLF'!$C$19:$E$63,3,TRUE)+VLOOKUP(H82,'AD Fees &amp; TLF'!$G$19:$H$27,2,TRUE)+SUM('AD Fees &amp; TLF'!$H$30:$H$31)</x:f>
        <x:v>560</x:v>
      </x:c>
      <x:c r="L82" s="28" t="n">
        <x:f>I82*'Vehicle Economics'!$K$13+J82*'Vehicle Economics'!$K$14+K82*'Vehicle Economics'!$K$15</x:f>
        <x:v>431.25</x:v>
      </x:c>
      <x:c r="M82" s="28" t="n">
        <x:f>L82+E82*'Vehicle Economics'!E$9</x:f>
        <x:v>461.00379987988555</x:v>
      </x:c>
    </x:row>
    <x:row r="83" ht="18" customHeight="1">
      <x:c r="A83" s="2"/>
      <x:c r="B83" s="2"/>
      <x:c r="C83" s="2" t="str">
        <x:v>SUV / crossover / 29</x:v>
      </x:c>
      <x:c r="D83" s="28" t="n">
        <x:f>'Vehicle Economics'!$J$9*EXP(-'Vehicle Economics'!$J$10*(29-10))*'Vehicle Economics'!E$7</x:f>
        <x:v>2243.5292883395255</x:v>
      </x:c>
      <x:c r="E83" s="28" t="n">
        <x:f>D83*'Vehicle Economics'!E$8</x:f>
        <x:v>673.0587865018576</x:v>
      </x:c>
      <x:c r="F83" s="28" t="n">
        <x:f>$E83*'Vehicle Economics'!$J$13</x:f>
        <x:v>336.5293932509288</x:v>
      </x:c>
      <x:c r="G83" s="28" t="n">
        <x:f>$E83*'Vehicle Economics'!$J$14</x:f>
        <x:v>673.0587865018576</x:v>
      </x:c>
      <x:c r="H83" s="28" t="n">
        <x:f>$E83*'Vehicle Economics'!$J$15</x:f>
        <x:v>1009.5881797527865</x:v>
      </x:c>
      <x:c r="I83" s="28" t="n">
        <x:f>VLOOKUP(F83,'AD Fees &amp; TLF'!$C$19:$E$63,2,TRUE)+F83*VLOOKUP(F83,'AD Fees &amp; TLF'!$C$19:$E$63,3,TRUE)+VLOOKUP(F83,'AD Fees &amp; TLF'!$G$19:$H$27,2,TRUE)+SUM('AD Fees &amp; TLF'!$H$30:$H$31)</x:f>
        <x:v>287.5</x:v>
      </x:c>
      <x:c r="J83" s="28" t="n">
        <x:f>VLOOKUP(G83,'AD Fees &amp; TLF'!$C$19:$E$63,2,TRUE)+G83*VLOOKUP(G83,'AD Fees &amp; TLF'!$C$19:$E$63,3,TRUE)+VLOOKUP(G83,'AD Fees &amp; TLF'!$G$19:$H$27,2,TRUE)+SUM('AD Fees &amp; TLF'!$H$30:$H$31)</x:f>
        <x:v>405</x:v>
      </x:c>
      <x:c r="K83" s="28" t="n">
        <x:f>VLOOKUP(H83,'AD Fees &amp; TLF'!$C$19:$E$63,2,TRUE)+H83*VLOOKUP(H83,'AD Fees &amp; TLF'!$C$19:$E$63,3,TRUE)+VLOOKUP(H83,'AD Fees &amp; TLF'!$G$19:$H$27,2,TRUE)+SUM('AD Fees &amp; TLF'!$H$30:$H$31)</x:f>
        <x:v>560</x:v>
      </x:c>
      <x:c r="L83" s="28" t="n">
        <x:f>I83*'Vehicle Economics'!$K$13+J83*'Vehicle Economics'!$K$14+K83*'Vehicle Economics'!$K$15</x:f>
        <x:v>414.375</x:v>
      </x:c>
      <x:c r="M83" s="28" t="n">
        <x:f>L83+E83*'Vehicle Economics'!E$9</x:f>
        <x:v>441.2973514600743</x:v>
      </x:c>
    </x:row>
    <x:row r="84" ht="18" customHeight="1">
      <x:c r="A84" s="2"/>
      <x:c r="B84" s="2"/>
      <x:c r="C84" s="2" t="str">
        <x:v>SUV / crossover / 30</x:v>
      </x:c>
      <x:c r="D84" s="28" t="n">
        <x:f>'Vehicle Economics'!$J$9*EXP(-'Vehicle Economics'!$J$10*(30-10))*'Vehicle Economics'!E$7</x:f>
        <x:v>2030.0292485491907</x:v>
      </x:c>
      <x:c r="E84" s="28" t="n">
        <x:f>D84*'Vehicle Economics'!E$8</x:f>
        <x:v>609.0087745647572</x:v>
      </x:c>
      <x:c r="F84" s="28" t="n">
        <x:f>$E84*'Vehicle Economics'!$J$13</x:f>
        <x:v>304.5043872823786</x:v>
      </x:c>
      <x:c r="G84" s="28" t="n">
        <x:f>$E84*'Vehicle Economics'!$J$14</x:f>
        <x:v>609.0087745647572</x:v>
      </x:c>
      <x:c r="H84" s="28" t="n">
        <x:f>$E84*'Vehicle Economics'!$J$15</x:f>
        <x:v>913.5131618471358</x:v>
      </x:c>
      <x:c r="I84" s="28" t="n">
        <x:f>VLOOKUP(F84,'AD Fees &amp; TLF'!$C$19:$E$63,2,TRUE)+F84*VLOOKUP(F84,'AD Fees &amp; TLF'!$C$19:$E$63,3,TRUE)+VLOOKUP(F84,'AD Fees &amp; TLF'!$G$19:$H$27,2,TRUE)+SUM('AD Fees &amp; TLF'!$H$30:$H$31)</x:f>
        <x:v>287.5</x:v>
      </x:c>
      <x:c r="J84" s="28" t="n">
        <x:f>VLOOKUP(G84,'AD Fees &amp; TLF'!$C$19:$E$63,2,TRUE)+G84*VLOOKUP(G84,'AD Fees &amp; TLF'!$C$19:$E$63,3,TRUE)+VLOOKUP(G84,'AD Fees &amp; TLF'!$G$19:$H$27,2,TRUE)+SUM('AD Fees &amp; TLF'!$H$30:$H$31)</x:f>
        <x:v>405</x:v>
      </x:c>
      <x:c r="K84" s="28" t="n">
        <x:f>VLOOKUP(H84,'AD Fees &amp; TLF'!$C$19:$E$63,2,TRUE)+H84*VLOOKUP(H84,'AD Fees &amp; TLF'!$C$19:$E$63,3,TRUE)+VLOOKUP(H84,'AD Fees &amp; TLF'!$G$19:$H$27,2,TRUE)+SUM('AD Fees &amp; TLF'!$H$30:$H$31)</x:f>
        <x:v>485</x:v>
      </x:c>
      <x:c r="L84" s="28" t="n">
        <x:f>I84*'Vehicle Economics'!$K$13+J84*'Vehicle Economics'!$K$14+K84*'Vehicle Economics'!$K$15</x:f>
        <x:v>395.625</x:v>
      </x:c>
      <x:c r="M84" s="28" t="n">
        <x:f>L84+E84*'Vehicle Economics'!E$9</x:f>
        <x:v>419.98535098259026</x:v>
      </x:c>
    </x:row>
    <x:row r="85" ht="18" customHeight="1">
      <x:c r="A85" s="2"/>
      <x:c r="B85" s="2"/>
      <x:c r="C85" s="2" t="str">
        <x:v>SUV / crossover / 31</x:v>
      </x:c>
      <x:c r="D85" s="28" t="n">
        <x:f>'Vehicle Economics'!$J$9*EXP(-'Vehicle Economics'!$J$10*(31-10))*'Vehicle Economics'!E$7</x:f>
        <x:v>1836.8464237947287</x:v>
      </x:c>
      <x:c r="E85" s="28" t="n">
        <x:f>D85*'Vehicle Economics'!E$8</x:f>
        <x:v>551.0539271384185</x:v>
      </x:c>
      <x:c r="F85" s="28" t="n">
        <x:f>$E85*'Vehicle Economics'!$J$13</x:f>
        <x:v>275.5269635692093</x:v>
      </x:c>
      <x:c r="G85" s="28" t="n">
        <x:f>$E85*'Vehicle Economics'!$J$14</x:f>
        <x:v>551.0539271384185</x:v>
      </x:c>
      <x:c r="H85" s="28" t="n">
        <x:f>$E85*'Vehicle Economics'!$J$15</x:f>
        <x:v>826.5808907076278</x:v>
      </x:c>
      <x:c r="I85" s="28" t="n">
        <x:f>VLOOKUP(F85,'AD Fees &amp; TLF'!$C$19:$E$63,2,TRUE)+F85*VLOOKUP(F85,'AD Fees &amp; TLF'!$C$19:$E$63,3,TRUE)+VLOOKUP(F85,'AD Fees &amp; TLF'!$G$19:$H$27,2,TRUE)+SUM('AD Fees &amp; TLF'!$H$30:$H$31)</x:f>
        <x:v>280</x:v>
      </x:c>
      <x:c r="J85" s="28" t="n">
        <x:f>VLOOKUP(G85,'AD Fees &amp; TLF'!$C$19:$E$63,2,TRUE)+G85*VLOOKUP(G85,'AD Fees &amp; TLF'!$C$19:$E$63,3,TRUE)+VLOOKUP(G85,'AD Fees &amp; TLF'!$G$19:$H$27,2,TRUE)+SUM('AD Fees &amp; TLF'!$H$30:$H$31)</x:f>
        <x:v>375</x:v>
      </x:c>
      <x:c r="K85" s="28" t="n">
        <x:f>VLOOKUP(H85,'AD Fees &amp; TLF'!$C$19:$E$63,2,TRUE)+H85*VLOOKUP(H85,'AD Fees &amp; TLF'!$C$19:$E$63,3,TRUE)+VLOOKUP(H85,'AD Fees &amp; TLF'!$G$19:$H$27,2,TRUE)+SUM('AD Fees &amp; TLF'!$H$30:$H$31)</x:f>
        <x:v>460</x:v>
      </x:c>
      <x:c r="L85" s="28" t="n">
        <x:f>I85*'Vehicle Economics'!$K$13+J85*'Vehicle Economics'!$K$14+K85*'Vehicle Economics'!$K$15</x:f>
        <x:v>372.5</x:v>
      </x:c>
      <x:c r="M85" s="28" t="n">
        <x:f>L85+E85*'Vehicle Economics'!E$9</x:f>
        <x:v>394.54215708553676</x:v>
      </x:c>
    </x:row>
    <x:row r="86" ht="18" customHeight="1">
      <x:c r="A86" s="2"/>
      <x:c r="B86" s="2"/>
      <x:c r="C86" s="2" t="str">
        <x:v>SUV / crossover / 32</x:v>
      </x:c>
      <x:c r="D86" s="28" t="n">
        <x:f>'Vehicle Economics'!$J$9*EXP(-'Vehicle Economics'!$J$10*(32-10))*'Vehicle Economics'!E$7</x:f>
        <x:v>1662.0473754350082</x:v>
      </x:c>
      <x:c r="E86" s="28" t="n">
        <x:f>D86*'Vehicle Economics'!E$8</x:f>
        <x:v>498.61421263050244</x:v>
      </x:c>
      <x:c r="F86" s="28" t="n">
        <x:f>$E86*'Vehicle Economics'!$J$13</x:f>
        <x:v>249.30710631525122</x:v>
      </x:c>
      <x:c r="G86" s="28" t="n">
        <x:f>$E86*'Vehicle Economics'!$J$14</x:f>
        <x:v>498.61421263050244</x:v>
      </x:c>
      <x:c r="H86" s="28" t="n">
        <x:f>$E86*'Vehicle Economics'!$J$15</x:f>
        <x:v>747.9213189457537</x:v>
      </x:c>
      <x:c r="I86" s="28" t="n">
        <x:f>VLOOKUP(F86,'AD Fees &amp; TLF'!$C$19:$E$63,2,TRUE)+F86*VLOOKUP(F86,'AD Fees &amp; TLF'!$C$19:$E$63,3,TRUE)+VLOOKUP(F86,'AD Fees &amp; TLF'!$G$19:$H$27,2,TRUE)+SUM('AD Fees &amp; TLF'!$H$30:$H$31)</x:f>
        <x:v>280</x:v>
      </x:c>
      <x:c r="J86" s="28" t="n">
        <x:f>VLOOKUP(G86,'AD Fees &amp; TLF'!$C$19:$E$63,2,TRUE)+G86*VLOOKUP(G86,'AD Fees &amp; TLF'!$C$19:$E$63,3,TRUE)+VLOOKUP(G86,'AD Fees &amp; TLF'!$G$19:$H$27,2,TRUE)+SUM('AD Fees &amp; TLF'!$H$30:$H$31)</x:f>
        <x:v>335</x:v>
      </x:c>
      <x:c r="K86" s="28" t="n">
        <x:f>VLOOKUP(H86,'AD Fees &amp; TLF'!$C$19:$E$63,2,TRUE)+H86*VLOOKUP(H86,'AD Fees &amp; TLF'!$C$19:$E$63,3,TRUE)+VLOOKUP(H86,'AD Fees &amp; TLF'!$G$19:$H$27,2,TRUE)+SUM('AD Fees &amp; TLF'!$H$30:$H$31)</x:f>
        <x:v>435</x:v>
      </x:c>
      <x:c r="L86" s="28" t="n">
        <x:f>I86*'Vehicle Economics'!$K$13+J86*'Vehicle Economics'!$K$14+K86*'Vehicle Economics'!$K$15</x:f>
        <x:v>346.25</x:v>
      </x:c>
      <x:c r="M86" s="28" t="n">
        <x:f>L86+E86*'Vehicle Economics'!E$9</x:f>
        <x:v>366.1945685052201</x:v>
      </x:c>
    </x:row>
    <x:row r="87" ht="18" customHeight="1">
      <x:c r="A87" s="2"/>
      <x:c r="B87" s="2"/>
      <x:c r="C87" s="2" t="str">
        <x:v>SUV / crossover / 33</x:v>
      </x:c>
      <x:c r="D87" s="28" t="n">
        <x:f>'Vehicle Economics'!$J$9*EXP(-'Vehicle Economics'!$J$10*(33-10))*'Vehicle Economics'!E$7</x:f>
        <x:v>1503.8826558420556</x:v>
      </x:c>
      <x:c r="E87" s="28" t="n">
        <x:f>D87*'Vehicle Economics'!E$8</x:f>
        <x:v>451.16479675261667</x:v>
      </x:c>
      <x:c r="F87" s="28" t="n">
        <x:f>$E87*'Vehicle Economics'!$J$13</x:f>
        <x:v>225.58239837630833</x:v>
      </x:c>
      <x:c r="G87" s="28" t="n">
        <x:f>$E87*'Vehicle Economics'!$J$14</x:f>
        <x:v>451.16479675261667</x:v>
      </x:c>
      <x:c r="H87" s="28" t="n">
        <x:f>$E87*'Vehicle Economics'!$J$15</x:f>
        <x:v>676.747195128925</x:v>
      </x:c>
      <x:c r="I87" s="28" t="n">
        <x:f>VLOOKUP(F87,'AD Fees &amp; TLF'!$C$19:$E$63,2,TRUE)+F87*VLOOKUP(F87,'AD Fees &amp; TLF'!$C$19:$E$63,3,TRUE)+VLOOKUP(F87,'AD Fees &amp; TLF'!$G$19:$H$27,2,TRUE)+SUM('AD Fees &amp; TLF'!$H$30:$H$31)</x:f>
        <x:v>280</x:v>
      </x:c>
      <x:c r="J87" s="28" t="n">
        <x:f>VLOOKUP(G87,'AD Fees &amp; TLF'!$C$19:$E$63,2,TRUE)+G87*VLOOKUP(G87,'AD Fees &amp; TLF'!$C$19:$E$63,3,TRUE)+VLOOKUP(G87,'AD Fees &amp; TLF'!$G$19:$H$27,2,TRUE)+SUM('AD Fees &amp; TLF'!$H$30:$H$31)</x:f>
        <x:v>335</x:v>
      </x:c>
      <x:c r="K87" s="28" t="n">
        <x:f>VLOOKUP(H87,'AD Fees &amp; TLF'!$C$19:$E$63,2,TRUE)+H87*VLOOKUP(H87,'AD Fees &amp; TLF'!$C$19:$E$63,3,TRUE)+VLOOKUP(H87,'AD Fees &amp; TLF'!$G$19:$H$27,2,TRUE)+SUM('AD Fees &amp; TLF'!$H$30:$H$31)</x:f>
        <x:v>405</x:v>
      </x:c>
      <x:c r="L87" s="28" t="n">
        <x:f>I87*'Vehicle Economics'!$K$13+J87*'Vehicle Economics'!$K$14+K87*'Vehicle Economics'!$K$15</x:f>
        <x:v>338.75</x:v>
      </x:c>
      <x:c r="M87" s="28" t="n">
        <x:f>L87+E87*'Vehicle Economics'!E$9</x:f>
        <x:v>356.7965918701047</x:v>
      </x:c>
    </x:row>
    <x:row r="88" ht="18" customHeight="1">
      <x:c r="A88" s="2"/>
      <x:c r="B88" s="2"/>
      <x:c r="C88" s="2" t="str">
        <x:v>SUV / crossover / 34</x:v>
      </x:c>
      <x:c r="D88" s="28" t="n">
        <x:f>'Vehicle Economics'!$J$9*EXP(-'Vehicle Economics'!$J$10*(34-10))*'Vehicle Economics'!E$7</x:f>
        <x:v>1360.769299341187</x:v>
      </x:c>
      <x:c r="E88" s="28" t="n">
        <x:f>D88*'Vehicle Economics'!E$8</x:f>
        <x:v>408.23078980235607</x:v>
      </x:c>
      <x:c r="F88" s="28" t="n">
        <x:f>$E88*'Vehicle Economics'!$J$13</x:f>
        <x:v>204.11539490117804</x:v>
      </x:c>
      <x:c r="G88" s="28" t="n">
        <x:f>$E88*'Vehicle Economics'!$J$14</x:f>
        <x:v>408.23078980235607</x:v>
      </x:c>
      <x:c r="H88" s="28" t="n">
        <x:f>$E88*'Vehicle Economics'!$J$15</x:f>
        <x:v>612.3461847035342</x:v>
      </x:c>
      <x:c r="I88" s="28" t="n">
        <x:f>VLOOKUP(F88,'AD Fees &amp; TLF'!$C$19:$E$63,2,TRUE)+F88*VLOOKUP(F88,'AD Fees &amp; TLF'!$C$19:$E$63,3,TRUE)+VLOOKUP(F88,'AD Fees &amp; TLF'!$G$19:$H$27,2,TRUE)+SUM('AD Fees &amp; TLF'!$H$30:$H$31)</x:f>
        <x:v>280</x:v>
      </x:c>
      <x:c r="J88" s="28" t="n">
        <x:f>VLOOKUP(G88,'AD Fees &amp; TLF'!$C$19:$E$63,2,TRUE)+G88*VLOOKUP(G88,'AD Fees &amp; TLF'!$C$19:$E$63,3,TRUE)+VLOOKUP(G88,'AD Fees &amp; TLF'!$G$19:$H$27,2,TRUE)+SUM('AD Fees &amp; TLF'!$H$30:$H$31)</x:f>
        <x:v>325</x:v>
      </x:c>
      <x:c r="K88" s="28" t="n">
        <x:f>VLOOKUP(H88,'AD Fees &amp; TLF'!$C$19:$E$63,2,TRUE)+H88*VLOOKUP(H88,'AD Fees &amp; TLF'!$C$19:$E$63,3,TRUE)+VLOOKUP(H88,'AD Fees &amp; TLF'!$G$19:$H$27,2,TRUE)+SUM('AD Fees &amp; TLF'!$H$30:$H$31)</x:f>
        <x:v>405</x:v>
      </x:c>
      <x:c r="L88" s="28" t="n">
        <x:f>I88*'Vehicle Economics'!$K$13+J88*'Vehicle Economics'!$K$14+K88*'Vehicle Economics'!$K$15</x:f>
        <x:v>333.75</x:v>
      </x:c>
      <x:c r="M88" s="28" t="n">
        <x:f>L88+E88*'Vehicle Economics'!E$9</x:f>
        <x:v>350.07923159209423</x:v>
      </x:c>
    </x:row>
    <x:row r="89" ht="18" customHeight="1">
      <x:c r="A89" s="2"/>
      <x:c r="B89" s="2"/>
      <x:c r="C89" s="2" t="str">
        <x:v>SUV / crossover / 35</x:v>
      </x:c>
      <x:c r="D89" s="28" t="n">
        <x:f>'Vehicle Economics'!$J$9*EXP(-'Vehicle Economics'!$J$10*(35-10))*'Vehicle Economics'!E$7</x:f>
        <x:v>1231.274979358482</x:v>
      </x:c>
      <x:c r="E89" s="28" t="n">
        <x:f>D89*'Vehicle Economics'!E$8</x:f>
        <x:v>369.38249380754456</x:v>
      </x:c>
      <x:c r="F89" s="28" t="n">
        <x:f>$E89*'Vehicle Economics'!$J$13</x:f>
        <x:v>184.69124690377228</x:v>
      </x:c>
      <x:c r="G89" s="28" t="n">
        <x:f>$E89*'Vehicle Economics'!$J$14</x:f>
        <x:v>369.38249380754456</x:v>
      </x:c>
      <x:c r="H89" s="28" t="n">
        <x:f>$E89*'Vehicle Economics'!$J$15</x:f>
        <x:v>554.0737407113169</x:v>
      </x:c>
      <x:c r="I89" s="28" t="n">
        <x:f>VLOOKUP(F89,'AD Fees &amp; TLF'!$C$19:$E$63,2,TRUE)+F89*VLOOKUP(F89,'AD Fees &amp; TLF'!$C$19:$E$63,3,TRUE)+VLOOKUP(F89,'AD Fees &amp; TLF'!$G$19:$H$27,2,TRUE)+SUM('AD Fees &amp; TLF'!$H$30:$H$31)</x:f>
        <x:v>230</x:v>
      </x:c>
      <x:c r="J89" s="28" t="n">
        <x:f>VLOOKUP(G89,'AD Fees &amp; TLF'!$C$19:$E$63,2,TRUE)+G89*VLOOKUP(G89,'AD Fees &amp; TLF'!$C$19:$E$63,3,TRUE)+VLOOKUP(G89,'AD Fees &amp; TLF'!$G$19:$H$27,2,TRUE)+SUM('AD Fees &amp; TLF'!$H$30:$H$31)</x:f>
        <x:v>295</x:v>
      </x:c>
      <x:c r="K89" s="28" t="n">
        <x:f>VLOOKUP(H89,'AD Fees &amp; TLF'!$C$19:$E$63,2,TRUE)+H89*VLOOKUP(H89,'AD Fees &amp; TLF'!$C$19:$E$63,3,TRUE)+VLOOKUP(H89,'AD Fees &amp; TLF'!$G$19:$H$27,2,TRUE)+SUM('AD Fees &amp; TLF'!$H$30:$H$31)</x:f>
        <x:v>375</x:v>
      </x:c>
      <x:c r="L89" s="28" t="n">
        <x:f>I89*'Vehicle Economics'!$K$13+J89*'Vehicle Economics'!$K$14+K89*'Vehicle Economics'!$K$15</x:f>
        <x:v>298.75</x:v>
      </x:c>
      <x:c r="M89" s="28" t="n">
        <x:f>L89+E89*'Vehicle Economics'!E$9</x:f>
        <x:v>313.5252997523018</x:v>
      </x:c>
    </x:row>
    <x:row r="90" ht="18" customHeight="1">
      <x:c r="A90" s="2"/>
      <x:c r="B90" s="2"/>
      <x:c r="C90" s="2" t="str">
        <x:v>SUV / crossover / 36</x:v>
      </x:c>
      <x:c r="D90" s="28" t="n">
        <x:f>'Vehicle Economics'!$J$9*EXP(-'Vehicle Economics'!$J$10*(36-10))*'Vehicle Economics'!E$7</x:f>
        <x:v>1114.103673215008</x:v>
      </x:c>
      <x:c r="E90" s="28" t="n">
        <x:f>D90*'Vehicle Economics'!E$8</x:f>
        <x:v>334.2311019645024</x:v>
      </x:c>
      <x:c r="F90" s="28" t="n">
        <x:f>$E90*'Vehicle Economics'!$J$13</x:f>
        <x:v>167.1155509822512</x:v>
      </x:c>
      <x:c r="G90" s="28" t="n">
        <x:f>$E90*'Vehicle Economics'!$J$14</x:f>
        <x:v>334.2311019645024</x:v>
      </x:c>
      <x:c r="H90" s="28" t="n">
        <x:f>$E90*'Vehicle Economics'!$J$15</x:f>
        <x:v>501.3466529467536</x:v>
      </x:c>
      <x:c r="I90" s="28" t="n">
        <x:f>VLOOKUP(F90,'AD Fees &amp; TLF'!$C$19:$E$63,2,TRUE)+F90*VLOOKUP(F90,'AD Fees &amp; TLF'!$C$19:$E$63,3,TRUE)+VLOOKUP(F90,'AD Fees &amp; TLF'!$G$19:$H$27,2,TRUE)+SUM('AD Fees &amp; TLF'!$H$30:$H$31)</x:f>
        <x:v>230</x:v>
      </x:c>
      <x:c r="J90" s="28" t="n">
        <x:f>VLOOKUP(G90,'AD Fees &amp; TLF'!$C$19:$E$63,2,TRUE)+G90*VLOOKUP(G90,'AD Fees &amp; TLF'!$C$19:$E$63,3,TRUE)+VLOOKUP(G90,'AD Fees &amp; TLF'!$G$19:$H$27,2,TRUE)+SUM('AD Fees &amp; TLF'!$H$30:$H$31)</x:f>
        <x:v>287.5</x:v>
      </x:c>
      <x:c r="K90" s="28" t="n">
        <x:f>VLOOKUP(H90,'AD Fees &amp; TLF'!$C$19:$E$63,2,TRUE)+H90*VLOOKUP(H90,'AD Fees &amp; TLF'!$C$19:$E$63,3,TRUE)+VLOOKUP(H90,'AD Fees &amp; TLF'!$G$19:$H$27,2,TRUE)+SUM('AD Fees &amp; TLF'!$H$30:$H$31)</x:f>
        <x:v>370</x:v>
      </x:c>
      <x:c r="L90" s="28" t="n">
        <x:f>I90*'Vehicle Economics'!$K$13+J90*'Vehicle Economics'!$K$14+K90*'Vehicle Economics'!$K$15</x:f>
        <x:v>293.75</x:v>
      </x:c>
      <x:c r="M90" s="28" t="n">
        <x:f>L90+E90*'Vehicle Economics'!E$9</x:f>
        <x:v>307.1192440785801</x:v>
      </x:c>
    </x:row>
    <x:row r="91" ht="18" customHeight="1">
      <x:c r="A91" s="2"/>
      <x:c r="B91" s="2"/>
      <x:c r="C91" s="2" t="str">
        <x:v>SUV / crossover / 37</x:v>
      </x:c>
      <x:c r="D91" s="28" t="n">
        <x:f>'Vehicle Economics'!$J$9*EXP(-'Vehicle Economics'!$J$10*(37-10))*'Vehicle Economics'!E$7</x:f>
        <x:v>1008.0826910962464</x:v>
      </x:c>
      <x:c r="E91" s="28" t="n">
        <x:f>D91*'Vehicle Economics'!E$8</x:f>
        <x:v>302.4248073288739</x:v>
      </x:c>
      <x:c r="F91" s="28" t="n">
        <x:f>$E91*'Vehicle Economics'!$J$13</x:f>
        <x:v>151.21240366443695</x:v>
      </x:c>
      <x:c r="G91" s="28" t="n">
        <x:f>$E91*'Vehicle Economics'!$J$14</x:f>
        <x:v>302.4248073288739</x:v>
      </x:c>
      <x:c r="H91" s="28" t="n">
        <x:f>$E91*'Vehicle Economics'!$J$15</x:f>
        <x:v>453.6372109933109</x:v>
      </x:c>
      <x:c r="I91" s="28" t="n">
        <x:f>VLOOKUP(F91,'AD Fees &amp; TLF'!$C$19:$E$63,2,TRUE)+F91*VLOOKUP(F91,'AD Fees &amp; TLF'!$C$19:$E$63,3,TRUE)+VLOOKUP(F91,'AD Fees &amp; TLF'!$G$19:$H$27,2,TRUE)+SUM('AD Fees &amp; TLF'!$H$30:$H$31)</x:f>
        <x:v>230</x:v>
      </x:c>
      <x:c r="J91" s="28" t="n">
        <x:f>VLOOKUP(G91,'AD Fees &amp; TLF'!$C$19:$E$63,2,TRUE)+G91*VLOOKUP(G91,'AD Fees &amp; TLF'!$C$19:$E$63,3,TRUE)+VLOOKUP(G91,'AD Fees &amp; TLF'!$G$19:$H$27,2,TRUE)+SUM('AD Fees &amp; TLF'!$H$30:$H$31)</x:f>
        <x:v>287.5</x:v>
      </x:c>
      <x:c r="K91" s="28" t="n">
        <x:f>VLOOKUP(H91,'AD Fees &amp; TLF'!$C$19:$E$63,2,TRUE)+H91*VLOOKUP(H91,'AD Fees &amp; TLF'!$C$19:$E$63,3,TRUE)+VLOOKUP(H91,'AD Fees &amp; TLF'!$G$19:$H$27,2,TRUE)+SUM('AD Fees &amp; TLF'!$H$30:$H$31)</x:f>
        <x:v>335</x:v>
      </x:c>
      <x:c r="L91" s="28" t="n">
        <x:f>I91*'Vehicle Economics'!$K$13+J91*'Vehicle Economics'!$K$14+K91*'Vehicle Economics'!$K$15</x:f>
        <x:v>285</x:v>
      </x:c>
      <x:c r="M91" s="28" t="n">
        <x:f>L91+E91*'Vehicle Economics'!E$9</x:f>
        <x:v>297.096992293155</x:v>
      </x:c>
    </x:row>
    <x:row r="92" ht="18" customHeight="1">
      <x:c r="A92" s="2"/>
      <x:c r="B92" s="2"/>
      <x:c r="C92" s="2" t="str">
        <x:v>SUV / crossover / 38</x:v>
      </x:c>
      <x:c r="D92" s="28" t="n">
        <x:f>'Vehicle Economics'!$J$9*EXP(-'Vehicle Economics'!$J$10*(38-10))*'Vehicle Economics'!E$7</x:f>
        <x:v>912.1509393782692</x:v>
      </x:c>
      <x:c r="E92" s="28" t="n">
        <x:f>D92*'Vehicle Economics'!E$8</x:f>
        <x:v>273.6452818134807</x:v>
      </x:c>
      <x:c r="F92" s="28" t="n">
        <x:f>$E92*'Vehicle Economics'!$J$13</x:f>
        <x:v>136.82264090674036</x:v>
      </x:c>
      <x:c r="G92" s="28" t="n">
        <x:f>$E92*'Vehicle Economics'!$J$14</x:f>
        <x:v>273.6452818134807</x:v>
      </x:c>
      <x:c r="H92" s="28" t="n">
        <x:f>$E92*'Vehicle Economics'!$J$15</x:f>
        <x:v>410.46792272022105</x:v>
      </x:c>
      <x:c r="I92" s="28" t="n">
        <x:f>VLOOKUP(F92,'AD Fees &amp; TLF'!$C$19:$E$63,2,TRUE)+F92*VLOOKUP(F92,'AD Fees &amp; TLF'!$C$19:$E$63,3,TRUE)+VLOOKUP(F92,'AD Fees &amp; TLF'!$G$19:$H$27,2,TRUE)+SUM('AD Fees &amp; TLF'!$H$30:$H$31)</x:f>
        <x:v>230</x:v>
      </x:c>
      <x:c r="J92" s="28" t="n">
        <x:f>VLOOKUP(G92,'AD Fees &amp; TLF'!$C$19:$E$63,2,TRUE)+G92*VLOOKUP(G92,'AD Fees &amp; TLF'!$C$19:$E$63,3,TRUE)+VLOOKUP(G92,'AD Fees &amp; TLF'!$G$19:$H$27,2,TRUE)+SUM('AD Fees &amp; TLF'!$H$30:$H$31)</x:f>
        <x:v>280</x:v>
      </x:c>
      <x:c r="K92" s="28" t="n">
        <x:f>VLOOKUP(H92,'AD Fees &amp; TLF'!$C$19:$E$63,2,TRUE)+H92*VLOOKUP(H92,'AD Fees &amp; TLF'!$C$19:$E$63,3,TRUE)+VLOOKUP(H92,'AD Fees &amp; TLF'!$G$19:$H$27,2,TRUE)+SUM('AD Fees &amp; TLF'!$H$30:$H$31)</x:f>
        <x:v>325</x:v>
      </x:c>
      <x:c r="L92" s="28" t="n">
        <x:f>I92*'Vehicle Economics'!$K$13+J92*'Vehicle Economics'!$K$14+K92*'Vehicle Economics'!$K$15</x:f>
        <x:v>278.75</x:v>
      </x:c>
      <x:c r="M92" s="28" t="n">
        <x:f>L92+E92*'Vehicle Economics'!E$9</x:f>
        <x:v>289.69581127253923</x:v>
      </x:c>
    </x:row>
    <x:row r="93" ht="18" customHeight="1">
      <x:c r="A93" s="2"/>
      <x:c r="B93" s="2"/>
      <x:c r="C93" s="2" t="str">
        <x:v>SUV / crossover / 39</x:v>
      </x:c>
      <x:c r="D93" s="28" t="n">
        <x:f>'Vehicle Economics'!$J$9*EXP(-'Vehicle Economics'!$J$10*(39-10))*'Vehicle Economics'!E$7</x:f>
        <x:v>825.348300846108</x:v>
      </x:c>
      <x:c r="E93" s="28" t="n">
        <x:f>D93*'Vehicle Economics'!E$8</x:f>
        <x:v>247.6044902538324</x:v>
      </x:c>
      <x:c r="F93" s="28" t="n">
        <x:f>$E93*'Vehicle Economics'!$J$13</x:f>
        <x:v>123.8022451269162</x:v>
      </x:c>
      <x:c r="G93" s="28" t="n">
        <x:f>$E93*'Vehicle Economics'!$J$14</x:f>
        <x:v>247.6044902538324</x:v>
      </x:c>
      <x:c r="H93" s="28" t="n">
        <x:f>$E93*'Vehicle Economics'!$J$15</x:f>
        <x:v>371.4067353807486</x:v>
      </x:c>
      <x:c r="I93" s="28" t="n">
        <x:f>VLOOKUP(F93,'AD Fees &amp; TLF'!$C$19:$E$63,2,TRUE)+F93*VLOOKUP(F93,'AD Fees &amp; TLF'!$C$19:$E$63,3,TRUE)+VLOOKUP(F93,'AD Fees &amp; TLF'!$G$19:$H$27,2,TRUE)+SUM('AD Fees &amp; TLF'!$H$30:$H$31)</x:f>
        <x:v>230</x:v>
      </x:c>
      <x:c r="J93" s="28" t="n">
        <x:f>VLOOKUP(G93,'AD Fees &amp; TLF'!$C$19:$E$63,2,TRUE)+G93*VLOOKUP(G93,'AD Fees &amp; TLF'!$C$19:$E$63,3,TRUE)+VLOOKUP(G93,'AD Fees &amp; TLF'!$G$19:$H$27,2,TRUE)+SUM('AD Fees &amp; TLF'!$H$30:$H$31)</x:f>
        <x:v>280</x:v>
      </x:c>
      <x:c r="K93" s="28" t="n">
        <x:f>VLOOKUP(H93,'AD Fees &amp; TLF'!$C$19:$E$63,2,TRUE)+H93*VLOOKUP(H93,'AD Fees &amp; TLF'!$C$19:$E$63,3,TRUE)+VLOOKUP(H93,'AD Fees &amp; TLF'!$G$19:$H$27,2,TRUE)+SUM('AD Fees &amp; TLF'!$H$30:$H$31)</x:f>
        <x:v>295</x:v>
      </x:c>
      <x:c r="L93" s="28" t="n">
        <x:f>I93*'Vehicle Economics'!$K$13+J93*'Vehicle Economics'!$K$14+K93*'Vehicle Economics'!$K$15</x:f>
        <x:v>271.25</x:v>
      </x:c>
      <x:c r="M93" s="28" t="n">
        <x:f>L93+E93*'Vehicle Economics'!E$9</x:f>
        <x:v>281.1541796101533</x:v>
      </x:c>
    </x:row>
    <x:row r="94" ht="18" customHeight="1">
      <x:c r="A94" s="2"/>
      <x:c r="B94" s="2"/>
      <x:c r="C94" s="2" t="str">
        <x:v>SUV / crossover / 40</x:v>
      </x:c>
      <x:c r="D94" s="28" t="n">
        <x:f>'Vehicle Economics'!$J$9*EXP(-'Vehicle Economics'!$J$10*(40-10))*'Vehicle Economics'!E$7</x:f>
        <x:v>746.8060255179591</x:v>
      </x:c>
      <x:c r="E94" s="28" t="n">
        <x:f>D94*'Vehicle Economics'!E$8</x:f>
        <x:v>224.04180765538774</x:v>
      </x:c>
      <x:c r="F94" s="28" t="n">
        <x:f>$E94*'Vehicle Economics'!$J$13</x:f>
        <x:v>112.02090382769387</x:v>
      </x:c>
      <x:c r="G94" s="28" t="n">
        <x:f>$E94*'Vehicle Economics'!$J$14</x:f>
        <x:v>224.04180765538774</x:v>
      </x:c>
      <x:c r="H94" s="28" t="n">
        <x:f>$E94*'Vehicle Economics'!$J$15</x:f>
        <x:v>336.0627114830816</x:v>
      </x:c>
      <x:c r="I94" s="28" t="n">
        <x:f>VLOOKUP(F94,'AD Fees &amp; TLF'!$C$19:$E$63,2,TRUE)+F94*VLOOKUP(F94,'AD Fees &amp; TLF'!$C$19:$E$63,3,TRUE)+VLOOKUP(F94,'AD Fees &amp; TLF'!$G$19:$H$27,2,TRUE)+SUM('AD Fees &amp; TLF'!$H$30:$H$31)</x:f>
        <x:v>230</x:v>
      </x:c>
      <x:c r="J94" s="28" t="n">
        <x:f>VLOOKUP(G94,'AD Fees &amp; TLF'!$C$19:$E$63,2,TRUE)+G94*VLOOKUP(G94,'AD Fees &amp; TLF'!$C$19:$E$63,3,TRUE)+VLOOKUP(G94,'AD Fees &amp; TLF'!$G$19:$H$27,2,TRUE)+SUM('AD Fees &amp; TLF'!$H$30:$H$31)</x:f>
        <x:v>280</x:v>
      </x:c>
      <x:c r="K94" s="28" t="n">
        <x:f>VLOOKUP(H94,'AD Fees &amp; TLF'!$C$19:$E$63,2,TRUE)+H94*VLOOKUP(H94,'AD Fees &amp; TLF'!$C$19:$E$63,3,TRUE)+VLOOKUP(H94,'AD Fees &amp; TLF'!$G$19:$H$27,2,TRUE)+SUM('AD Fees &amp; TLF'!$H$30:$H$31)</x:f>
        <x:v>287.5</x:v>
      </x:c>
      <x:c r="L94" s="28" t="n">
        <x:f>I94*'Vehicle Economics'!$K$13+J94*'Vehicle Economics'!$K$14+K94*'Vehicle Economics'!$K$15</x:f>
        <x:v>269.375</x:v>
      </x:c>
      <x:c r="M94" s="28" t="n">
        <x:f>L94+E94*'Vehicle Economics'!E$9</x:f>
        <x:v>278.3366723062155</x:v>
      </x:c>
    </x:row>
    <x:row r="95" ht="18" customHeight="1">
      <x:c r="A95" s="2"/>
      <x:c r="B95" s="2"/>
      <x:c r="C95" s="2" t="str">
        <x:v>SUV / crossover / 41</x:v>
      </x:c>
      <x:c r="D95" s="28" t="n">
        <x:f>'Vehicle Economics'!$J$9*EXP(-'Vehicle Economics'!$J$10*(41-10))*'Vehicle Economics'!E$7</x:f>
        <x:v>675.7380359033671</x:v>
      </x:c>
      <x:c r="E95" s="28" t="n">
        <x:f>D95*'Vehicle Economics'!E$8</x:f>
        <x:v>202.7214107710101</x:v>
      </x:c>
      <x:c r="F95" s="28" t="n">
        <x:f>$E95*'Vehicle Economics'!$J$13</x:f>
        <x:v>101.36070538550506</x:v>
      </x:c>
      <x:c r="G95" s="28" t="n">
        <x:f>$E95*'Vehicle Economics'!$J$14</x:f>
        <x:v>202.7214107710101</x:v>
      </x:c>
      <x:c r="H95" s="28" t="n">
        <x:f>$E95*'Vehicle Economics'!$J$15</x:f>
        <x:v>304.08211615651516</x:v>
      </x:c>
      <x:c r="I95" s="28" t="n">
        <x:f>VLOOKUP(F95,'AD Fees &amp; TLF'!$C$19:$E$63,2,TRUE)+F95*VLOOKUP(F95,'AD Fees &amp; TLF'!$C$19:$E$63,3,TRUE)+VLOOKUP(F95,'AD Fees &amp; TLF'!$G$19:$H$27,2,TRUE)+SUM('AD Fees &amp; TLF'!$H$30:$H$31)</x:f>
        <x:v>230</x:v>
      </x:c>
      <x:c r="J95" s="28" t="n">
        <x:f>VLOOKUP(G95,'AD Fees &amp; TLF'!$C$19:$E$63,2,TRUE)+G95*VLOOKUP(G95,'AD Fees &amp; TLF'!$C$19:$E$63,3,TRUE)+VLOOKUP(G95,'AD Fees &amp; TLF'!$G$19:$H$27,2,TRUE)+SUM('AD Fees &amp; TLF'!$H$30:$H$31)</x:f>
        <x:v>280</x:v>
      </x:c>
      <x:c r="K95" s="28" t="n">
        <x:f>VLOOKUP(H95,'AD Fees &amp; TLF'!$C$19:$E$63,2,TRUE)+H95*VLOOKUP(H95,'AD Fees &amp; TLF'!$C$19:$E$63,3,TRUE)+VLOOKUP(H95,'AD Fees &amp; TLF'!$G$19:$H$27,2,TRUE)+SUM('AD Fees &amp; TLF'!$H$30:$H$31)</x:f>
        <x:v>287.5</x:v>
      </x:c>
      <x:c r="L95" s="28" t="n">
        <x:f>I95*'Vehicle Economics'!$K$13+J95*'Vehicle Economics'!$K$14+K95*'Vehicle Economics'!$K$15</x:f>
        <x:v>269.375</x:v>
      </x:c>
      <x:c r="M95" s="28" t="n">
        <x:f>L95+E95*'Vehicle Economics'!E$9</x:f>
        <x:v>277.48385643084043</x:v>
      </x:c>
    </x:row>
    <x:row r="96" ht="18" customHeight="1">
      <x:c r="A96" s="2"/>
      <x:c r="B96" s="2"/>
      <x:c r="C96" s="2" t="str">
        <x:v>SUV / crossover / 42</x:v>
      </x:c>
      <x:c r="D96" s="28" t="n">
        <x:f>'Vehicle Economics'!$J$9*EXP(-'Vehicle Economics'!$J$10*(42-10))*'Vehicle Economics'!E$7</x:f>
        <x:v>611.433059675493</x:v>
      </x:c>
      <x:c r="E96" s="28" t="n">
        <x:f>D96*'Vehicle Economics'!E$8</x:f>
        <x:v>183.4299179026479</x:v>
      </x:c>
      <x:c r="F96" s="28" t="n">
        <x:f>$E96*'Vehicle Economics'!$J$13</x:f>
        <x:v>91.71495895132395</x:v>
      </x:c>
      <x:c r="G96" s="28" t="n">
        <x:f>$E96*'Vehicle Economics'!$J$14</x:f>
        <x:v>183.4299179026479</x:v>
      </x:c>
      <x:c r="H96" s="28" t="n">
        <x:f>$E96*'Vehicle Economics'!$J$15</x:f>
        <x:v>275.1448768539718</x:v>
      </x:c>
      <x:c r="I96" s="28" t="n">
        <x:f>VLOOKUP(F96,'AD Fees &amp; TLF'!$C$19:$E$63,2,TRUE)+F96*VLOOKUP(F96,'AD Fees &amp; TLF'!$C$19:$E$63,3,TRUE)+VLOOKUP(F96,'AD Fees &amp; TLF'!$G$19:$H$27,2,TRUE)+SUM('AD Fees &amp; TLF'!$H$30:$H$31)</x:f>
        <x:v>155</x:v>
      </x:c>
      <x:c r="J96" s="28" t="n">
        <x:f>VLOOKUP(G96,'AD Fees &amp; TLF'!$C$19:$E$63,2,TRUE)+G96*VLOOKUP(G96,'AD Fees &amp; TLF'!$C$19:$E$63,3,TRUE)+VLOOKUP(G96,'AD Fees &amp; TLF'!$G$19:$H$27,2,TRUE)+SUM('AD Fees &amp; TLF'!$H$30:$H$31)</x:f>
        <x:v>230</x:v>
      </x:c>
      <x:c r="K96" s="28" t="n">
        <x:f>VLOOKUP(H96,'AD Fees &amp; TLF'!$C$19:$E$63,2,TRUE)+H96*VLOOKUP(H96,'AD Fees &amp; TLF'!$C$19:$E$63,3,TRUE)+VLOOKUP(H96,'AD Fees &amp; TLF'!$G$19:$H$27,2,TRUE)+SUM('AD Fees &amp; TLF'!$H$30:$H$31)</x:f>
        <x:v>280</x:v>
      </x:c>
      <x:c r="L96" s="28" t="n">
        <x:f>I96*'Vehicle Economics'!$K$13+J96*'Vehicle Economics'!$K$14+K96*'Vehicle Economics'!$K$15</x:f>
        <x:v>223.75</x:v>
      </x:c>
      <x:c r="M96" s="28" t="n">
        <x:f>L96+E96*'Vehicle Economics'!E$9</x:f>
        <x:v>231.08719671610592</x:v>
      </x:c>
    </x:row>
    <x:row r="97" ht="18" customHeight="1">
      <x:c r="A97" s="2"/>
      <x:c r="B97" s="2"/>
      <x:c r="C97" s="2" t="str">
        <x:v>SUV / crossover / 43</x:v>
      </x:c>
      <x:c r="D97" s="28" t="n">
        <x:f>'Vehicle Economics'!$J$9*EXP(-'Vehicle Economics'!$J$10*(43-10))*'Vehicle Economics'!E$7</x:f>
        <x:v>553.2475110185999</x:v>
      </x:c>
      <x:c r="E97" s="28" t="n">
        <x:f>D97*'Vehicle Economics'!E$8</x:f>
        <x:v>165.97425330557996</x:v>
      </x:c>
      <x:c r="F97" s="28" t="n">
        <x:f>$E97*'Vehicle Economics'!$J$13</x:f>
        <x:v>82.98712665278998</x:v>
      </x:c>
      <x:c r="G97" s="28" t="n">
        <x:f>$E97*'Vehicle Economics'!$J$14</x:f>
        <x:v>165.97425330557996</x:v>
      </x:c>
      <x:c r="H97" s="28" t="n">
        <x:f>$E97*'Vehicle Economics'!$J$15</x:f>
        <x:v>248.96137995836995</x:v>
      </x:c>
      <x:c r="I97" s="28" t="n">
        <x:f>VLOOKUP(F97,'AD Fees &amp; TLF'!$C$19:$E$63,2,TRUE)+F97*VLOOKUP(F97,'AD Fees &amp; TLF'!$C$19:$E$63,3,TRUE)+VLOOKUP(F97,'AD Fees &amp; TLF'!$G$19:$H$27,2,TRUE)+SUM('AD Fees &amp; TLF'!$H$30:$H$31)</x:f>
        <x:v>155</x:v>
      </x:c>
      <x:c r="J97" s="28" t="n">
        <x:f>VLOOKUP(G97,'AD Fees &amp; TLF'!$C$19:$E$63,2,TRUE)+G97*VLOOKUP(G97,'AD Fees &amp; TLF'!$C$19:$E$63,3,TRUE)+VLOOKUP(G97,'AD Fees &amp; TLF'!$G$19:$H$27,2,TRUE)+SUM('AD Fees &amp; TLF'!$H$30:$H$31)</x:f>
        <x:v>230</x:v>
      </x:c>
      <x:c r="K97" s="28" t="n">
        <x:f>VLOOKUP(H97,'AD Fees &amp; TLF'!$C$19:$E$63,2,TRUE)+H97*VLOOKUP(H97,'AD Fees &amp; TLF'!$C$19:$E$63,3,TRUE)+VLOOKUP(H97,'AD Fees &amp; TLF'!$G$19:$H$27,2,TRUE)+SUM('AD Fees &amp; TLF'!$H$30:$H$31)</x:f>
        <x:v>280</x:v>
      </x:c>
      <x:c r="L97" s="28" t="n">
        <x:f>I97*'Vehicle Economics'!$K$13+J97*'Vehicle Economics'!$K$14+K97*'Vehicle Economics'!$K$15</x:f>
        <x:v>223.75</x:v>
      </x:c>
      <x:c r="M97" s="28" t="n">
        <x:f>L97+E97*'Vehicle Economics'!E$9</x:f>
        <x:v>230.3889701322232</x:v>
      </x:c>
    </x:row>
    <x:row r="98" ht="18" customHeight="1">
      <x:c r="A98" s="2"/>
      <x:c r="B98" s="2"/>
      <x:c r="C98" s="2" t="str">
        <x:v>SUV / crossover / 44</x:v>
      </x:c>
      <x:c r="D98" s="28" t="n">
        <x:f>'Vehicle Economics'!$J$9*EXP(-'Vehicle Economics'!$J$10*(44-10))*'Vehicle Economics'!E$7</x:f>
        <x:v>500.59904940489093</x:v>
      </x:c>
      <x:c r="E98" s="28" t="n">
        <x:f>D98*'Vehicle Economics'!E$8</x:f>
        <x:v>150.1797148214673</x:v>
      </x:c>
      <x:c r="F98" s="28" t="n">
        <x:f>$E98*'Vehicle Economics'!$J$13</x:f>
        <x:v>75.08985741073364</x:v>
      </x:c>
      <x:c r="G98" s="28" t="n">
        <x:f>$E98*'Vehicle Economics'!$J$14</x:f>
        <x:v>150.1797148214673</x:v>
      </x:c>
      <x:c r="H98" s="28" t="n">
        <x:f>$E98*'Vehicle Economics'!$J$15</x:f>
        <x:v>225.26957223220091</x:v>
      </x:c>
      <x:c r="I98" s="28" t="n">
        <x:f>VLOOKUP(F98,'AD Fees &amp; TLF'!$C$19:$E$63,2,TRUE)+F98*VLOOKUP(F98,'AD Fees &amp; TLF'!$C$19:$E$63,3,TRUE)+VLOOKUP(F98,'AD Fees &amp; TLF'!$G$19:$H$27,2,TRUE)+SUM('AD Fees &amp; TLF'!$H$30:$H$31)</x:f>
        <x:v>155</x:v>
      </x:c>
      <x:c r="J98" s="28" t="n">
        <x:f>VLOOKUP(G98,'AD Fees &amp; TLF'!$C$19:$E$63,2,TRUE)+G98*VLOOKUP(G98,'AD Fees &amp; TLF'!$C$19:$E$63,3,TRUE)+VLOOKUP(G98,'AD Fees &amp; TLF'!$G$19:$H$27,2,TRUE)+SUM('AD Fees &amp; TLF'!$H$30:$H$31)</x:f>
        <x:v>230</x:v>
      </x:c>
      <x:c r="K98" s="28" t="n">
        <x:f>VLOOKUP(H98,'AD Fees &amp; TLF'!$C$19:$E$63,2,TRUE)+H98*VLOOKUP(H98,'AD Fees &amp; TLF'!$C$19:$E$63,3,TRUE)+VLOOKUP(H98,'AD Fees &amp; TLF'!$G$19:$H$27,2,TRUE)+SUM('AD Fees &amp; TLF'!$H$30:$H$31)</x:f>
        <x:v>280</x:v>
      </x:c>
      <x:c r="L98" s="28" t="n">
        <x:f>I98*'Vehicle Economics'!$K$13+J98*'Vehicle Economics'!$K$14+K98*'Vehicle Economics'!$K$15</x:f>
        <x:v>223.75</x:v>
      </x:c>
      <x:c r="M98" s="28" t="n">
        <x:f>L98+E98*'Vehicle Economics'!E$9</x:f>
        <x:v>229.75718859285868</x:v>
      </x:c>
    </x:row>
    <x:row r="99" ht="18" customHeight="1">
      <x:c r="A99" s="2"/>
      <x:c r="B99" s="2"/>
      <x:c r="C99" s="2" t="str">
        <x:v>SUV / crossover / 45</x:v>
      </x:c>
      <x:c r="D99" s="28" t="n">
        <x:f>'Vehicle Economics'!$J$9*EXP(-'Vehicle Economics'!$J$10*(45-10))*'Vehicle Economics'!E$7</x:f>
        <x:v>452.9607513347775</x:v>
      </x:c>
      <x:c r="E99" s="28" t="n">
        <x:f>D99*'Vehicle Economics'!E$8</x:f>
        <x:v>135.88822540043324</x:v>
      </x:c>
      <x:c r="F99" s="28" t="n">
        <x:f>$E99*'Vehicle Economics'!$J$13</x:f>
        <x:v>67.94411270021662</x:v>
      </x:c>
      <x:c r="G99" s="28" t="n">
        <x:f>$E99*'Vehicle Economics'!$J$14</x:f>
        <x:v>135.88822540043324</x:v>
      </x:c>
      <x:c r="H99" s="28" t="n">
        <x:f>$E99*'Vehicle Economics'!$J$15</x:f>
        <x:v>203.83233810064985</x:v>
      </x:c>
      <x:c r="I99" s="28" t="n">
        <x:f>VLOOKUP(F99,'AD Fees &amp; TLF'!$C$19:$E$63,2,TRUE)+F99*VLOOKUP(F99,'AD Fees &amp; TLF'!$C$19:$E$63,3,TRUE)+VLOOKUP(F99,'AD Fees &amp; TLF'!$G$19:$H$27,2,TRUE)+SUM('AD Fees &amp; TLF'!$H$30:$H$31)</x:f>
        <x:v>155</x:v>
      </x:c>
      <x:c r="J99" s="28" t="n">
        <x:f>VLOOKUP(G99,'AD Fees &amp; TLF'!$C$19:$E$63,2,TRUE)+G99*VLOOKUP(G99,'AD Fees &amp; TLF'!$C$19:$E$63,3,TRUE)+VLOOKUP(G99,'AD Fees &amp; TLF'!$G$19:$H$27,2,TRUE)+SUM('AD Fees &amp; TLF'!$H$30:$H$31)</x:f>
        <x:v>230</x:v>
      </x:c>
      <x:c r="K99" s="28" t="n">
        <x:f>VLOOKUP(H99,'AD Fees &amp; TLF'!$C$19:$E$63,2,TRUE)+H99*VLOOKUP(H99,'AD Fees &amp; TLF'!$C$19:$E$63,3,TRUE)+VLOOKUP(H99,'AD Fees &amp; TLF'!$G$19:$H$27,2,TRUE)+SUM('AD Fees &amp; TLF'!$H$30:$H$31)</x:f>
        <x:v>280</x:v>
      </x:c>
      <x:c r="L99" s="28" t="n">
        <x:f>I99*'Vehicle Economics'!$K$13+J99*'Vehicle Economics'!$K$14+K99*'Vehicle Economics'!$K$15</x:f>
        <x:v>223.75</x:v>
      </x:c>
      <x:c r="M99" s="28" t="n">
        <x:f>L99+E99*'Vehicle Economics'!E$9</x:f>
        <x:v>229.18552901601734</x:v>
      </x:c>
    </x:row>
    <x:row r="100" ht="18" customHeight="1">
      <x:c r="A100" s="2"/>
      <x:c r="B100" s="2"/>
      <x:c r="C100" s="2" t="str">
        <x:v>Pickup / 0</x:v>
      </x:c>
      <x:c r="D100" s="28" t="n">
        <x:f>'Vehicle Economics'!$J$9*EXP(-'Vehicle Economics'!$J$10*(0-10))*'Vehicle Economics'!F$7</x:f>
        <x:v>40774.22742688568</x:v>
      </x:c>
      <x:c r="E100" s="28" t="n">
        <x:f>D100*'Vehicle Economics'!F$8</x:f>
        <x:v>12232.268228065703</x:v>
      </x:c>
      <x:c r="F100" s="28" t="n">
        <x:f>$E100*'Vehicle Economics'!$J$13</x:f>
        <x:v>6116.134114032851</x:v>
      </x:c>
      <x:c r="G100" s="28" t="n">
        <x:f>$E100*'Vehicle Economics'!$J$14</x:f>
        <x:v>12232.268228065703</x:v>
      </x:c>
      <x:c r="H100" s="28" t="n">
        <x:f>$E100*'Vehicle Economics'!$J$15</x:f>
        <x:v>18348.402342098554</x:v>
      </x:c>
      <x:c r="I100" s="28" t="n">
        <x:f>VLOOKUP(F100,'AD Fees &amp; TLF'!$C$19:$E$63,2,TRUE)+F100*VLOOKUP(F100,'AD Fees &amp; TLF'!$C$19:$E$63,3,TRUE)+VLOOKUP(F100,'AD Fees &amp; TLF'!$G$19:$H$27,2,TRUE)+SUM('AD Fees &amp; TLF'!$H$30:$H$31)</x:f>
        <x:v>1060</x:v>
      </x:c>
      <x:c r="J100" s="28" t="n">
        <x:f>VLOOKUP(G100,'AD Fees &amp; TLF'!$C$19:$E$63,2,TRUE)+G100*VLOOKUP(G100,'AD Fees &amp; TLF'!$C$19:$E$63,3,TRUE)+VLOOKUP(G100,'AD Fees &amp; TLF'!$G$19:$H$27,2,TRUE)+SUM('AD Fees &amp; TLF'!$H$30:$H$31)</x:f>
        <x:v>1250</x:v>
      </x:c>
      <x:c r="K100" s="28" t="n">
        <x:f>VLOOKUP(H100,'AD Fees &amp; TLF'!$C$19:$E$63,2,TRUE)+H100*VLOOKUP(H100,'AD Fees &amp; TLF'!$C$19:$E$63,3,TRUE)+VLOOKUP(H100,'AD Fees &amp; TLF'!$G$19:$H$27,2,TRUE)+SUM('AD Fees &amp; TLF'!$H$30:$H$31)</x:f>
        <x:v>1626.1301756573914</x:v>
      </x:c>
      <x:c r="L100" s="28" t="n">
        <x:f>I100*'Vehicle Economics'!$K$13+J100*'Vehicle Economics'!$K$14+K100*'Vehicle Economics'!$K$15</x:f>
        <x:v>1296.5325439143478</x:v>
      </x:c>
      <x:c r="M100" s="28" t="n">
        <x:f>L100+E100*'Vehicle Economics'!F$9</x:f>
        <x:v>1785.823273036976</x:v>
      </x:c>
    </x:row>
    <x:row r="101" ht="18" customHeight="1">
      <x:c r="A101" s="2"/>
      <x:c r="B101" s="2"/>
      <x:c r="C101" s="2" t="str">
        <x:v>Pickup / 1</x:v>
      </x:c>
      <x:c r="D101" s="28" t="n">
        <x:f>'Vehicle Economics'!$J$9*EXP(-'Vehicle Economics'!$J$10*(1-10))*'Vehicle Economics'!F$7</x:f>
        <x:v>36894.04666735425</x:v>
      </x:c>
      <x:c r="E101" s="28" t="n">
        <x:f>D101*'Vehicle Economics'!F$8</x:f>
        <x:v>11068.214000206273</x:v>
      </x:c>
      <x:c r="F101" s="28" t="n">
        <x:f>$E101*'Vehicle Economics'!$J$13</x:f>
        <x:v>5534.107000103137</x:v>
      </x:c>
      <x:c r="G101" s="28" t="n">
        <x:f>$E101*'Vehicle Economics'!$J$14</x:f>
        <x:v>11068.214000206273</x:v>
      </x:c>
      <x:c r="H101" s="28" t="n">
        <x:f>$E101*'Vehicle Economics'!$J$15</x:f>
        <x:v>16602.32100030941</x:v>
      </x:c>
      <x:c r="I101" s="28" t="n">
        <x:f>VLOOKUP(F101,'AD Fees &amp; TLF'!$C$19:$E$63,2,TRUE)+F101*VLOOKUP(F101,'AD Fees &amp; TLF'!$C$19:$E$63,3,TRUE)+VLOOKUP(F101,'AD Fees &amp; TLF'!$G$19:$H$27,2,TRUE)+SUM('AD Fees &amp; TLF'!$H$30:$H$31)</x:f>
        <x:v>1020</x:v>
      </x:c>
      <x:c r="J101" s="28" t="n">
        <x:f>VLOOKUP(G101,'AD Fees &amp; TLF'!$C$19:$E$63,2,TRUE)+G101*VLOOKUP(G101,'AD Fees &amp; TLF'!$C$19:$E$63,3,TRUE)+VLOOKUP(G101,'AD Fees &amp; TLF'!$G$19:$H$27,2,TRUE)+SUM('AD Fees &amp; TLF'!$H$30:$H$31)</x:f>
        <x:v>1250</x:v>
      </x:c>
      <x:c r="K101" s="28" t="n">
        <x:f>VLOOKUP(H101,'AD Fees &amp; TLF'!$C$19:$E$63,2,TRUE)+H101*VLOOKUP(H101,'AD Fees &amp; TLF'!$C$19:$E$63,3,TRUE)+VLOOKUP(H101,'AD Fees &amp; TLF'!$G$19:$H$27,2,TRUE)+SUM('AD Fees &amp; TLF'!$H$30:$H$31)</x:f>
        <x:v>1495.1740750232057</x:v>
      </x:c>
      <x:c r="L101" s="28" t="n">
        <x:f>I101*'Vehicle Economics'!$K$13+J101*'Vehicle Economics'!$K$14+K101*'Vehicle Economics'!$K$15</x:f>
        <x:v>1253.7935187558014</x:v>
      </x:c>
      <x:c r="M101" s="28" t="n">
        <x:f>L101+E101*'Vehicle Economics'!F$9</x:f>
        <x:v>1696.5220787640524</x:v>
      </x:c>
    </x:row>
    <x:row r="102" ht="18" customHeight="1">
      <x:c r="A102" s="2"/>
      <x:c r="B102" s="2"/>
      <x:c r="C102" s="2" t="str">
        <x:v>Pickup / 2</x:v>
      </x:c>
      <x:c r="D102" s="28" t="n">
        <x:f>'Vehicle Economics'!$J$9*EXP(-'Vehicle Economics'!$J$10*(2-10))*'Vehicle Economics'!F$7</x:f>
        <x:v>33383.113927387014</x:v>
      </x:c>
      <x:c r="E102" s="28" t="n">
        <x:f>D102*'Vehicle Economics'!F$8</x:f>
        <x:v>10014.934178216105</x:v>
      </x:c>
      <x:c r="F102" s="28" t="n">
        <x:f>$E102*'Vehicle Economics'!$J$13</x:f>
        <x:v>5007.467089108052</x:v>
      </x:c>
      <x:c r="G102" s="28" t="n">
        <x:f>$E102*'Vehicle Economics'!$J$14</x:f>
        <x:v>10014.934178216105</x:v>
      </x:c>
      <x:c r="H102" s="28" t="n">
        <x:f>$E102*'Vehicle Economics'!$J$15</x:f>
        <x:v>15022.401267324156</x:v>
      </x:c>
      <x:c r="I102" s="28" t="n">
        <x:f>VLOOKUP(F102,'AD Fees &amp; TLF'!$C$19:$E$63,2,TRUE)+F102*VLOOKUP(F102,'AD Fees &amp; TLF'!$C$19:$E$63,3,TRUE)+VLOOKUP(F102,'AD Fees &amp; TLF'!$G$19:$H$27,2,TRUE)+SUM('AD Fees &amp; TLF'!$H$30:$H$31)</x:f>
        <x:v>995</x:v>
      </x:c>
      <x:c r="J102" s="28" t="n">
        <x:f>VLOOKUP(G102,'AD Fees &amp; TLF'!$C$19:$E$63,2,TRUE)+G102*VLOOKUP(G102,'AD Fees &amp; TLF'!$C$19:$E$63,3,TRUE)+VLOOKUP(G102,'AD Fees &amp; TLF'!$G$19:$H$27,2,TRUE)+SUM('AD Fees &amp; TLF'!$H$30:$H$31)</x:f>
        <x:v>1250</x:v>
      </x:c>
      <x:c r="K102" s="28" t="n">
        <x:f>VLOOKUP(H102,'AD Fees &amp; TLF'!$C$19:$E$63,2,TRUE)+H102*VLOOKUP(H102,'AD Fees &amp; TLF'!$C$19:$E$63,3,TRUE)+VLOOKUP(H102,'AD Fees &amp; TLF'!$G$19:$H$27,2,TRUE)+SUM('AD Fees &amp; TLF'!$H$30:$H$31)</x:f>
        <x:v>1376.6800950493116</x:v>
      </x:c>
      <x:c r="L102" s="28" t="n">
        <x:f>I102*'Vehicle Economics'!$K$13+J102*'Vehicle Economics'!$K$14+K102*'Vehicle Economics'!$K$15</x:f>
        <x:v>1217.920023762328</x:v>
      </x:c>
      <x:c r="M102" s="28" t="n">
        <x:f>L102+E102*'Vehicle Economics'!F$9</x:f>
        <x:v>1618.5173908909721</x:v>
      </x:c>
    </x:row>
    <x:row r="103" ht="18" customHeight="1">
      <x:c r="A103" s="2"/>
      <x:c r="B103" s="2"/>
      <x:c r="C103" s="2" t="str">
        <x:v>Pickup / 3</x:v>
      </x:c>
      <x:c r="D103" s="28" t="n">
        <x:f>'Vehicle Economics'!$J$9*EXP(-'Vehicle Economics'!$J$10*(3-10))*'Vehicle Economics'!F$7</x:f>
        <x:v>30206.29061205715</x:v>
      </x:c>
      <x:c r="E103" s="28" t="n">
        <x:f>D103*'Vehicle Economics'!F$8</x:f>
        <x:v>9061.887183617144</x:v>
      </x:c>
      <x:c r="F103" s="28" t="n">
        <x:f>$E103*'Vehicle Economics'!$J$13</x:f>
        <x:v>4530.943591808572</x:v>
      </x:c>
      <x:c r="G103" s="28" t="n">
        <x:f>$E103*'Vehicle Economics'!$J$14</x:f>
        <x:v>9061.887183617144</x:v>
      </x:c>
      <x:c r="H103" s="28" t="n">
        <x:f>$E103*'Vehicle Economics'!$J$15</x:f>
        <x:v>13592.830775425715</x:v>
      </x:c>
      <x:c r="I103" s="28" t="n">
        <x:f>VLOOKUP(F103,'AD Fees &amp; TLF'!$C$19:$E$63,2,TRUE)+F103*VLOOKUP(F103,'AD Fees &amp; TLF'!$C$19:$E$63,3,TRUE)+VLOOKUP(F103,'AD Fees &amp; TLF'!$G$19:$H$27,2,TRUE)+SUM('AD Fees &amp; TLF'!$H$30:$H$31)</x:f>
        <x:v>970</x:v>
      </x:c>
      <x:c r="J103" s="28" t="n">
        <x:f>VLOOKUP(G103,'AD Fees &amp; TLF'!$C$19:$E$63,2,TRUE)+G103*VLOOKUP(G103,'AD Fees &amp; TLF'!$C$19:$E$63,3,TRUE)+VLOOKUP(G103,'AD Fees &amp; TLF'!$G$19:$H$27,2,TRUE)+SUM('AD Fees &amp; TLF'!$H$30:$H$31)</x:f>
        <x:v>1195</x:v>
      </x:c>
      <x:c r="K103" s="28" t="n">
        <x:f>VLOOKUP(H103,'AD Fees &amp; TLF'!$C$19:$E$63,2,TRUE)+H103*VLOOKUP(H103,'AD Fees &amp; TLF'!$C$19:$E$63,3,TRUE)+VLOOKUP(H103,'AD Fees &amp; TLF'!$G$19:$H$27,2,TRUE)+SUM('AD Fees &amp; TLF'!$H$30:$H$31)</x:f>
        <x:v>1250</x:v>
      </x:c>
      <x:c r="L103" s="28" t="n">
        <x:f>I103*'Vehicle Economics'!$K$13+J103*'Vehicle Economics'!$K$14+K103*'Vehicle Economics'!$K$15</x:f>
        <x:v>1152.5</x:v>
      </x:c>
      <x:c r="M103" s="28" t="n">
        <x:f>L103+E103*'Vehicle Economics'!F$9</x:f>
        <x:v>1514.9754873446857</x:v>
      </x:c>
    </x:row>
    <x:row r="104" ht="18" customHeight="1">
      <x:c r="A104" s="2"/>
      <x:c r="B104" s="2"/>
      <x:c r="C104" s="2" t="str">
        <x:v>Pickup / 4</x:v>
      </x:c>
      <x:c r="D104" s="28" t="n">
        <x:f>'Vehicle Economics'!$J$9*EXP(-'Vehicle Economics'!$J$10*(4-10))*'Vehicle Economics'!F$7</x:f>
        <x:v>27331.78200585764</x:v>
      </x:c>
      <x:c r="E104" s="28" t="n">
        <x:f>D104*'Vehicle Economics'!F$8</x:f>
        <x:v>8199.534601757292</x:v>
      </x:c>
      <x:c r="F104" s="28" t="n">
        <x:f>$E104*'Vehicle Economics'!$J$13</x:f>
        <x:v>4099.767300878646</x:v>
      </x:c>
      <x:c r="G104" s="28" t="n">
        <x:f>$E104*'Vehicle Economics'!$J$14</x:f>
        <x:v>8199.534601757292</x:v>
      </x:c>
      <x:c r="H104" s="28" t="n">
        <x:f>$E104*'Vehicle Economics'!$J$15</x:f>
        <x:v>12299.301902635938</x:v>
      </x:c>
      <x:c r="I104" s="28" t="n">
        <x:f>VLOOKUP(F104,'AD Fees &amp; TLF'!$C$19:$E$63,2,TRUE)+F104*VLOOKUP(F104,'AD Fees &amp; TLF'!$C$19:$E$63,3,TRUE)+VLOOKUP(F104,'AD Fees &amp; TLF'!$G$19:$H$27,2,TRUE)+SUM('AD Fees &amp; TLF'!$H$30:$H$31)</x:f>
        <x:v>945</x:v>
      </x:c>
      <x:c r="J104" s="28" t="n">
        <x:f>VLOOKUP(G104,'AD Fees &amp; TLF'!$C$19:$E$63,2,TRUE)+G104*VLOOKUP(G104,'AD Fees &amp; TLF'!$C$19:$E$63,3,TRUE)+VLOOKUP(G104,'AD Fees &amp; TLF'!$G$19:$H$27,2,TRUE)+SUM('AD Fees &amp; TLF'!$H$30:$H$31)</x:f>
        <x:v>1175</x:v>
      </x:c>
      <x:c r="K104" s="28" t="n">
        <x:f>VLOOKUP(H104,'AD Fees &amp; TLF'!$C$19:$E$63,2,TRUE)+H104*VLOOKUP(H104,'AD Fees &amp; TLF'!$C$19:$E$63,3,TRUE)+VLOOKUP(H104,'AD Fees &amp; TLF'!$G$19:$H$27,2,TRUE)+SUM('AD Fees &amp; TLF'!$H$30:$H$31)</x:f>
        <x:v>1250</x:v>
      </x:c>
      <x:c r="L104" s="28" t="n">
        <x:f>I104*'Vehicle Economics'!$K$13+J104*'Vehicle Economics'!$K$14+K104*'Vehicle Economics'!$K$15</x:f>
        <x:v>1136.25</x:v>
      </x:c>
      <x:c r="M104" s="28" t="n">
        <x:f>L104+E104*'Vehicle Economics'!F$9</x:f>
        <x:v>1464.2313840702918</x:v>
      </x:c>
    </x:row>
    <x:row r="105" ht="18" customHeight="1">
      <x:c r="A105" s="2"/>
      <x:c r="B105" s="2"/>
      <x:c r="C105" s="2" t="str">
        <x:v>Pickup / 5</x:v>
      </x:c>
      <x:c r="D105" s="28" t="n">
        <x:f>'Vehicle Economics'!$J$9*EXP(-'Vehicle Economics'!$J$10*(5-10))*'Vehicle Economics'!F$7</x:f>
        <x:v>24730.819060501926</x:v>
      </x:c>
      <x:c r="E105" s="28" t="n">
        <x:f>D105*'Vehicle Economics'!F$8</x:f>
        <x:v>7419.245718150578</x:v>
      </x:c>
      <x:c r="F105" s="28" t="n">
        <x:f>$E105*'Vehicle Economics'!$J$13</x:f>
        <x:v>3709.622859075289</x:v>
      </x:c>
      <x:c r="G105" s="28" t="n">
        <x:f>$E105*'Vehicle Economics'!$J$14</x:f>
        <x:v>7419.245718150578</x:v>
      </x:c>
      <x:c r="H105" s="28" t="n">
        <x:f>$E105*'Vehicle Economics'!$J$15</x:f>
        <x:v>11128.868577225867</x:v>
      </x:c>
      <x:c r="I105" s="28" t="n">
        <x:f>VLOOKUP(F105,'AD Fees &amp; TLF'!$C$19:$E$63,2,TRUE)+F105*VLOOKUP(F105,'AD Fees &amp; TLF'!$C$19:$E$63,3,TRUE)+VLOOKUP(F105,'AD Fees &amp; TLF'!$G$19:$H$27,2,TRUE)+SUM('AD Fees &amp; TLF'!$H$30:$H$31)</x:f>
        <x:v>915</x:v>
      </x:c>
      <x:c r="J105" s="28" t="n">
        <x:f>VLOOKUP(G105,'AD Fees &amp; TLF'!$C$19:$E$63,2,TRUE)+G105*VLOOKUP(G105,'AD Fees &amp; TLF'!$C$19:$E$63,3,TRUE)+VLOOKUP(G105,'AD Fees &amp; TLF'!$G$19:$H$27,2,TRUE)+SUM('AD Fees &amp; TLF'!$H$30:$H$31)</x:f>
        <x:v>1115</x:v>
      </x:c>
      <x:c r="K105" s="28" t="n">
        <x:f>VLOOKUP(H105,'AD Fees &amp; TLF'!$C$19:$E$63,2,TRUE)+H105*VLOOKUP(H105,'AD Fees &amp; TLF'!$C$19:$E$63,3,TRUE)+VLOOKUP(H105,'AD Fees &amp; TLF'!$G$19:$H$27,2,TRUE)+SUM('AD Fees &amp; TLF'!$H$30:$H$31)</x:f>
        <x:v>1250</x:v>
      </x:c>
      <x:c r="L105" s="28" t="n">
        <x:f>I105*'Vehicle Economics'!$K$13+J105*'Vehicle Economics'!$K$14+K105*'Vehicle Economics'!$K$15</x:f>
        <x:v>1098.75</x:v>
      </x:c>
      <x:c r="M105" s="28" t="n">
        <x:f>L105+E105*'Vehicle Economics'!F$9</x:f>
        <x:v>1395.5198287260232</x:v>
      </x:c>
    </x:row>
    <x:row r="106" ht="18" customHeight="1">
      <x:c r="A106" s="2"/>
      <x:c r="B106" s="2"/>
      <x:c r="C106" s="2" t="str">
        <x:v>Pickup / 6</x:v>
      </x:c>
      <x:c r="D106" s="28" t="n">
        <x:f>'Vehicle Economics'!$J$9*EXP(-'Vehicle Economics'!$J$10*(6-10))*'Vehicle Economics'!F$7</x:f>
        <x:v>22377.370464619056</x:v>
      </x:c>
      <x:c r="E106" s="28" t="n">
        <x:f>D106*'Vehicle Economics'!F$8</x:f>
        <x:v>6713.211139385717</x:v>
      </x:c>
      <x:c r="F106" s="28" t="n">
        <x:f>$E106*'Vehicle Economics'!$J$13</x:f>
        <x:v>3356.6055696928584</x:v>
      </x:c>
      <x:c r="G106" s="28" t="n">
        <x:f>$E106*'Vehicle Economics'!$J$14</x:f>
        <x:v>6713.211139385717</x:v>
      </x:c>
      <x:c r="H106" s="28" t="n">
        <x:f>$E106*'Vehicle Economics'!$J$15</x:f>
        <x:v>10069.816709078576</x:v>
      </x:c>
      <x:c r="I106" s="28" t="n">
        <x:f>VLOOKUP(F106,'AD Fees &amp; TLF'!$C$19:$E$63,2,TRUE)+F106*VLOOKUP(F106,'AD Fees &amp; TLF'!$C$19:$E$63,3,TRUE)+VLOOKUP(F106,'AD Fees &amp; TLF'!$G$19:$H$27,2,TRUE)+SUM('AD Fees &amp; TLF'!$H$30:$H$31)</x:f>
        <x:v>865</x:v>
      </x:c>
      <x:c r="J106" s="28" t="n">
        <x:f>VLOOKUP(G106,'AD Fees &amp; TLF'!$C$19:$E$63,2,TRUE)+G106*VLOOKUP(G106,'AD Fees &amp; TLF'!$C$19:$E$63,3,TRUE)+VLOOKUP(G106,'AD Fees &amp; TLF'!$G$19:$H$27,2,TRUE)+SUM('AD Fees &amp; TLF'!$H$30:$H$31)</x:f>
        <x:v>1080</x:v>
      </x:c>
      <x:c r="K106" s="28" t="n">
        <x:f>VLOOKUP(H106,'AD Fees &amp; TLF'!$C$19:$E$63,2,TRUE)+H106*VLOOKUP(H106,'AD Fees &amp; TLF'!$C$19:$E$63,3,TRUE)+VLOOKUP(H106,'AD Fees &amp; TLF'!$G$19:$H$27,2,TRUE)+SUM('AD Fees &amp; TLF'!$H$30:$H$31)</x:f>
        <x:v>1250</x:v>
      </x:c>
      <x:c r="L106" s="28" t="n">
        <x:f>I106*'Vehicle Economics'!$K$13+J106*'Vehicle Economics'!$K$14+K106*'Vehicle Economics'!$K$15</x:f>
        <x:v>1068.75</x:v>
      </x:c>
      <x:c r="M106" s="28" t="n">
        <x:f>L106+E106*'Vehicle Economics'!F$9</x:f>
        <x:v>1337.2784455754286</x:v>
      </x:c>
    </x:row>
    <x:row r="107" ht="18" customHeight="1">
      <x:c r="A107" s="2"/>
      <x:c r="B107" s="2"/>
      <x:c r="C107" s="2" t="str">
        <x:v>Pickup / 7</x:v>
      </x:c>
      <x:c r="D107" s="28" t="n">
        <x:f>'Vehicle Economics'!$J$9*EXP(-'Vehicle Economics'!$J$10*(7-10))*'Vehicle Economics'!F$7</x:f>
        <x:v>20247.882113640047</x:v>
      </x:c>
      <x:c r="E107" s="28" t="n">
        <x:f>D107*'Vehicle Economics'!F$8</x:f>
        <x:v>6074.364634092014</x:v>
      </x:c>
      <x:c r="F107" s="28" t="n">
        <x:f>$E107*'Vehicle Economics'!$J$13</x:f>
        <x:v>3037.182317046007</x:v>
      </x:c>
      <x:c r="G107" s="28" t="n">
        <x:f>$E107*'Vehicle Economics'!$J$14</x:f>
        <x:v>6074.364634092014</x:v>
      </x:c>
      <x:c r="H107" s="28" t="n">
        <x:f>$E107*'Vehicle Economics'!$J$15</x:f>
        <x:v>9111.546951138022</x:v>
      </x:c>
      <x:c r="I107" s="28" t="n">
        <x:f>VLOOKUP(F107,'AD Fees &amp; TLF'!$C$19:$E$63,2,TRUE)+F107*VLOOKUP(F107,'AD Fees &amp; TLF'!$C$19:$E$63,3,TRUE)+VLOOKUP(F107,'AD Fees &amp; TLF'!$G$19:$H$27,2,TRUE)+SUM('AD Fees &amp; TLF'!$H$30:$H$31)</x:f>
        <x:v>865</x:v>
      </x:c>
      <x:c r="J107" s="28" t="n">
        <x:f>VLOOKUP(G107,'AD Fees &amp; TLF'!$C$19:$E$63,2,TRUE)+G107*VLOOKUP(G107,'AD Fees &amp; TLF'!$C$19:$E$63,3,TRUE)+VLOOKUP(G107,'AD Fees &amp; TLF'!$G$19:$H$27,2,TRUE)+SUM('AD Fees &amp; TLF'!$H$30:$H$31)</x:f>
        <x:v>1060</x:v>
      </x:c>
      <x:c r="K107" s="28" t="n">
        <x:f>VLOOKUP(H107,'AD Fees &amp; TLF'!$C$19:$E$63,2,TRUE)+H107*VLOOKUP(H107,'AD Fees &amp; TLF'!$C$19:$E$63,3,TRUE)+VLOOKUP(H107,'AD Fees &amp; TLF'!$G$19:$H$27,2,TRUE)+SUM('AD Fees &amp; TLF'!$H$30:$H$31)</x:f>
        <x:v>1195</x:v>
      </x:c>
      <x:c r="L107" s="28" t="n">
        <x:f>I107*'Vehicle Economics'!$K$13+J107*'Vehicle Economics'!$K$14+K107*'Vehicle Economics'!$K$15</x:f>
        <x:v>1045</x:v>
      </x:c>
      <x:c r="M107" s="28" t="n">
        <x:f>L107+E107*'Vehicle Economics'!F$9</x:f>
        <x:v>1287.9745853636805</x:v>
      </x:c>
    </x:row>
    <x:row r="108" ht="18" customHeight="1">
      <x:c r="A108" s="2"/>
      <x:c r="B108" s="2"/>
      <x:c r="C108" s="2" t="str">
        <x:v>Pickup / 8</x:v>
      </x:c>
      <x:c r="D108" s="28" t="n">
        <x:f>'Vehicle Economics'!$J$9*EXP(-'Vehicle Economics'!$J$10*(8-10))*'Vehicle Economics'!F$7</x:f>
        <x:v>18321.04137240255</x:v>
      </x:c>
      <x:c r="E108" s="28" t="n">
        <x:f>D108*'Vehicle Economics'!F$8</x:f>
        <x:v>5496.312411720764</x:v>
      </x:c>
      <x:c r="F108" s="28" t="n">
        <x:f>$E108*'Vehicle Economics'!$J$13</x:f>
        <x:v>2748.156205860382</x:v>
      </x:c>
      <x:c r="G108" s="28" t="n">
        <x:f>$E108*'Vehicle Economics'!$J$14</x:f>
        <x:v>5496.312411720764</x:v>
      </x:c>
      <x:c r="H108" s="28" t="n">
        <x:f>$E108*'Vehicle Economics'!$J$15</x:f>
        <x:v>8244.468617581148</x:v>
      </x:c>
      <x:c r="I108" s="28" t="n">
        <x:f>VLOOKUP(F108,'AD Fees &amp; TLF'!$C$19:$E$63,2,TRUE)+F108*VLOOKUP(F108,'AD Fees &amp; TLF'!$C$19:$E$63,3,TRUE)+VLOOKUP(F108,'AD Fees &amp; TLF'!$G$19:$H$27,2,TRUE)+SUM('AD Fees &amp; TLF'!$H$30:$H$31)</x:f>
        <x:v>820</x:v>
      </x:c>
      <x:c r="J108" s="28" t="n">
        <x:f>VLOOKUP(G108,'AD Fees &amp; TLF'!$C$19:$E$63,2,TRUE)+G108*VLOOKUP(G108,'AD Fees &amp; TLF'!$C$19:$E$63,3,TRUE)+VLOOKUP(G108,'AD Fees &amp; TLF'!$G$19:$H$27,2,TRUE)+SUM('AD Fees &amp; TLF'!$H$30:$H$31)</x:f>
        <x:v>995</x:v>
      </x:c>
      <x:c r="K108" s="28" t="n">
        <x:f>VLOOKUP(H108,'AD Fees &amp; TLF'!$C$19:$E$63,2,TRUE)+H108*VLOOKUP(H108,'AD Fees &amp; TLF'!$C$19:$E$63,3,TRUE)+VLOOKUP(H108,'AD Fees &amp; TLF'!$G$19:$H$27,2,TRUE)+SUM('AD Fees &amp; TLF'!$H$30:$H$31)</x:f>
        <x:v>1175</x:v>
      </x:c>
      <x:c r="L108" s="28" t="n">
        <x:f>I108*'Vehicle Economics'!$K$13+J108*'Vehicle Economics'!$K$14+K108*'Vehicle Economics'!$K$15</x:f>
        <x:v>996.25</x:v>
      </x:c>
      <x:c r="M108" s="28" t="n">
        <x:f>L108+E108*'Vehicle Economics'!F$9</x:f>
        <x:v>1216.1024964688306</x:v>
      </x:c>
    </x:row>
    <x:row r="109" ht="18" customHeight="1">
      <x:c r="A109" s="2"/>
      <x:c r="B109" s="2"/>
      <x:c r="C109" s="2" t="str">
        <x:v>Pickup / 9</x:v>
      </x:c>
      <x:c r="D109" s="28" t="n">
        <x:f>'Vehicle Economics'!$J$9*EXP(-'Vehicle Economics'!$J$10*(9-10))*'Vehicle Economics'!F$7</x:f>
        <x:v>16577.563771134715</x:v>
      </x:c>
      <x:c r="E109" s="28" t="n">
        <x:f>D109*'Vehicle Economics'!F$8</x:f>
        <x:v>4973.269131340415</x:v>
      </x:c>
      <x:c r="F109" s="28" t="n">
        <x:f>$E109*'Vehicle Economics'!$J$13</x:f>
        <x:v>2486.6345656702074</x:v>
      </x:c>
      <x:c r="G109" s="28" t="n">
        <x:f>$E109*'Vehicle Economics'!$J$14</x:f>
        <x:v>4973.269131340415</x:v>
      </x:c>
      <x:c r="H109" s="28" t="n">
        <x:f>$E109*'Vehicle Economics'!$J$15</x:f>
        <x:v>7459.903697010623</x:v>
      </x:c>
      <x:c r="I109" s="28" t="n">
        <x:f>VLOOKUP(F109,'AD Fees &amp; TLF'!$C$19:$E$63,2,TRUE)+F109*VLOOKUP(F109,'AD Fees &amp; TLF'!$C$19:$E$63,3,TRUE)+VLOOKUP(F109,'AD Fees &amp; TLF'!$G$19:$H$27,2,TRUE)+SUM('AD Fees &amp; TLF'!$H$30:$H$31)</x:f>
        <x:v>780</x:v>
      </x:c>
      <x:c r="J109" s="28" t="n">
        <x:f>VLOOKUP(G109,'AD Fees &amp; TLF'!$C$19:$E$63,2,TRUE)+G109*VLOOKUP(G109,'AD Fees &amp; TLF'!$C$19:$E$63,3,TRUE)+VLOOKUP(G109,'AD Fees &amp; TLF'!$G$19:$H$27,2,TRUE)+SUM('AD Fees &amp; TLF'!$H$30:$H$31)</x:f>
        <x:v>970</x:v>
      </x:c>
      <x:c r="K109" s="28" t="n">
        <x:f>VLOOKUP(H109,'AD Fees &amp; TLF'!$C$19:$E$63,2,TRUE)+H109*VLOOKUP(H109,'AD Fees &amp; TLF'!$C$19:$E$63,3,TRUE)+VLOOKUP(H109,'AD Fees &amp; TLF'!$G$19:$H$27,2,TRUE)+SUM('AD Fees &amp; TLF'!$H$30:$H$31)</x:f>
        <x:v>1115</x:v>
      </x:c>
      <x:c r="L109" s="28" t="n">
        <x:f>I109*'Vehicle Economics'!$K$13+J109*'Vehicle Economics'!$K$14+K109*'Vehicle Economics'!$K$15</x:f>
        <x:v>958.75</x:v>
      </x:c>
      <x:c r="M109" s="28" t="n">
        <x:f>L109+E109*'Vehicle Economics'!F$9</x:f>
        <x:v>1157.6807652536165</x:v>
      </x:c>
    </x:row>
    <x:row r="110" ht="18" customHeight="1">
      <x:c r="A110" s="2"/>
      <x:c r="B110" s="2"/>
      <x:c r="C110" s="2" t="str">
        <x:v>Pickup / 10</x:v>
      </x:c>
      <x:c r="D110" s="28" t="n">
        <x:f>'Vehicle Economics'!$J$9*EXP(-'Vehicle Economics'!$J$10*(10-10))*'Vehicle Economics'!F$7</x:f>
        <x:v>15000</x:v>
      </x:c>
      <x:c r="E110" s="28" t="n">
        <x:f>D110*'Vehicle Economics'!F$8</x:f>
        <x:v>4500</x:v>
      </x:c>
      <x:c r="F110" s="28" t="n">
        <x:f>$E110*'Vehicle Economics'!$J$13</x:f>
        <x:v>2250</x:v>
      </x:c>
      <x:c r="G110" s="28" t="n">
        <x:f>$E110*'Vehicle Economics'!$J$14</x:f>
        <x:v>4500</x:v>
      </x:c>
      <x:c r="H110" s="28" t="n">
        <x:f>$E110*'Vehicle Economics'!$J$15</x:f>
        <x:v>6750</x:v>
      </x:c>
      <x:c r="I110" s="28" t="n">
        <x:f>VLOOKUP(F110,'AD Fees &amp; TLF'!$C$19:$E$63,2,TRUE)+F110*VLOOKUP(F110,'AD Fees &amp; TLF'!$C$19:$E$63,3,TRUE)+VLOOKUP(F110,'AD Fees &amp; TLF'!$G$19:$H$27,2,TRUE)+SUM('AD Fees &amp; TLF'!$H$30:$H$31)</x:f>
        <x:v>745</x:v>
      </x:c>
      <x:c r="J110" s="28" t="n">
        <x:f>VLOOKUP(G110,'AD Fees &amp; TLF'!$C$19:$E$63,2,TRUE)+G110*VLOOKUP(G110,'AD Fees &amp; TLF'!$C$19:$E$63,3,TRUE)+VLOOKUP(G110,'AD Fees &amp; TLF'!$G$19:$H$27,2,TRUE)+SUM('AD Fees &amp; TLF'!$H$30:$H$31)</x:f>
        <x:v>970</x:v>
      </x:c>
      <x:c r="K110" s="28" t="n">
        <x:f>VLOOKUP(H110,'AD Fees &amp; TLF'!$C$19:$E$63,2,TRUE)+H110*VLOOKUP(H110,'AD Fees &amp; TLF'!$C$19:$E$63,3,TRUE)+VLOOKUP(H110,'AD Fees &amp; TLF'!$G$19:$H$27,2,TRUE)+SUM('AD Fees &amp; TLF'!$H$30:$H$31)</x:f>
        <x:v>1080</x:v>
      </x:c>
      <x:c r="L110" s="28" t="n">
        <x:f>I110*'Vehicle Economics'!$K$13+J110*'Vehicle Economics'!$K$14+K110*'Vehicle Economics'!$K$15</x:f>
        <x:v>941.25</x:v>
      </x:c>
      <x:c r="M110" s="28" t="n">
        <x:f>L110+E110*'Vehicle Economics'!F$9</x:f>
        <x:v>1121.25</x:v>
      </x:c>
    </x:row>
    <x:row r="111" ht="18" customHeight="1">
      <x:c r="A111" s="2"/>
      <x:c r="B111" s="2"/>
      <x:c r="C111" s="2" t="str">
        <x:v>Pickup / 11</x:v>
      </x:c>
      <x:c r="D111" s="28" t="n">
        <x:f>'Vehicle Economics'!$J$9*EXP(-'Vehicle Economics'!$J$10*(11-10))*'Vehicle Economics'!F$7</x:f>
        <x:v>13572.561270539392</x:v>
      </x:c>
      <x:c r="E111" s="28" t="n">
        <x:f>D111*'Vehicle Economics'!F$8</x:f>
        <x:v>4071.7683811618176</x:v>
      </x:c>
      <x:c r="F111" s="28" t="n">
        <x:f>$E111*'Vehicle Economics'!$J$13</x:f>
        <x:v>2035.8841905809088</x:v>
      </x:c>
      <x:c r="G111" s="28" t="n">
        <x:f>$E111*'Vehicle Economics'!$J$14</x:f>
        <x:v>4071.7683811618176</x:v>
      </x:c>
      <x:c r="H111" s="28" t="n">
        <x:f>$E111*'Vehicle Economics'!$J$15</x:f>
        <x:v>6107.652571742727</x:v>
      </x:c>
      <x:c r="I111" s="28" t="n">
        <x:f>VLOOKUP(F111,'AD Fees &amp; TLF'!$C$19:$E$63,2,TRUE)+F111*VLOOKUP(F111,'AD Fees &amp; TLF'!$C$19:$E$63,3,TRUE)+VLOOKUP(F111,'AD Fees &amp; TLF'!$G$19:$H$27,2,TRUE)+SUM('AD Fees &amp; TLF'!$H$30:$H$31)</x:f>
        <x:v>745</x:v>
      </x:c>
      <x:c r="J111" s="28" t="n">
        <x:f>VLOOKUP(G111,'AD Fees &amp; TLF'!$C$19:$E$63,2,TRUE)+G111*VLOOKUP(G111,'AD Fees &amp; TLF'!$C$19:$E$63,3,TRUE)+VLOOKUP(G111,'AD Fees &amp; TLF'!$G$19:$H$27,2,TRUE)+SUM('AD Fees &amp; TLF'!$H$30:$H$31)</x:f>
        <x:v>945</x:v>
      </x:c>
      <x:c r="K111" s="28" t="n">
        <x:f>VLOOKUP(H111,'AD Fees &amp; TLF'!$C$19:$E$63,2,TRUE)+H111*VLOOKUP(H111,'AD Fees &amp; TLF'!$C$19:$E$63,3,TRUE)+VLOOKUP(H111,'AD Fees &amp; TLF'!$G$19:$H$27,2,TRUE)+SUM('AD Fees &amp; TLF'!$H$30:$H$31)</x:f>
        <x:v>1060</x:v>
      </x:c>
      <x:c r="L111" s="28" t="n">
        <x:f>I111*'Vehicle Economics'!$K$13+J111*'Vehicle Economics'!$K$14+K111*'Vehicle Economics'!$K$15</x:f>
        <x:v>923.75</x:v>
      </x:c>
      <x:c r="M111" s="28" t="n">
        <x:f>L111+E111*'Vehicle Economics'!F$9</x:f>
        <x:v>1086.6207352464728</x:v>
      </x:c>
    </x:row>
    <x:row r="112" ht="18" customHeight="1">
      <x:c r="A112" s="2"/>
      <x:c r="B112" s="2"/>
      <x:c r="C112" s="2" t="str">
        <x:v>Pickup / 12</x:v>
      </x:c>
      <x:c r="D112" s="28" t="n">
        <x:f>'Vehicle Economics'!$J$9*EXP(-'Vehicle Economics'!$J$10*(12-10))*'Vehicle Economics'!F$7</x:f>
        <x:v>12280.961296169728</x:v>
      </x:c>
      <x:c r="E112" s="28" t="n">
        <x:f>D112*'Vehicle Economics'!F$8</x:f>
        <x:v>3684.288388850918</x:v>
      </x:c>
      <x:c r="F112" s="28" t="n">
        <x:f>$E112*'Vehicle Economics'!$J$13</x:f>
        <x:v>1842.144194425459</x:v>
      </x:c>
      <x:c r="G112" s="28" t="n">
        <x:f>$E112*'Vehicle Economics'!$J$14</x:f>
        <x:v>3684.288388850918</x:v>
      </x:c>
      <x:c r="H112" s="28" t="n">
        <x:f>$E112*'Vehicle Economics'!$J$15</x:f>
        <x:v>5526.432583276377</x:v>
      </x:c>
      <x:c r="I112" s="28" t="n">
        <x:f>VLOOKUP(F112,'AD Fees &amp; TLF'!$C$19:$E$63,2,TRUE)+F112*VLOOKUP(F112,'AD Fees &amp; TLF'!$C$19:$E$63,3,TRUE)+VLOOKUP(F112,'AD Fees &amp; TLF'!$G$19:$H$27,2,TRUE)+SUM('AD Fees &amp; TLF'!$H$30:$H$31)</x:f>
        <x:v>705</x:v>
      </x:c>
      <x:c r="J112" s="28" t="n">
        <x:f>VLOOKUP(G112,'AD Fees &amp; TLF'!$C$19:$E$63,2,TRUE)+G112*VLOOKUP(G112,'AD Fees &amp; TLF'!$C$19:$E$63,3,TRUE)+VLOOKUP(G112,'AD Fees &amp; TLF'!$G$19:$H$27,2,TRUE)+SUM('AD Fees &amp; TLF'!$H$30:$H$31)</x:f>
        <x:v>915</x:v>
      </x:c>
      <x:c r="K112" s="28" t="n">
        <x:f>VLOOKUP(H112,'AD Fees &amp; TLF'!$C$19:$E$63,2,TRUE)+H112*VLOOKUP(H112,'AD Fees &amp; TLF'!$C$19:$E$63,3,TRUE)+VLOOKUP(H112,'AD Fees &amp; TLF'!$G$19:$H$27,2,TRUE)+SUM('AD Fees &amp; TLF'!$H$30:$H$31)</x:f>
        <x:v>1020</x:v>
      </x:c>
      <x:c r="L112" s="28" t="n">
        <x:f>I112*'Vehicle Economics'!$K$13+J112*'Vehicle Economics'!$K$14+K112*'Vehicle Economics'!$K$15</x:f>
        <x:v>888.75</x:v>
      </x:c>
      <x:c r="M112" s="28" t="n">
        <x:f>L112+E112*'Vehicle Economics'!F$9</x:f>
        <x:v>1036.1215355540367</x:v>
      </x:c>
    </x:row>
    <x:row r="113" ht="18" customHeight="1">
      <x:c r="A113" s="2"/>
      <x:c r="B113" s="2"/>
      <x:c r="C113" s="2" t="str">
        <x:v>Pickup / 13</x:v>
      </x:c>
      <x:c r="D113" s="28" t="n">
        <x:f>'Vehicle Economics'!$J$9*EXP(-'Vehicle Economics'!$J$10*(13-10))*'Vehicle Economics'!F$7</x:f>
        <x:v>11112.273310225766</x:v>
      </x:c>
      <x:c r="E113" s="28" t="n">
        <x:f>D113*'Vehicle Economics'!F$8</x:f>
        <x:v>3333.6819930677298</x:v>
      </x:c>
      <x:c r="F113" s="28" t="n">
        <x:f>$E113*'Vehicle Economics'!$J$13</x:f>
        <x:v>1666.8409965338649</x:v>
      </x:c>
      <x:c r="G113" s="28" t="n">
        <x:f>$E113*'Vehicle Economics'!$J$14</x:f>
        <x:v>3333.6819930677298</x:v>
      </x:c>
      <x:c r="H113" s="28" t="n">
        <x:f>$E113*'Vehicle Economics'!$J$15</x:f>
        <x:v>5000.522989601594</x:v>
      </x:c>
      <x:c r="I113" s="28" t="n">
        <x:f>VLOOKUP(F113,'AD Fees &amp; TLF'!$C$19:$E$63,2,TRUE)+F113*VLOOKUP(F113,'AD Fees &amp; TLF'!$C$19:$E$63,3,TRUE)+VLOOKUP(F113,'AD Fees &amp; TLF'!$G$19:$H$27,2,TRUE)+SUM('AD Fees &amp; TLF'!$H$30:$H$31)</x:f>
        <x:v>660</x:v>
      </x:c>
      <x:c r="J113" s="28" t="n">
        <x:f>VLOOKUP(G113,'AD Fees &amp; TLF'!$C$19:$E$63,2,TRUE)+G113*VLOOKUP(G113,'AD Fees &amp; TLF'!$C$19:$E$63,3,TRUE)+VLOOKUP(G113,'AD Fees &amp; TLF'!$G$19:$H$27,2,TRUE)+SUM('AD Fees &amp; TLF'!$H$30:$H$31)</x:f>
        <x:v>865</x:v>
      </x:c>
      <x:c r="K113" s="28" t="n">
        <x:f>VLOOKUP(H113,'AD Fees &amp; TLF'!$C$19:$E$63,2,TRUE)+H113*VLOOKUP(H113,'AD Fees &amp; TLF'!$C$19:$E$63,3,TRUE)+VLOOKUP(H113,'AD Fees &amp; TLF'!$G$19:$H$27,2,TRUE)+SUM('AD Fees &amp; TLF'!$H$30:$H$31)</x:f>
        <x:v>995</x:v>
      </x:c>
      <x:c r="L113" s="28" t="n">
        <x:f>I113*'Vehicle Economics'!$K$13+J113*'Vehicle Economics'!$K$14+K113*'Vehicle Economics'!$K$15</x:f>
        <x:v>846.25</x:v>
      </x:c>
      <x:c r="M113" s="28" t="n">
        <x:f>L113+E113*'Vehicle Economics'!F$9</x:f>
        <x:v>979.5972797227092</x:v>
      </x:c>
    </x:row>
    <x:row r="114" ht="18" customHeight="1">
      <x:c r="A114" s="2"/>
      <x:c r="B114" s="2"/>
      <x:c r="C114" s="2" t="str">
        <x:v>Pickup / 14</x:v>
      </x:c>
      <x:c r="D114" s="28" t="n">
        <x:f>'Vehicle Economics'!$J$9*EXP(-'Vehicle Economics'!$J$10*(14-10))*'Vehicle Economics'!F$7</x:f>
        <x:v>10054.80069053459</x:v>
      </x:c>
      <x:c r="E114" s="28" t="n">
        <x:f>D114*'Vehicle Economics'!F$8</x:f>
        <x:v>3016.4402071603768</x:v>
      </x:c>
      <x:c r="F114" s="28" t="n">
        <x:f>$E114*'Vehicle Economics'!$J$13</x:f>
        <x:v>1508.2201035801884</x:v>
      </x:c>
      <x:c r="G114" s="28" t="n">
        <x:f>$E114*'Vehicle Economics'!$J$14</x:f>
        <x:v>3016.4402071603768</x:v>
      </x:c>
      <x:c r="H114" s="28" t="n">
        <x:f>$E114*'Vehicle Economics'!$J$15</x:f>
        <x:v>4524.660310740565</x:v>
      </x:c>
      <x:c r="I114" s="28" t="n">
        <x:f>VLOOKUP(F114,'AD Fees &amp; TLF'!$C$19:$E$63,2,TRUE)+F114*VLOOKUP(F114,'AD Fees &amp; TLF'!$C$19:$E$63,3,TRUE)+VLOOKUP(F114,'AD Fees &amp; TLF'!$G$19:$H$27,2,TRUE)+SUM('AD Fees &amp; TLF'!$H$30:$H$31)</x:f>
        <x:v>640</x:v>
      </x:c>
      <x:c r="J114" s="28" t="n">
        <x:f>VLOOKUP(G114,'AD Fees &amp; TLF'!$C$19:$E$63,2,TRUE)+G114*VLOOKUP(G114,'AD Fees &amp; TLF'!$C$19:$E$63,3,TRUE)+VLOOKUP(G114,'AD Fees &amp; TLF'!$G$19:$H$27,2,TRUE)+SUM('AD Fees &amp; TLF'!$H$30:$H$31)</x:f>
        <x:v>865</x:v>
      </x:c>
      <x:c r="K114" s="28" t="n">
        <x:f>VLOOKUP(H114,'AD Fees &amp; TLF'!$C$19:$E$63,2,TRUE)+H114*VLOOKUP(H114,'AD Fees &amp; TLF'!$C$19:$E$63,3,TRUE)+VLOOKUP(H114,'AD Fees &amp; TLF'!$G$19:$H$27,2,TRUE)+SUM('AD Fees &amp; TLF'!$H$30:$H$31)</x:f>
        <x:v>970</x:v>
      </x:c>
      <x:c r="L114" s="28" t="n">
        <x:f>I114*'Vehicle Economics'!$K$13+J114*'Vehicle Economics'!$K$14+K114*'Vehicle Economics'!$K$15</x:f>
        <x:v>835</x:v>
      </x:c>
      <x:c r="M114" s="28" t="n">
        <x:f>L114+E114*'Vehicle Economics'!F$9</x:f>
        <x:v>955.6576082864151</x:v>
      </x:c>
    </x:row>
    <x:row r="115" ht="18" customHeight="1">
      <x:c r="A115" s="2"/>
      <x:c r="B115" s="2"/>
      <x:c r="C115" s="2" t="str">
        <x:v>Pickup / 15</x:v>
      </x:c>
      <x:c r="D115" s="28" t="n">
        <x:f>'Vehicle Economics'!$J$9*EXP(-'Vehicle Economics'!$J$10*(15-10))*'Vehicle Economics'!F$7</x:f>
        <x:v>9097.9598956895</x:v>
      </x:c>
      <x:c r="E115" s="28" t="n">
        <x:f>D115*'Vehicle Economics'!F$8</x:f>
        <x:v>2729.38796870685</x:v>
      </x:c>
      <x:c r="F115" s="28" t="n">
        <x:f>$E115*'Vehicle Economics'!$J$13</x:f>
        <x:v>1364.693984353425</x:v>
      </x:c>
      <x:c r="G115" s="28" t="n">
        <x:f>$E115*'Vehicle Economics'!$J$14</x:f>
        <x:v>2729.38796870685</x:v>
      </x:c>
      <x:c r="H115" s="28" t="n">
        <x:f>$E115*'Vehicle Economics'!$J$15</x:f>
        <x:v>4094.0819530602753</x:v>
      </x:c>
      <x:c r="I115" s="28" t="n">
        <x:f>VLOOKUP(F115,'AD Fees &amp; TLF'!$C$19:$E$63,2,TRUE)+F115*VLOOKUP(F115,'AD Fees &amp; TLF'!$C$19:$E$63,3,TRUE)+VLOOKUP(F115,'AD Fees &amp; TLF'!$G$19:$H$27,2,TRUE)+SUM('AD Fees &amp; TLF'!$H$30:$H$31)</x:f>
        <x:v>595</x:v>
      </x:c>
      <x:c r="J115" s="28" t="n">
        <x:f>VLOOKUP(G115,'AD Fees &amp; TLF'!$C$19:$E$63,2,TRUE)+G115*VLOOKUP(G115,'AD Fees &amp; TLF'!$C$19:$E$63,3,TRUE)+VLOOKUP(G115,'AD Fees &amp; TLF'!$G$19:$H$27,2,TRUE)+SUM('AD Fees &amp; TLF'!$H$30:$H$31)</x:f>
        <x:v>820</x:v>
      </x:c>
      <x:c r="K115" s="28" t="n">
        <x:f>VLOOKUP(H115,'AD Fees &amp; TLF'!$C$19:$E$63,2,TRUE)+H115*VLOOKUP(H115,'AD Fees &amp; TLF'!$C$19:$E$63,3,TRUE)+VLOOKUP(H115,'AD Fees &amp; TLF'!$G$19:$H$27,2,TRUE)+SUM('AD Fees &amp; TLF'!$H$30:$H$31)</x:f>
        <x:v>945</x:v>
      </x:c>
      <x:c r="L115" s="28" t="n">
        <x:f>I115*'Vehicle Economics'!$K$13+J115*'Vehicle Economics'!$K$14+K115*'Vehicle Economics'!$K$15</x:f>
        <x:v>795</x:v>
      </x:c>
      <x:c r="M115" s="28" t="n">
        <x:f>L115+E115*'Vehicle Economics'!F$9</x:f>
        <x:v>904.175518748274</x:v>
      </x:c>
    </x:row>
    <x:row r="116" ht="18" customHeight="1">
      <x:c r="A116" s="2"/>
      <x:c r="B116" s="2"/>
      <x:c r="C116" s="2" t="str">
        <x:v>Pickup / 16</x:v>
      </x:c>
      <x:c r="D116" s="28" t="n">
        <x:f>'Vehicle Economics'!$J$9*EXP(-'Vehicle Economics'!$J$10*(16-10))*'Vehicle Economics'!F$7</x:f>
        <x:v>8232.174541410395</x:v>
      </x:c>
      <x:c r="E116" s="28" t="n">
        <x:f>D116*'Vehicle Economics'!F$8</x:f>
        <x:v>2469.6523624231186</x:v>
      </x:c>
      <x:c r="F116" s="28" t="n">
        <x:f>$E116*'Vehicle Economics'!$J$13</x:f>
        <x:v>1234.8261812115593</x:v>
      </x:c>
      <x:c r="G116" s="28" t="n">
        <x:f>$E116*'Vehicle Economics'!$J$14</x:f>
        <x:v>2469.6523624231186</x:v>
      </x:c>
      <x:c r="H116" s="28" t="n">
        <x:f>$E116*'Vehicle Economics'!$J$15</x:f>
        <x:v>3704.478543634678</x:v>
      </x:c>
      <x:c r="I116" s="28" t="n">
        <x:f>VLOOKUP(F116,'AD Fees &amp; TLF'!$C$19:$E$63,2,TRUE)+F116*VLOOKUP(F116,'AD Fees &amp; TLF'!$C$19:$E$63,3,TRUE)+VLOOKUP(F116,'AD Fees &amp; TLF'!$G$19:$H$27,2,TRUE)+SUM('AD Fees &amp; TLF'!$H$30:$H$31)</x:f>
        <x:v>580</x:v>
      </x:c>
      <x:c r="J116" s="28" t="n">
        <x:f>VLOOKUP(G116,'AD Fees &amp; TLF'!$C$19:$E$63,2,TRUE)+G116*VLOOKUP(G116,'AD Fees &amp; TLF'!$C$19:$E$63,3,TRUE)+VLOOKUP(G116,'AD Fees &amp; TLF'!$G$19:$H$27,2,TRUE)+SUM('AD Fees &amp; TLF'!$H$30:$H$31)</x:f>
        <x:v>780</x:v>
      </x:c>
      <x:c r="K116" s="28" t="n">
        <x:f>VLOOKUP(H116,'AD Fees &amp; TLF'!$C$19:$E$63,2,TRUE)+H116*VLOOKUP(H116,'AD Fees &amp; TLF'!$C$19:$E$63,3,TRUE)+VLOOKUP(H116,'AD Fees &amp; TLF'!$G$19:$H$27,2,TRUE)+SUM('AD Fees &amp; TLF'!$H$30:$H$31)</x:f>
        <x:v>915</x:v>
      </x:c>
      <x:c r="L116" s="28" t="n">
        <x:f>I116*'Vehicle Economics'!$K$13+J116*'Vehicle Economics'!$K$14+K116*'Vehicle Economics'!$K$15</x:f>
        <x:v>763.75</x:v>
      </x:c>
      <x:c r="M116" s="28" t="n">
        <x:f>L116+E116*'Vehicle Economics'!F$9</x:f>
        <x:v>862.5360944969248</x:v>
      </x:c>
    </x:row>
    <x:row r="117" ht="18" customHeight="1">
      <x:c r="A117" s="2"/>
      <x:c r="B117" s="2"/>
      <x:c r="C117" s="2" t="str">
        <x:v>Pickup / 17</x:v>
      </x:c>
      <x:c r="D117" s="28" t="n">
        <x:f>'Vehicle Economics'!$J$9*EXP(-'Vehicle Economics'!$J$10*(17-10))*'Vehicle Economics'!F$7</x:f>
        <x:v>7448.779556871143</x:v>
      </x:c>
      <x:c r="E117" s="28" t="n">
        <x:f>D117*'Vehicle Economics'!F$8</x:f>
        <x:v>2234.6338670613427</x:v>
      </x:c>
      <x:c r="F117" s="28" t="n">
        <x:f>$E117*'Vehicle Economics'!$J$13</x:f>
        <x:v>1117.3169335306713</x:v>
      </x:c>
      <x:c r="G117" s="28" t="n">
        <x:f>$E117*'Vehicle Economics'!$J$14</x:f>
        <x:v>2234.6338670613427</x:v>
      </x:c>
      <x:c r="H117" s="28" t="n">
        <x:f>$E117*'Vehicle Economics'!$J$15</x:f>
        <x:v>3351.9508005920143</x:v>
      </x:c>
      <x:c r="I117" s="28" t="n">
        <x:f>VLOOKUP(F117,'AD Fees &amp; TLF'!$C$19:$E$63,2,TRUE)+F117*VLOOKUP(F117,'AD Fees &amp; TLF'!$C$19:$E$63,3,TRUE)+VLOOKUP(F117,'AD Fees &amp; TLF'!$G$19:$H$27,2,TRUE)+SUM('AD Fees &amp; TLF'!$H$30:$H$31)</x:f>
        <x:v>560</x:v>
      </x:c>
      <x:c r="J117" s="28" t="n">
        <x:f>VLOOKUP(G117,'AD Fees &amp; TLF'!$C$19:$E$63,2,TRUE)+G117*VLOOKUP(G117,'AD Fees &amp; TLF'!$C$19:$E$63,3,TRUE)+VLOOKUP(G117,'AD Fees &amp; TLF'!$G$19:$H$27,2,TRUE)+SUM('AD Fees &amp; TLF'!$H$30:$H$31)</x:f>
        <x:v>745</x:v>
      </x:c>
      <x:c r="K117" s="28" t="n">
        <x:f>VLOOKUP(H117,'AD Fees &amp; TLF'!$C$19:$E$63,2,TRUE)+H117*VLOOKUP(H117,'AD Fees &amp; TLF'!$C$19:$E$63,3,TRUE)+VLOOKUP(H117,'AD Fees &amp; TLF'!$G$19:$H$27,2,TRUE)+SUM('AD Fees &amp; TLF'!$H$30:$H$31)</x:f>
        <x:v>865</x:v>
      </x:c>
      <x:c r="L117" s="28" t="n">
        <x:f>I117*'Vehicle Economics'!$K$13+J117*'Vehicle Economics'!$K$14+K117*'Vehicle Economics'!$K$15</x:f>
        <x:v>728.75</x:v>
      </x:c>
      <x:c r="M117" s="28" t="n">
        <x:f>L117+E117*'Vehicle Economics'!F$9</x:f>
        <x:v>818.1353546824537</x:v>
      </x:c>
    </x:row>
    <x:row r="118" ht="18" customHeight="1">
      <x:c r="A118" s="2"/>
      <x:c r="B118" s="2"/>
      <x:c r="C118" s="2" t="str">
        <x:v>Pickup / 18</x:v>
      </x:c>
      <x:c r="D118" s="28" t="n">
        <x:f>'Vehicle Economics'!$J$9*EXP(-'Vehicle Economics'!$J$10*(18-10))*'Vehicle Economics'!F$7</x:f>
        <x:v>6739.934461758324</x:v>
      </x:c>
      <x:c r="E118" s="28" t="n">
        <x:f>D118*'Vehicle Economics'!F$8</x:f>
        <x:v>2021.980338527497</x:v>
      </x:c>
      <x:c r="F118" s="28" t="n">
        <x:f>$E118*'Vehicle Economics'!$J$13</x:f>
        <x:v>1010.9901692637485</x:v>
      </x:c>
      <x:c r="G118" s="28" t="n">
        <x:f>$E118*'Vehicle Economics'!$J$14</x:f>
        <x:v>2021.980338527497</x:v>
      </x:c>
      <x:c r="H118" s="28" t="n">
        <x:f>$E118*'Vehicle Economics'!$J$15</x:f>
        <x:v>3032.9705077912454</x:v>
      </x:c>
      <x:c r="I118" s="28" t="n">
        <x:f>VLOOKUP(F118,'AD Fees &amp; TLF'!$C$19:$E$63,2,TRUE)+F118*VLOOKUP(F118,'AD Fees &amp; TLF'!$C$19:$E$63,3,TRUE)+VLOOKUP(F118,'AD Fees &amp; TLF'!$G$19:$H$27,2,TRUE)+SUM('AD Fees &amp; TLF'!$H$30:$H$31)</x:f>
        <x:v>560</x:v>
      </x:c>
      <x:c r="J118" s="28" t="n">
        <x:f>VLOOKUP(G118,'AD Fees &amp; TLF'!$C$19:$E$63,2,TRUE)+G118*VLOOKUP(G118,'AD Fees &amp; TLF'!$C$19:$E$63,3,TRUE)+VLOOKUP(G118,'AD Fees &amp; TLF'!$G$19:$H$27,2,TRUE)+SUM('AD Fees &amp; TLF'!$H$30:$H$31)</x:f>
        <x:v>745</x:v>
      </x:c>
      <x:c r="K118" s="28" t="n">
        <x:f>VLOOKUP(H118,'AD Fees &amp; TLF'!$C$19:$E$63,2,TRUE)+H118*VLOOKUP(H118,'AD Fees &amp; TLF'!$C$19:$E$63,3,TRUE)+VLOOKUP(H118,'AD Fees &amp; TLF'!$G$19:$H$27,2,TRUE)+SUM('AD Fees &amp; TLF'!$H$30:$H$31)</x:f>
        <x:v>865</x:v>
      </x:c>
      <x:c r="L118" s="28" t="n">
        <x:f>I118*'Vehicle Economics'!$K$13+J118*'Vehicle Economics'!$K$14+K118*'Vehicle Economics'!$K$15</x:f>
        <x:v>728.75</x:v>
      </x:c>
      <x:c r="M118" s="28" t="n">
        <x:f>L118+E118*'Vehicle Economics'!F$9</x:f>
        <x:v>809.6292135411</x:v>
      </x:c>
    </x:row>
    <x:row r="119" ht="18" customHeight="1">
      <x:c r="A119" s="2"/>
      <x:c r="B119" s="2"/>
      <x:c r="C119" s="2" t="str">
        <x:v>Pickup / 19</x:v>
      </x:c>
      <x:c r="D119" s="28" t="n">
        <x:f>'Vehicle Economics'!$J$9*EXP(-'Vehicle Economics'!$J$10*(19-10))*'Vehicle Economics'!F$7</x:f>
        <x:v>6098.544896108987</x:v>
      </x:c>
      <x:c r="E119" s="28" t="n">
        <x:f>D119*'Vehicle Economics'!F$8</x:f>
        <x:v>1829.5634688326961</x:v>
      </x:c>
      <x:c r="F119" s="28" t="n">
        <x:f>$E119*'Vehicle Economics'!$J$13</x:f>
        <x:v>914.7817344163481</x:v>
      </x:c>
      <x:c r="G119" s="28" t="n">
        <x:f>$E119*'Vehicle Economics'!$J$14</x:f>
        <x:v>1829.5634688326961</x:v>
      </x:c>
      <x:c r="H119" s="28" t="n">
        <x:f>$E119*'Vehicle Economics'!$J$15</x:f>
        <x:v>2744.345203249044</x:v>
      </x:c>
      <x:c r="I119" s="28" t="n">
        <x:f>VLOOKUP(F119,'AD Fees &amp; TLF'!$C$19:$E$63,2,TRUE)+F119*VLOOKUP(F119,'AD Fees &amp; TLF'!$C$19:$E$63,3,TRUE)+VLOOKUP(F119,'AD Fees &amp; TLF'!$G$19:$H$27,2,TRUE)+SUM('AD Fees &amp; TLF'!$H$30:$H$31)</x:f>
        <x:v>485</x:v>
      </x:c>
      <x:c r="J119" s="28" t="n">
        <x:f>VLOOKUP(G119,'AD Fees &amp; TLF'!$C$19:$E$63,2,TRUE)+G119*VLOOKUP(G119,'AD Fees &amp; TLF'!$C$19:$E$63,3,TRUE)+VLOOKUP(G119,'AD Fees &amp; TLF'!$G$19:$H$27,2,TRUE)+SUM('AD Fees &amp; TLF'!$H$30:$H$31)</x:f>
        <x:v>705</x:v>
      </x:c>
      <x:c r="K119" s="28" t="n">
        <x:f>VLOOKUP(H119,'AD Fees &amp; TLF'!$C$19:$E$63,2,TRUE)+H119*VLOOKUP(H119,'AD Fees &amp; TLF'!$C$19:$E$63,3,TRUE)+VLOOKUP(H119,'AD Fees &amp; TLF'!$G$19:$H$27,2,TRUE)+SUM('AD Fees &amp; TLF'!$H$30:$H$31)</x:f>
        <x:v>820</x:v>
      </x:c>
      <x:c r="L119" s="28" t="n">
        <x:f>I119*'Vehicle Economics'!$K$13+J119*'Vehicle Economics'!$K$14+K119*'Vehicle Economics'!$K$15</x:f>
        <x:v>678.75</x:v>
      </x:c>
      <x:c r="M119" s="28" t="n">
        <x:f>L119+E119*'Vehicle Economics'!F$9</x:f>
        <x:v>751.9325387533079</x:v>
      </x:c>
    </x:row>
    <x:row r="120" ht="18" customHeight="1">
      <x:c r="A120" s="2"/>
      <x:c r="B120" s="2"/>
      <x:c r="C120" s="2" t="str">
        <x:v>Pickup / 20</x:v>
      </x:c>
      <x:c r="D120" s="28" t="n">
        <x:f>'Vehicle Economics'!$J$9*EXP(-'Vehicle Economics'!$J$10*(20-10))*'Vehicle Economics'!F$7</x:f>
        <x:v>5518.191617571635</x:v>
      </x:c>
      <x:c r="E120" s="28" t="n">
        <x:f>D120*'Vehicle Economics'!F$8</x:f>
        <x:v>1655.4574852714904</x:v>
      </x:c>
      <x:c r="F120" s="28" t="n">
        <x:f>$E120*'Vehicle Economics'!$J$13</x:f>
        <x:v>827.7287426357452</x:v>
      </x:c>
      <x:c r="G120" s="28" t="n">
        <x:f>$E120*'Vehicle Economics'!$J$14</x:f>
        <x:v>1655.4574852714904</x:v>
      </x:c>
      <x:c r="H120" s="28" t="n">
        <x:f>$E120*'Vehicle Economics'!$J$15</x:f>
        <x:v>2483.1862279072357</x:v>
      </x:c>
      <x:c r="I120" s="28" t="n">
        <x:f>VLOOKUP(F120,'AD Fees &amp; TLF'!$C$19:$E$63,2,TRUE)+F120*VLOOKUP(F120,'AD Fees &amp; TLF'!$C$19:$E$63,3,TRUE)+VLOOKUP(F120,'AD Fees &amp; TLF'!$G$19:$H$27,2,TRUE)+SUM('AD Fees &amp; TLF'!$H$30:$H$31)</x:f>
        <x:v>460</x:v>
      </x:c>
      <x:c r="J120" s="28" t="n">
        <x:f>VLOOKUP(G120,'AD Fees &amp; TLF'!$C$19:$E$63,2,TRUE)+G120*VLOOKUP(G120,'AD Fees &amp; TLF'!$C$19:$E$63,3,TRUE)+VLOOKUP(G120,'AD Fees &amp; TLF'!$G$19:$H$27,2,TRUE)+SUM('AD Fees &amp; TLF'!$H$30:$H$31)</x:f>
        <x:v>660</x:v>
      </x:c>
      <x:c r="K120" s="28" t="n">
        <x:f>VLOOKUP(H120,'AD Fees &amp; TLF'!$C$19:$E$63,2,TRUE)+H120*VLOOKUP(H120,'AD Fees &amp; TLF'!$C$19:$E$63,3,TRUE)+VLOOKUP(H120,'AD Fees &amp; TLF'!$G$19:$H$27,2,TRUE)+SUM('AD Fees &amp; TLF'!$H$30:$H$31)</x:f>
        <x:v>780</x:v>
      </x:c>
      <x:c r="L120" s="28" t="n">
        <x:f>I120*'Vehicle Economics'!$K$13+J120*'Vehicle Economics'!$K$14+K120*'Vehicle Economics'!$K$15</x:f>
        <x:v>640</x:v>
      </x:c>
      <x:c r="M120" s="28" t="n">
        <x:f>L120+E120*'Vehicle Economics'!F$9</x:f>
        <x:v>706.2182994108596</x:v>
      </x:c>
    </x:row>
    <x:row r="121" ht="18" customHeight="1">
      <x:c r="A121" s="2"/>
      <x:c r="B121" s="2"/>
      <x:c r="C121" s="2" t="str">
        <x:v>Pickup / 21</x:v>
      </x:c>
      <x:c r="D121" s="28" t="n">
        <x:f>'Vehicle Economics'!$J$9*EXP(-'Vehicle Economics'!$J$10*(21-10))*'Vehicle Economics'!F$7</x:f>
        <x:v>4993.066255471193</x:v>
      </x:c>
      <x:c r="E121" s="28" t="n">
        <x:f>D121*'Vehicle Economics'!F$8</x:f>
        <x:v>1497.9198766413576</x:v>
      </x:c>
      <x:c r="F121" s="28" t="n">
        <x:f>$E121*'Vehicle Economics'!$J$13</x:f>
        <x:v>748.9599383206788</x:v>
      </x:c>
      <x:c r="G121" s="28" t="n">
        <x:f>$E121*'Vehicle Economics'!$J$14</x:f>
        <x:v>1497.9198766413576</x:v>
      </x:c>
      <x:c r="H121" s="28" t="n">
        <x:f>$E121*'Vehicle Economics'!$J$15</x:f>
        <x:v>2246.8798149620366</x:v>
      </x:c>
      <x:c r="I121" s="28" t="n">
        <x:f>VLOOKUP(F121,'AD Fees &amp; TLF'!$C$19:$E$63,2,TRUE)+F121*VLOOKUP(F121,'AD Fees &amp; TLF'!$C$19:$E$63,3,TRUE)+VLOOKUP(F121,'AD Fees &amp; TLF'!$G$19:$H$27,2,TRUE)+SUM('AD Fees &amp; TLF'!$H$30:$H$31)</x:f>
        <x:v>435</x:v>
      </x:c>
      <x:c r="J121" s="28" t="n">
        <x:f>VLOOKUP(G121,'AD Fees &amp; TLF'!$C$19:$E$63,2,TRUE)+G121*VLOOKUP(G121,'AD Fees &amp; TLF'!$C$19:$E$63,3,TRUE)+VLOOKUP(G121,'AD Fees &amp; TLF'!$G$19:$H$27,2,TRUE)+SUM('AD Fees &amp; TLF'!$H$30:$H$31)</x:f>
        <x:v>615</x:v>
      </x:c>
      <x:c r="K121" s="28" t="n">
        <x:f>VLOOKUP(H121,'AD Fees &amp; TLF'!$C$19:$E$63,2,TRUE)+H121*VLOOKUP(H121,'AD Fees &amp; TLF'!$C$19:$E$63,3,TRUE)+VLOOKUP(H121,'AD Fees &amp; TLF'!$G$19:$H$27,2,TRUE)+SUM('AD Fees &amp; TLF'!$H$30:$H$31)</x:f>
        <x:v>745</x:v>
      </x:c>
      <x:c r="L121" s="28" t="n">
        <x:f>I121*'Vehicle Economics'!$K$13+J121*'Vehicle Economics'!$K$14+K121*'Vehicle Economics'!$K$15</x:f>
        <x:v>602.5</x:v>
      </x:c>
      <x:c r="M121" s="28" t="n">
        <x:f>L121+E121*'Vehicle Economics'!F$9</x:f>
        <x:v>662.4167950656544</x:v>
      </x:c>
    </x:row>
    <x:row r="122" ht="18" customHeight="1">
      <x:c r="A122" s="2"/>
      <x:c r="B122" s="2"/>
      <x:c r="C122" s="2" t="str">
        <x:v>Pickup / 22</x:v>
      </x:c>
      <x:c r="D122" s="28" t="n">
        <x:f>'Vehicle Economics'!$J$9*EXP(-'Vehicle Economics'!$J$10*(22-10))*'Vehicle Economics'!F$7</x:f>
        <x:v>4517.91317868303</x:v>
      </x:c>
      <x:c r="E122" s="28" t="n">
        <x:f>D122*'Vehicle Economics'!F$8</x:f>
        <x:v>1355.373953604909</x:v>
      </x:c>
      <x:c r="F122" s="28" t="n">
        <x:f>$E122*'Vehicle Economics'!$J$13</x:f>
        <x:v>677.6869768024545</x:v>
      </x:c>
      <x:c r="G122" s="28" t="n">
        <x:f>$E122*'Vehicle Economics'!$J$14</x:f>
        <x:v>1355.373953604909</x:v>
      </x:c>
      <x:c r="H122" s="28" t="n">
        <x:f>$E122*'Vehicle Economics'!$J$15</x:f>
        <x:v>2033.0609304073637</x:v>
      </x:c>
      <x:c r="I122" s="28" t="n">
        <x:f>VLOOKUP(F122,'AD Fees &amp; TLF'!$C$19:$E$63,2,TRUE)+F122*VLOOKUP(F122,'AD Fees &amp; TLF'!$C$19:$E$63,3,TRUE)+VLOOKUP(F122,'AD Fees &amp; TLF'!$G$19:$H$27,2,TRUE)+SUM('AD Fees &amp; TLF'!$H$30:$H$31)</x:f>
        <x:v>405</x:v>
      </x:c>
      <x:c r="J122" s="28" t="n">
        <x:f>VLOOKUP(G122,'AD Fees &amp; TLF'!$C$19:$E$63,2,TRUE)+G122*VLOOKUP(G122,'AD Fees &amp; TLF'!$C$19:$E$63,3,TRUE)+VLOOKUP(G122,'AD Fees &amp; TLF'!$G$19:$H$27,2,TRUE)+SUM('AD Fees &amp; TLF'!$H$30:$H$31)</x:f>
        <x:v>595</x:v>
      </x:c>
      <x:c r="K122" s="28" t="n">
        <x:f>VLOOKUP(H122,'AD Fees &amp; TLF'!$C$19:$E$63,2,TRUE)+H122*VLOOKUP(H122,'AD Fees &amp; TLF'!$C$19:$E$63,3,TRUE)+VLOOKUP(H122,'AD Fees &amp; TLF'!$G$19:$H$27,2,TRUE)+SUM('AD Fees &amp; TLF'!$H$30:$H$31)</x:f>
        <x:v>745</x:v>
      </x:c>
      <x:c r="L122" s="28" t="n">
        <x:f>I122*'Vehicle Economics'!$K$13+J122*'Vehicle Economics'!$K$14+K122*'Vehicle Economics'!$K$15</x:f>
        <x:v>585</x:v>
      </x:c>
      <x:c r="M122" s="28" t="n">
        <x:f>L122+E122*'Vehicle Economics'!F$9</x:f>
        <x:v>639.2149581441963</x:v>
      </x:c>
    </x:row>
    <x:row r="123" ht="18" customHeight="1">
      <x:c r="A123" s="2"/>
      <x:c r="B123" s="2"/>
      <x:c r="C123" s="2" t="str">
        <x:v>Pickup / 23</x:v>
      </x:c>
      <x:c r="D123" s="28" t="n">
        <x:f>'Vehicle Economics'!$J$9*EXP(-'Vehicle Economics'!$J$10*(23-10))*'Vehicle Economics'!F$7</x:f>
        <x:v>4087.9768955101886</x:v>
      </x:c>
      <x:c r="E123" s="28" t="n">
        <x:f>D123*'Vehicle Economics'!F$8</x:f>
        <x:v>1226.3930686530566</x:v>
      </x:c>
      <x:c r="F123" s="28" t="n">
        <x:f>$E123*'Vehicle Economics'!$J$13</x:f>
        <x:v>613.1965343265283</x:v>
      </x:c>
      <x:c r="G123" s="28" t="n">
        <x:f>$E123*'Vehicle Economics'!$J$14</x:f>
        <x:v>1226.3930686530566</x:v>
      </x:c>
      <x:c r="H123" s="28" t="n">
        <x:f>$E123*'Vehicle Economics'!$J$15</x:f>
        <x:v>1839.589602979585</x:v>
      </x:c>
      <x:c r="I123" s="28" t="n">
        <x:f>VLOOKUP(F123,'AD Fees &amp; TLF'!$C$19:$E$63,2,TRUE)+F123*VLOOKUP(F123,'AD Fees &amp; TLF'!$C$19:$E$63,3,TRUE)+VLOOKUP(F123,'AD Fees &amp; TLF'!$G$19:$H$27,2,TRUE)+SUM('AD Fees &amp; TLF'!$H$30:$H$31)</x:f>
        <x:v>405</x:v>
      </x:c>
      <x:c r="J123" s="28" t="n">
        <x:f>VLOOKUP(G123,'AD Fees &amp; TLF'!$C$19:$E$63,2,TRUE)+G123*VLOOKUP(G123,'AD Fees &amp; TLF'!$C$19:$E$63,3,TRUE)+VLOOKUP(G123,'AD Fees &amp; TLF'!$G$19:$H$27,2,TRUE)+SUM('AD Fees &amp; TLF'!$H$30:$H$31)</x:f>
        <x:v>580</x:v>
      </x:c>
      <x:c r="K123" s="28" t="n">
        <x:f>VLOOKUP(H123,'AD Fees &amp; TLF'!$C$19:$E$63,2,TRUE)+H123*VLOOKUP(H123,'AD Fees &amp; TLF'!$C$19:$E$63,3,TRUE)+VLOOKUP(H123,'AD Fees &amp; TLF'!$G$19:$H$27,2,TRUE)+SUM('AD Fees &amp; TLF'!$H$30:$H$31)</x:f>
        <x:v>705</x:v>
      </x:c>
      <x:c r="L123" s="28" t="n">
        <x:f>I123*'Vehicle Economics'!$K$13+J123*'Vehicle Economics'!$K$14+K123*'Vehicle Economics'!$K$15</x:f>
        <x:v>567.5</x:v>
      </x:c>
      <x:c r="M123" s="28" t="n">
        <x:f>L123+E123*'Vehicle Economics'!F$9</x:f>
        <x:v>616.5557227461222</x:v>
      </x:c>
    </x:row>
    <x:row r="124" ht="18" customHeight="1">
      <x:c r="A124" s="2"/>
      <x:c r="B124" s="2"/>
      <x:c r="C124" s="2" t="str">
        <x:v>Pickup / 24</x:v>
      </x:c>
      <x:c r="D124" s="28" t="n">
        <x:f>'Vehicle Economics'!$J$9*EXP(-'Vehicle Economics'!$J$10*(24-10))*'Vehicle Economics'!F$7</x:f>
        <x:v>3698.9544591240965</x:v>
      </x:c>
      <x:c r="E124" s="28" t="n">
        <x:f>D124*'Vehicle Economics'!F$8</x:f>
        <x:v>1109.686337737229</x:v>
      </x:c>
      <x:c r="F124" s="28" t="n">
        <x:f>$E124*'Vehicle Economics'!$J$13</x:f>
        <x:v>554.8431688686145</x:v>
      </x:c>
      <x:c r="G124" s="28" t="n">
        <x:f>$E124*'Vehicle Economics'!$J$14</x:f>
        <x:v>1109.686337737229</x:v>
      </x:c>
      <x:c r="H124" s="28" t="n">
        <x:f>$E124*'Vehicle Economics'!$J$15</x:f>
        <x:v>1664.5295066058434</x:v>
      </x:c>
      <x:c r="I124" s="28" t="n">
        <x:f>VLOOKUP(F124,'AD Fees &amp; TLF'!$C$19:$E$63,2,TRUE)+F124*VLOOKUP(F124,'AD Fees &amp; TLF'!$C$19:$E$63,3,TRUE)+VLOOKUP(F124,'AD Fees &amp; TLF'!$G$19:$H$27,2,TRUE)+SUM('AD Fees &amp; TLF'!$H$30:$H$31)</x:f>
        <x:v>375</x:v>
      </x:c>
      <x:c r="J124" s="28" t="n">
        <x:f>VLOOKUP(G124,'AD Fees &amp; TLF'!$C$19:$E$63,2,TRUE)+G124*VLOOKUP(G124,'AD Fees &amp; TLF'!$C$19:$E$63,3,TRUE)+VLOOKUP(G124,'AD Fees &amp; TLF'!$G$19:$H$27,2,TRUE)+SUM('AD Fees &amp; TLF'!$H$30:$H$31)</x:f>
        <x:v>560</x:v>
      </x:c>
      <x:c r="K124" s="28" t="n">
        <x:f>VLOOKUP(H124,'AD Fees &amp; TLF'!$C$19:$E$63,2,TRUE)+H124*VLOOKUP(H124,'AD Fees &amp; TLF'!$C$19:$E$63,3,TRUE)+VLOOKUP(H124,'AD Fees &amp; TLF'!$G$19:$H$27,2,TRUE)+SUM('AD Fees &amp; TLF'!$H$30:$H$31)</x:f>
        <x:v>660</x:v>
      </x:c>
      <x:c r="L124" s="28" t="n">
        <x:f>I124*'Vehicle Economics'!$K$13+J124*'Vehicle Economics'!$K$14+K124*'Vehicle Economics'!$K$15</x:f>
        <x:v>538.75</x:v>
      </x:c>
      <x:c r="M124" s="28" t="n">
        <x:f>L124+E124*'Vehicle Economics'!F$9</x:f>
        <x:v>583.1374535094892</x:v>
      </x:c>
    </x:row>
    <x:row r="125" ht="18" customHeight="1">
      <x:c r="A125" s="2"/>
      <x:c r="B125" s="2"/>
      <x:c r="C125" s="2" t="str">
        <x:v>Pickup / 25</x:v>
      </x:c>
      <x:c r="D125" s="28" t="n">
        <x:f>'Vehicle Economics'!$J$9*EXP(-'Vehicle Economics'!$J$10*(25-10))*'Vehicle Economics'!F$7</x:f>
        <x:v>3346.9524022264477</x:v>
      </x:c>
      <x:c r="E125" s="28" t="n">
        <x:f>D125*'Vehicle Economics'!F$8</x:f>
        <x:v>1004.0857206679343</x:v>
      </x:c>
      <x:c r="F125" s="28" t="n">
        <x:f>$E125*'Vehicle Economics'!$J$13</x:f>
        <x:v>502.04286033396716</x:v>
      </x:c>
      <x:c r="G125" s="28" t="n">
        <x:f>$E125*'Vehicle Economics'!$J$14</x:f>
        <x:v>1004.0857206679343</x:v>
      </x:c>
      <x:c r="H125" s="28" t="n">
        <x:f>$E125*'Vehicle Economics'!$J$15</x:f>
        <x:v>1506.1285810019015</x:v>
      </x:c>
      <x:c r="I125" s="28" t="n">
        <x:f>VLOOKUP(F125,'AD Fees &amp; TLF'!$C$19:$E$63,2,TRUE)+F125*VLOOKUP(F125,'AD Fees &amp; TLF'!$C$19:$E$63,3,TRUE)+VLOOKUP(F125,'AD Fees &amp; TLF'!$G$19:$H$27,2,TRUE)+SUM('AD Fees &amp; TLF'!$H$30:$H$31)</x:f>
        <x:v>370</x:v>
      </x:c>
      <x:c r="J125" s="28" t="n">
        <x:f>VLOOKUP(G125,'AD Fees &amp; TLF'!$C$19:$E$63,2,TRUE)+G125*VLOOKUP(G125,'AD Fees &amp; TLF'!$C$19:$E$63,3,TRUE)+VLOOKUP(G125,'AD Fees &amp; TLF'!$G$19:$H$27,2,TRUE)+SUM('AD Fees &amp; TLF'!$H$30:$H$31)</x:f>
        <x:v>560</x:v>
      </x:c>
      <x:c r="K125" s="28" t="n">
        <x:f>VLOOKUP(H125,'AD Fees &amp; TLF'!$C$19:$E$63,2,TRUE)+H125*VLOOKUP(H125,'AD Fees &amp; TLF'!$C$19:$E$63,3,TRUE)+VLOOKUP(H125,'AD Fees &amp; TLF'!$G$19:$H$27,2,TRUE)+SUM('AD Fees &amp; TLF'!$H$30:$H$31)</x:f>
        <x:v>640</x:v>
      </x:c>
      <x:c r="L125" s="28" t="n">
        <x:f>I125*'Vehicle Economics'!$K$13+J125*'Vehicle Economics'!$K$14+K125*'Vehicle Economics'!$K$15</x:f>
        <x:v>532.5</x:v>
      </x:c>
      <x:c r="M125" s="28" t="n">
        <x:f>L125+E125*'Vehicle Economics'!F$9</x:f>
        <x:v>572.6634288267173</x:v>
      </x:c>
    </x:row>
    <x:row r="126" ht="18" customHeight="1">
      <x:c r="A126" s="2"/>
      <x:c r="B126" s="2"/>
      <x:c r="C126" s="2" t="str">
        <x:v>Pickup / 26</x:v>
      </x:c>
      <x:c r="D126" s="28" t="n">
        <x:f>'Vehicle Economics'!$J$9*EXP(-'Vehicle Economics'!$J$10*(26-10))*'Vehicle Economics'!F$7</x:f>
        <x:v>3028.447769919831</x:v>
      </x:c>
      <x:c r="E126" s="28" t="n">
        <x:f>D126*'Vehicle Economics'!F$8</x:f>
        <x:v>908.5343309759493</x:v>
      </x:c>
      <x:c r="F126" s="28" t="n">
        <x:f>$E126*'Vehicle Economics'!$J$13</x:f>
        <x:v>454.26716548797464</x:v>
      </x:c>
      <x:c r="G126" s="28" t="n">
        <x:f>$E126*'Vehicle Economics'!$J$14</x:f>
        <x:v>908.5343309759493</x:v>
      </x:c>
      <x:c r="H126" s="28" t="n">
        <x:f>$E126*'Vehicle Economics'!$J$15</x:f>
        <x:v>1362.801496463924</x:v>
      </x:c>
      <x:c r="I126" s="28" t="n">
        <x:f>VLOOKUP(F126,'AD Fees &amp; TLF'!$C$19:$E$63,2,TRUE)+F126*VLOOKUP(F126,'AD Fees &amp; TLF'!$C$19:$E$63,3,TRUE)+VLOOKUP(F126,'AD Fees &amp; TLF'!$G$19:$H$27,2,TRUE)+SUM('AD Fees &amp; TLF'!$H$30:$H$31)</x:f>
        <x:v>335</x:v>
      </x:c>
      <x:c r="J126" s="28" t="n">
        <x:f>VLOOKUP(G126,'AD Fees &amp; TLF'!$C$19:$E$63,2,TRUE)+G126*VLOOKUP(G126,'AD Fees &amp; TLF'!$C$19:$E$63,3,TRUE)+VLOOKUP(G126,'AD Fees &amp; TLF'!$G$19:$H$27,2,TRUE)+SUM('AD Fees &amp; TLF'!$H$30:$H$31)</x:f>
        <x:v>485</x:v>
      </x:c>
      <x:c r="K126" s="28" t="n">
        <x:f>VLOOKUP(H126,'AD Fees &amp; TLF'!$C$19:$E$63,2,TRUE)+H126*VLOOKUP(H126,'AD Fees &amp; TLF'!$C$19:$E$63,3,TRUE)+VLOOKUP(H126,'AD Fees &amp; TLF'!$G$19:$H$27,2,TRUE)+SUM('AD Fees &amp; TLF'!$H$30:$H$31)</x:f>
        <x:v>595</x:v>
      </x:c>
      <x:c r="L126" s="28" t="n">
        <x:f>I126*'Vehicle Economics'!$K$13+J126*'Vehicle Economics'!$K$14+K126*'Vehicle Economics'!$K$15</x:f>
        <x:v>475</x:v>
      </x:c>
      <x:c r="M126" s="28" t="n">
        <x:f>L126+E126*'Vehicle Economics'!F$9</x:f>
        <x:v>511.341373239038</x:v>
      </x:c>
    </x:row>
    <x:row r="127" ht="18" customHeight="1">
      <x:c r="A127" s="2"/>
      <x:c r="B127" s="2"/>
      <x:c r="C127" s="2" t="str">
        <x:v>Pickup / 27</x:v>
      </x:c>
      <x:c r="D127" s="28" t="n">
        <x:f>'Vehicle Economics'!$J$9*EXP(-'Vehicle Economics'!$J$10*(27-10))*'Vehicle Economics'!F$7</x:f>
        <x:v>2740.2528607910194</x:v>
      </x:c>
      <x:c r="E127" s="28" t="n">
        <x:f>D127*'Vehicle Economics'!F$8</x:f>
        <x:v>822.0758582373059</x:v>
      </x:c>
      <x:c r="F127" s="28" t="n">
        <x:f>$E127*'Vehicle Economics'!$J$13</x:f>
        <x:v>411.0379291186529</x:v>
      </x:c>
      <x:c r="G127" s="28" t="n">
        <x:f>$E127*'Vehicle Economics'!$J$14</x:f>
        <x:v>822.0758582373059</x:v>
      </x:c>
      <x:c r="H127" s="28" t="n">
        <x:f>$E127*'Vehicle Economics'!$J$15</x:f>
        <x:v>1233.1137873559587</x:v>
      </x:c>
      <x:c r="I127" s="28" t="n">
        <x:f>VLOOKUP(F127,'AD Fees &amp; TLF'!$C$19:$E$63,2,TRUE)+F127*VLOOKUP(F127,'AD Fees &amp; TLF'!$C$19:$E$63,3,TRUE)+VLOOKUP(F127,'AD Fees &amp; TLF'!$G$19:$H$27,2,TRUE)+SUM('AD Fees &amp; TLF'!$H$30:$H$31)</x:f>
        <x:v>325</x:v>
      </x:c>
      <x:c r="J127" s="28" t="n">
        <x:f>VLOOKUP(G127,'AD Fees &amp; TLF'!$C$19:$E$63,2,TRUE)+G127*VLOOKUP(G127,'AD Fees &amp; TLF'!$C$19:$E$63,3,TRUE)+VLOOKUP(G127,'AD Fees &amp; TLF'!$G$19:$H$27,2,TRUE)+SUM('AD Fees &amp; TLF'!$H$30:$H$31)</x:f>
        <x:v>460</x:v>
      </x:c>
      <x:c r="K127" s="28" t="n">
        <x:f>VLOOKUP(H127,'AD Fees &amp; TLF'!$C$19:$E$63,2,TRUE)+H127*VLOOKUP(H127,'AD Fees &amp; TLF'!$C$19:$E$63,3,TRUE)+VLOOKUP(H127,'AD Fees &amp; TLF'!$G$19:$H$27,2,TRUE)+SUM('AD Fees &amp; TLF'!$H$30:$H$31)</x:f>
        <x:v>580</x:v>
      </x:c>
      <x:c r="L127" s="28" t="n">
        <x:f>I127*'Vehicle Economics'!$K$13+J127*'Vehicle Economics'!$K$14+K127*'Vehicle Economics'!$K$15</x:f>
        <x:v>456.25</x:v>
      </x:c>
      <x:c r="M127" s="28" t="n">
        <x:f>L127+E127*'Vehicle Economics'!F$9</x:f>
        <x:v>489.13303432949226</x:v>
      </x:c>
    </x:row>
    <x:row r="128" ht="18" customHeight="1">
      <x:c r="A128" s="2"/>
      <x:c r="B128" s="2"/>
      <x:c r="C128" s="2" t="str">
        <x:v>Pickup / 28</x:v>
      </x:c>
      <x:c r="D128" s="28" t="n">
        <x:f>'Vehicle Economics'!$J$9*EXP(-'Vehicle Economics'!$J$10*(28-10))*'Vehicle Economics'!F$7</x:f>
        <x:v>2479.483323323798</x:v>
      </x:c>
      <x:c r="E128" s="28" t="n">
        <x:f>D128*'Vehicle Economics'!F$8</x:f>
        <x:v>743.8449969971393</x:v>
      </x:c>
      <x:c r="F128" s="28" t="n">
        <x:f>$E128*'Vehicle Economics'!$J$13</x:f>
        <x:v>371.92249849856967</x:v>
      </x:c>
      <x:c r="G128" s="28" t="n">
        <x:f>$E128*'Vehicle Economics'!$J$14</x:f>
        <x:v>743.8449969971393</x:v>
      </x:c>
      <x:c r="H128" s="28" t="n">
        <x:f>$E128*'Vehicle Economics'!$J$15</x:f>
        <x:v>1115.767495495709</x:v>
      </x:c>
      <x:c r="I128" s="28" t="n">
        <x:f>VLOOKUP(F128,'AD Fees &amp; TLF'!$C$19:$E$63,2,TRUE)+F128*VLOOKUP(F128,'AD Fees &amp; TLF'!$C$19:$E$63,3,TRUE)+VLOOKUP(F128,'AD Fees &amp; TLF'!$G$19:$H$27,2,TRUE)+SUM('AD Fees &amp; TLF'!$H$30:$H$31)</x:f>
        <x:v>295</x:v>
      </x:c>
      <x:c r="J128" s="28" t="n">
        <x:f>VLOOKUP(G128,'AD Fees &amp; TLF'!$C$19:$E$63,2,TRUE)+G128*VLOOKUP(G128,'AD Fees &amp; TLF'!$C$19:$E$63,3,TRUE)+VLOOKUP(G128,'AD Fees &amp; TLF'!$G$19:$H$27,2,TRUE)+SUM('AD Fees &amp; TLF'!$H$30:$H$31)</x:f>
        <x:v>435</x:v>
      </x:c>
      <x:c r="K128" s="28" t="n">
        <x:f>VLOOKUP(H128,'AD Fees &amp; TLF'!$C$19:$E$63,2,TRUE)+H128*VLOOKUP(H128,'AD Fees &amp; TLF'!$C$19:$E$63,3,TRUE)+VLOOKUP(H128,'AD Fees &amp; TLF'!$G$19:$H$27,2,TRUE)+SUM('AD Fees &amp; TLF'!$H$30:$H$31)</x:f>
        <x:v>560</x:v>
      </x:c>
      <x:c r="L128" s="28" t="n">
        <x:f>I128*'Vehicle Economics'!$K$13+J128*'Vehicle Economics'!$K$14+K128*'Vehicle Economics'!$K$15</x:f>
        <x:v>431.25</x:v>
      </x:c>
      <x:c r="M128" s="28" t="n">
        <x:f>L128+E128*'Vehicle Economics'!F$9</x:f>
        <x:v>461.00379987988555</x:v>
      </x:c>
    </x:row>
    <x:row r="129" ht="18" customHeight="1">
      <x:c r="A129" s="2"/>
      <x:c r="B129" s="2"/>
      <x:c r="C129" s="2" t="str">
        <x:v>Pickup / 29</x:v>
      </x:c>
      <x:c r="D129" s="28" t="n">
        <x:f>'Vehicle Economics'!$J$9*EXP(-'Vehicle Economics'!$J$10*(29-10))*'Vehicle Economics'!F$7</x:f>
        <x:v>2243.5292883395255</x:v>
      </x:c>
      <x:c r="E129" s="28" t="n">
        <x:f>D129*'Vehicle Economics'!F$8</x:f>
        <x:v>673.0587865018576</x:v>
      </x:c>
      <x:c r="F129" s="28" t="n">
        <x:f>$E129*'Vehicle Economics'!$J$13</x:f>
        <x:v>336.5293932509288</x:v>
      </x:c>
      <x:c r="G129" s="28" t="n">
        <x:f>$E129*'Vehicle Economics'!$J$14</x:f>
        <x:v>673.0587865018576</x:v>
      </x:c>
      <x:c r="H129" s="28" t="n">
        <x:f>$E129*'Vehicle Economics'!$J$15</x:f>
        <x:v>1009.5881797527865</x:v>
      </x:c>
      <x:c r="I129" s="28" t="n">
        <x:f>VLOOKUP(F129,'AD Fees &amp; TLF'!$C$19:$E$63,2,TRUE)+F129*VLOOKUP(F129,'AD Fees &amp; TLF'!$C$19:$E$63,3,TRUE)+VLOOKUP(F129,'AD Fees &amp; TLF'!$G$19:$H$27,2,TRUE)+SUM('AD Fees &amp; TLF'!$H$30:$H$31)</x:f>
        <x:v>287.5</x:v>
      </x:c>
      <x:c r="J129" s="28" t="n">
        <x:f>VLOOKUP(G129,'AD Fees &amp; TLF'!$C$19:$E$63,2,TRUE)+G129*VLOOKUP(G129,'AD Fees &amp; TLF'!$C$19:$E$63,3,TRUE)+VLOOKUP(G129,'AD Fees &amp; TLF'!$G$19:$H$27,2,TRUE)+SUM('AD Fees &amp; TLF'!$H$30:$H$31)</x:f>
        <x:v>405</x:v>
      </x:c>
      <x:c r="K129" s="28" t="n">
        <x:f>VLOOKUP(H129,'AD Fees &amp; TLF'!$C$19:$E$63,2,TRUE)+H129*VLOOKUP(H129,'AD Fees &amp; TLF'!$C$19:$E$63,3,TRUE)+VLOOKUP(H129,'AD Fees &amp; TLF'!$G$19:$H$27,2,TRUE)+SUM('AD Fees &amp; TLF'!$H$30:$H$31)</x:f>
        <x:v>560</x:v>
      </x:c>
      <x:c r="L129" s="28" t="n">
        <x:f>I129*'Vehicle Economics'!$K$13+J129*'Vehicle Economics'!$K$14+K129*'Vehicle Economics'!$K$15</x:f>
        <x:v>414.375</x:v>
      </x:c>
      <x:c r="M129" s="28" t="n">
        <x:f>L129+E129*'Vehicle Economics'!F$9</x:f>
        <x:v>441.2973514600743</x:v>
      </x:c>
    </x:row>
    <x:row r="130" ht="18" customHeight="1">
      <x:c r="A130" s="2"/>
      <x:c r="B130" s="2"/>
      <x:c r="C130" s="2" t="str">
        <x:v>Pickup / 30</x:v>
      </x:c>
      <x:c r="D130" s="28" t="n">
        <x:f>'Vehicle Economics'!$J$9*EXP(-'Vehicle Economics'!$J$10*(30-10))*'Vehicle Economics'!F$7</x:f>
        <x:v>2030.0292485491907</x:v>
      </x:c>
      <x:c r="E130" s="28" t="n">
        <x:f>D130*'Vehicle Economics'!F$8</x:f>
        <x:v>609.0087745647572</x:v>
      </x:c>
      <x:c r="F130" s="28" t="n">
        <x:f>$E130*'Vehicle Economics'!$J$13</x:f>
        <x:v>304.5043872823786</x:v>
      </x:c>
      <x:c r="G130" s="28" t="n">
        <x:f>$E130*'Vehicle Economics'!$J$14</x:f>
        <x:v>609.0087745647572</x:v>
      </x:c>
      <x:c r="H130" s="28" t="n">
        <x:f>$E130*'Vehicle Economics'!$J$15</x:f>
        <x:v>913.5131618471358</x:v>
      </x:c>
      <x:c r="I130" s="28" t="n">
        <x:f>VLOOKUP(F130,'AD Fees &amp; TLF'!$C$19:$E$63,2,TRUE)+F130*VLOOKUP(F130,'AD Fees &amp; TLF'!$C$19:$E$63,3,TRUE)+VLOOKUP(F130,'AD Fees &amp; TLF'!$G$19:$H$27,2,TRUE)+SUM('AD Fees &amp; TLF'!$H$30:$H$31)</x:f>
        <x:v>287.5</x:v>
      </x:c>
      <x:c r="J130" s="28" t="n">
        <x:f>VLOOKUP(G130,'AD Fees &amp; TLF'!$C$19:$E$63,2,TRUE)+G130*VLOOKUP(G130,'AD Fees &amp; TLF'!$C$19:$E$63,3,TRUE)+VLOOKUP(G130,'AD Fees &amp; TLF'!$G$19:$H$27,2,TRUE)+SUM('AD Fees &amp; TLF'!$H$30:$H$31)</x:f>
        <x:v>405</x:v>
      </x:c>
      <x:c r="K130" s="28" t="n">
        <x:f>VLOOKUP(H130,'AD Fees &amp; TLF'!$C$19:$E$63,2,TRUE)+H130*VLOOKUP(H130,'AD Fees &amp; TLF'!$C$19:$E$63,3,TRUE)+VLOOKUP(H130,'AD Fees &amp; TLF'!$G$19:$H$27,2,TRUE)+SUM('AD Fees &amp; TLF'!$H$30:$H$31)</x:f>
        <x:v>485</x:v>
      </x:c>
      <x:c r="L130" s="28" t="n">
        <x:f>I130*'Vehicle Economics'!$K$13+J130*'Vehicle Economics'!$K$14+K130*'Vehicle Economics'!$K$15</x:f>
        <x:v>395.625</x:v>
      </x:c>
      <x:c r="M130" s="28" t="n">
        <x:f>L130+E130*'Vehicle Economics'!F$9</x:f>
        <x:v>419.98535098259026</x:v>
      </x:c>
    </x:row>
    <x:row r="131" ht="18" customHeight="1">
      <x:c r="A131" s="2"/>
      <x:c r="B131" s="2"/>
      <x:c r="C131" s="2" t="str">
        <x:v>Pickup / 31</x:v>
      </x:c>
      <x:c r="D131" s="28" t="n">
        <x:f>'Vehicle Economics'!$J$9*EXP(-'Vehicle Economics'!$J$10*(31-10))*'Vehicle Economics'!F$7</x:f>
        <x:v>1836.8464237947287</x:v>
      </x:c>
      <x:c r="E131" s="28" t="n">
        <x:f>D131*'Vehicle Economics'!F$8</x:f>
        <x:v>551.0539271384185</x:v>
      </x:c>
      <x:c r="F131" s="28" t="n">
        <x:f>$E131*'Vehicle Economics'!$J$13</x:f>
        <x:v>275.5269635692093</x:v>
      </x:c>
      <x:c r="G131" s="28" t="n">
        <x:f>$E131*'Vehicle Economics'!$J$14</x:f>
        <x:v>551.0539271384185</x:v>
      </x:c>
      <x:c r="H131" s="28" t="n">
        <x:f>$E131*'Vehicle Economics'!$J$15</x:f>
        <x:v>826.5808907076278</x:v>
      </x:c>
      <x:c r="I131" s="28" t="n">
        <x:f>VLOOKUP(F131,'AD Fees &amp; TLF'!$C$19:$E$63,2,TRUE)+F131*VLOOKUP(F131,'AD Fees &amp; TLF'!$C$19:$E$63,3,TRUE)+VLOOKUP(F131,'AD Fees &amp; TLF'!$G$19:$H$27,2,TRUE)+SUM('AD Fees &amp; TLF'!$H$30:$H$31)</x:f>
        <x:v>280</x:v>
      </x:c>
      <x:c r="J131" s="28" t="n">
        <x:f>VLOOKUP(G131,'AD Fees &amp; TLF'!$C$19:$E$63,2,TRUE)+G131*VLOOKUP(G131,'AD Fees &amp; TLF'!$C$19:$E$63,3,TRUE)+VLOOKUP(G131,'AD Fees &amp; TLF'!$G$19:$H$27,2,TRUE)+SUM('AD Fees &amp; TLF'!$H$30:$H$31)</x:f>
        <x:v>375</x:v>
      </x:c>
      <x:c r="K131" s="28" t="n">
        <x:f>VLOOKUP(H131,'AD Fees &amp; TLF'!$C$19:$E$63,2,TRUE)+H131*VLOOKUP(H131,'AD Fees &amp; TLF'!$C$19:$E$63,3,TRUE)+VLOOKUP(H131,'AD Fees &amp; TLF'!$G$19:$H$27,2,TRUE)+SUM('AD Fees &amp; TLF'!$H$30:$H$31)</x:f>
        <x:v>460</x:v>
      </x:c>
      <x:c r="L131" s="28" t="n">
        <x:f>I131*'Vehicle Economics'!$K$13+J131*'Vehicle Economics'!$K$14+K131*'Vehicle Economics'!$K$15</x:f>
        <x:v>372.5</x:v>
      </x:c>
      <x:c r="M131" s="28" t="n">
        <x:f>L131+E131*'Vehicle Economics'!F$9</x:f>
        <x:v>394.54215708553676</x:v>
      </x:c>
    </x:row>
    <x:row r="132" ht="18" customHeight="1">
      <x:c r="A132" s="2"/>
      <x:c r="B132" s="2"/>
      <x:c r="C132" s="2" t="str">
        <x:v>Pickup / 32</x:v>
      </x:c>
      <x:c r="D132" s="28" t="n">
        <x:f>'Vehicle Economics'!$J$9*EXP(-'Vehicle Economics'!$J$10*(32-10))*'Vehicle Economics'!F$7</x:f>
        <x:v>1662.0473754350082</x:v>
      </x:c>
      <x:c r="E132" s="28" t="n">
        <x:f>D132*'Vehicle Economics'!F$8</x:f>
        <x:v>498.61421263050244</x:v>
      </x:c>
      <x:c r="F132" s="28" t="n">
        <x:f>$E132*'Vehicle Economics'!$J$13</x:f>
        <x:v>249.30710631525122</x:v>
      </x:c>
      <x:c r="G132" s="28" t="n">
        <x:f>$E132*'Vehicle Economics'!$J$14</x:f>
        <x:v>498.61421263050244</x:v>
      </x:c>
      <x:c r="H132" s="28" t="n">
        <x:f>$E132*'Vehicle Economics'!$J$15</x:f>
        <x:v>747.9213189457537</x:v>
      </x:c>
      <x:c r="I132" s="28" t="n">
        <x:f>VLOOKUP(F132,'AD Fees &amp; TLF'!$C$19:$E$63,2,TRUE)+F132*VLOOKUP(F132,'AD Fees &amp; TLF'!$C$19:$E$63,3,TRUE)+VLOOKUP(F132,'AD Fees &amp; TLF'!$G$19:$H$27,2,TRUE)+SUM('AD Fees &amp; TLF'!$H$30:$H$31)</x:f>
        <x:v>280</x:v>
      </x:c>
      <x:c r="J132" s="28" t="n">
        <x:f>VLOOKUP(G132,'AD Fees &amp; TLF'!$C$19:$E$63,2,TRUE)+G132*VLOOKUP(G132,'AD Fees &amp; TLF'!$C$19:$E$63,3,TRUE)+VLOOKUP(G132,'AD Fees &amp; TLF'!$G$19:$H$27,2,TRUE)+SUM('AD Fees &amp; TLF'!$H$30:$H$31)</x:f>
        <x:v>335</x:v>
      </x:c>
      <x:c r="K132" s="28" t="n">
        <x:f>VLOOKUP(H132,'AD Fees &amp; TLF'!$C$19:$E$63,2,TRUE)+H132*VLOOKUP(H132,'AD Fees &amp; TLF'!$C$19:$E$63,3,TRUE)+VLOOKUP(H132,'AD Fees &amp; TLF'!$G$19:$H$27,2,TRUE)+SUM('AD Fees &amp; TLF'!$H$30:$H$31)</x:f>
        <x:v>435</x:v>
      </x:c>
      <x:c r="L132" s="28" t="n">
        <x:f>I132*'Vehicle Economics'!$K$13+J132*'Vehicle Economics'!$K$14+K132*'Vehicle Economics'!$K$15</x:f>
        <x:v>346.25</x:v>
      </x:c>
      <x:c r="M132" s="28" t="n">
        <x:f>L132+E132*'Vehicle Economics'!F$9</x:f>
        <x:v>366.1945685052201</x:v>
      </x:c>
    </x:row>
    <x:row r="133" ht="18" customHeight="1">
      <x:c r="A133" s="2"/>
      <x:c r="B133" s="2"/>
      <x:c r="C133" s="2" t="str">
        <x:v>Pickup / 33</x:v>
      </x:c>
      <x:c r="D133" s="28" t="n">
        <x:f>'Vehicle Economics'!$J$9*EXP(-'Vehicle Economics'!$J$10*(33-10))*'Vehicle Economics'!F$7</x:f>
        <x:v>1503.8826558420556</x:v>
      </x:c>
      <x:c r="E133" s="28" t="n">
        <x:f>D133*'Vehicle Economics'!F$8</x:f>
        <x:v>451.16479675261667</x:v>
      </x:c>
      <x:c r="F133" s="28" t="n">
        <x:f>$E133*'Vehicle Economics'!$J$13</x:f>
        <x:v>225.58239837630833</x:v>
      </x:c>
      <x:c r="G133" s="28" t="n">
        <x:f>$E133*'Vehicle Economics'!$J$14</x:f>
        <x:v>451.16479675261667</x:v>
      </x:c>
      <x:c r="H133" s="28" t="n">
        <x:f>$E133*'Vehicle Economics'!$J$15</x:f>
        <x:v>676.747195128925</x:v>
      </x:c>
      <x:c r="I133" s="28" t="n">
        <x:f>VLOOKUP(F133,'AD Fees &amp; TLF'!$C$19:$E$63,2,TRUE)+F133*VLOOKUP(F133,'AD Fees &amp; TLF'!$C$19:$E$63,3,TRUE)+VLOOKUP(F133,'AD Fees &amp; TLF'!$G$19:$H$27,2,TRUE)+SUM('AD Fees &amp; TLF'!$H$30:$H$31)</x:f>
        <x:v>280</x:v>
      </x:c>
      <x:c r="J133" s="28" t="n">
        <x:f>VLOOKUP(G133,'AD Fees &amp; TLF'!$C$19:$E$63,2,TRUE)+G133*VLOOKUP(G133,'AD Fees &amp; TLF'!$C$19:$E$63,3,TRUE)+VLOOKUP(G133,'AD Fees &amp; TLF'!$G$19:$H$27,2,TRUE)+SUM('AD Fees &amp; TLF'!$H$30:$H$31)</x:f>
        <x:v>335</x:v>
      </x:c>
      <x:c r="K133" s="28" t="n">
        <x:f>VLOOKUP(H133,'AD Fees &amp; TLF'!$C$19:$E$63,2,TRUE)+H133*VLOOKUP(H133,'AD Fees &amp; TLF'!$C$19:$E$63,3,TRUE)+VLOOKUP(H133,'AD Fees &amp; TLF'!$G$19:$H$27,2,TRUE)+SUM('AD Fees &amp; TLF'!$H$30:$H$31)</x:f>
        <x:v>405</x:v>
      </x:c>
      <x:c r="L133" s="28" t="n">
        <x:f>I133*'Vehicle Economics'!$K$13+J133*'Vehicle Economics'!$K$14+K133*'Vehicle Economics'!$K$15</x:f>
        <x:v>338.75</x:v>
      </x:c>
      <x:c r="M133" s="28" t="n">
        <x:f>L133+E133*'Vehicle Economics'!F$9</x:f>
        <x:v>356.7965918701047</x:v>
      </x:c>
    </x:row>
    <x:row r="134" ht="18" customHeight="1">
      <x:c r="A134" s="2"/>
      <x:c r="B134" s="2"/>
      <x:c r="C134" s="2" t="str">
        <x:v>Pickup / 34</x:v>
      </x:c>
      <x:c r="D134" s="28" t="n">
        <x:f>'Vehicle Economics'!$J$9*EXP(-'Vehicle Economics'!$J$10*(34-10))*'Vehicle Economics'!F$7</x:f>
        <x:v>1360.769299341187</x:v>
      </x:c>
      <x:c r="E134" s="28" t="n">
        <x:f>D134*'Vehicle Economics'!F$8</x:f>
        <x:v>408.23078980235607</x:v>
      </x:c>
      <x:c r="F134" s="28" t="n">
        <x:f>$E134*'Vehicle Economics'!$J$13</x:f>
        <x:v>204.11539490117804</x:v>
      </x:c>
      <x:c r="G134" s="28" t="n">
        <x:f>$E134*'Vehicle Economics'!$J$14</x:f>
        <x:v>408.23078980235607</x:v>
      </x:c>
      <x:c r="H134" s="28" t="n">
        <x:f>$E134*'Vehicle Economics'!$J$15</x:f>
        <x:v>612.3461847035342</x:v>
      </x:c>
      <x:c r="I134" s="28" t="n">
        <x:f>VLOOKUP(F134,'AD Fees &amp; TLF'!$C$19:$E$63,2,TRUE)+F134*VLOOKUP(F134,'AD Fees &amp; TLF'!$C$19:$E$63,3,TRUE)+VLOOKUP(F134,'AD Fees &amp; TLF'!$G$19:$H$27,2,TRUE)+SUM('AD Fees &amp; TLF'!$H$30:$H$31)</x:f>
        <x:v>280</x:v>
      </x:c>
      <x:c r="J134" s="28" t="n">
        <x:f>VLOOKUP(G134,'AD Fees &amp; TLF'!$C$19:$E$63,2,TRUE)+G134*VLOOKUP(G134,'AD Fees &amp; TLF'!$C$19:$E$63,3,TRUE)+VLOOKUP(G134,'AD Fees &amp; TLF'!$G$19:$H$27,2,TRUE)+SUM('AD Fees &amp; TLF'!$H$30:$H$31)</x:f>
        <x:v>325</x:v>
      </x:c>
      <x:c r="K134" s="28" t="n">
        <x:f>VLOOKUP(H134,'AD Fees &amp; TLF'!$C$19:$E$63,2,TRUE)+H134*VLOOKUP(H134,'AD Fees &amp; TLF'!$C$19:$E$63,3,TRUE)+VLOOKUP(H134,'AD Fees &amp; TLF'!$G$19:$H$27,2,TRUE)+SUM('AD Fees &amp; TLF'!$H$30:$H$31)</x:f>
        <x:v>405</x:v>
      </x:c>
      <x:c r="L134" s="28" t="n">
        <x:f>I134*'Vehicle Economics'!$K$13+J134*'Vehicle Economics'!$K$14+K134*'Vehicle Economics'!$K$15</x:f>
        <x:v>333.75</x:v>
      </x:c>
      <x:c r="M134" s="28" t="n">
        <x:f>L134+E134*'Vehicle Economics'!F$9</x:f>
        <x:v>350.07923159209423</x:v>
      </x:c>
    </x:row>
    <x:row r="135" ht="18" customHeight="1">
      <x:c r="A135" s="2"/>
      <x:c r="B135" s="2"/>
      <x:c r="C135" s="2" t="str">
        <x:v>Pickup / 35</x:v>
      </x:c>
      <x:c r="D135" s="28" t="n">
        <x:f>'Vehicle Economics'!$J$9*EXP(-'Vehicle Economics'!$J$10*(35-10))*'Vehicle Economics'!F$7</x:f>
        <x:v>1231.274979358482</x:v>
      </x:c>
      <x:c r="E135" s="28" t="n">
        <x:f>D135*'Vehicle Economics'!F$8</x:f>
        <x:v>369.38249380754456</x:v>
      </x:c>
      <x:c r="F135" s="28" t="n">
        <x:f>$E135*'Vehicle Economics'!$J$13</x:f>
        <x:v>184.69124690377228</x:v>
      </x:c>
      <x:c r="G135" s="28" t="n">
        <x:f>$E135*'Vehicle Economics'!$J$14</x:f>
        <x:v>369.38249380754456</x:v>
      </x:c>
      <x:c r="H135" s="28" t="n">
        <x:f>$E135*'Vehicle Economics'!$J$15</x:f>
        <x:v>554.0737407113169</x:v>
      </x:c>
      <x:c r="I135" s="28" t="n">
        <x:f>VLOOKUP(F135,'AD Fees &amp; TLF'!$C$19:$E$63,2,TRUE)+F135*VLOOKUP(F135,'AD Fees &amp; TLF'!$C$19:$E$63,3,TRUE)+VLOOKUP(F135,'AD Fees &amp; TLF'!$G$19:$H$27,2,TRUE)+SUM('AD Fees &amp; TLF'!$H$30:$H$31)</x:f>
        <x:v>230</x:v>
      </x:c>
      <x:c r="J135" s="28" t="n">
        <x:f>VLOOKUP(G135,'AD Fees &amp; TLF'!$C$19:$E$63,2,TRUE)+G135*VLOOKUP(G135,'AD Fees &amp; TLF'!$C$19:$E$63,3,TRUE)+VLOOKUP(G135,'AD Fees &amp; TLF'!$G$19:$H$27,2,TRUE)+SUM('AD Fees &amp; TLF'!$H$30:$H$31)</x:f>
        <x:v>295</x:v>
      </x:c>
      <x:c r="K135" s="28" t="n">
        <x:f>VLOOKUP(H135,'AD Fees &amp; TLF'!$C$19:$E$63,2,TRUE)+H135*VLOOKUP(H135,'AD Fees &amp; TLF'!$C$19:$E$63,3,TRUE)+VLOOKUP(H135,'AD Fees &amp; TLF'!$G$19:$H$27,2,TRUE)+SUM('AD Fees &amp; TLF'!$H$30:$H$31)</x:f>
        <x:v>375</x:v>
      </x:c>
      <x:c r="L135" s="28" t="n">
        <x:f>I135*'Vehicle Economics'!$K$13+J135*'Vehicle Economics'!$K$14+K135*'Vehicle Economics'!$K$15</x:f>
        <x:v>298.75</x:v>
      </x:c>
      <x:c r="M135" s="28" t="n">
        <x:f>L135+E135*'Vehicle Economics'!F$9</x:f>
        <x:v>313.5252997523018</x:v>
      </x:c>
    </x:row>
    <x:row r="136" ht="18" customHeight="1">
      <x:c r="A136" s="2"/>
      <x:c r="B136" s="2"/>
      <x:c r="C136" s="2" t="str">
        <x:v>Pickup / 36</x:v>
      </x:c>
      <x:c r="D136" s="28" t="n">
        <x:f>'Vehicle Economics'!$J$9*EXP(-'Vehicle Economics'!$J$10*(36-10))*'Vehicle Economics'!F$7</x:f>
        <x:v>1114.103673215008</x:v>
      </x:c>
      <x:c r="E136" s="28" t="n">
        <x:f>D136*'Vehicle Economics'!F$8</x:f>
        <x:v>334.2311019645024</x:v>
      </x:c>
      <x:c r="F136" s="28" t="n">
        <x:f>$E136*'Vehicle Economics'!$J$13</x:f>
        <x:v>167.1155509822512</x:v>
      </x:c>
      <x:c r="G136" s="28" t="n">
        <x:f>$E136*'Vehicle Economics'!$J$14</x:f>
        <x:v>334.2311019645024</x:v>
      </x:c>
      <x:c r="H136" s="28" t="n">
        <x:f>$E136*'Vehicle Economics'!$J$15</x:f>
        <x:v>501.3466529467536</x:v>
      </x:c>
      <x:c r="I136" s="28" t="n">
        <x:f>VLOOKUP(F136,'AD Fees &amp; TLF'!$C$19:$E$63,2,TRUE)+F136*VLOOKUP(F136,'AD Fees &amp; TLF'!$C$19:$E$63,3,TRUE)+VLOOKUP(F136,'AD Fees &amp; TLF'!$G$19:$H$27,2,TRUE)+SUM('AD Fees &amp; TLF'!$H$30:$H$31)</x:f>
        <x:v>230</x:v>
      </x:c>
      <x:c r="J136" s="28" t="n">
        <x:f>VLOOKUP(G136,'AD Fees &amp; TLF'!$C$19:$E$63,2,TRUE)+G136*VLOOKUP(G136,'AD Fees &amp; TLF'!$C$19:$E$63,3,TRUE)+VLOOKUP(G136,'AD Fees &amp; TLF'!$G$19:$H$27,2,TRUE)+SUM('AD Fees &amp; TLF'!$H$30:$H$31)</x:f>
        <x:v>287.5</x:v>
      </x:c>
      <x:c r="K136" s="28" t="n">
        <x:f>VLOOKUP(H136,'AD Fees &amp; TLF'!$C$19:$E$63,2,TRUE)+H136*VLOOKUP(H136,'AD Fees &amp; TLF'!$C$19:$E$63,3,TRUE)+VLOOKUP(H136,'AD Fees &amp; TLF'!$G$19:$H$27,2,TRUE)+SUM('AD Fees &amp; TLF'!$H$30:$H$31)</x:f>
        <x:v>370</x:v>
      </x:c>
      <x:c r="L136" s="28" t="n">
        <x:f>I136*'Vehicle Economics'!$K$13+J136*'Vehicle Economics'!$K$14+K136*'Vehicle Economics'!$K$15</x:f>
        <x:v>293.75</x:v>
      </x:c>
      <x:c r="M136" s="28" t="n">
        <x:f>L136+E136*'Vehicle Economics'!F$9</x:f>
        <x:v>307.1192440785801</x:v>
      </x:c>
    </x:row>
    <x:row r="137" ht="18" customHeight="1">
      <x:c r="A137" s="2"/>
      <x:c r="B137" s="2"/>
      <x:c r="C137" s="2" t="str">
        <x:v>Pickup / 37</x:v>
      </x:c>
      <x:c r="D137" s="28" t="n">
        <x:f>'Vehicle Economics'!$J$9*EXP(-'Vehicle Economics'!$J$10*(37-10))*'Vehicle Economics'!F$7</x:f>
        <x:v>1008.0826910962464</x:v>
      </x:c>
      <x:c r="E137" s="28" t="n">
        <x:f>D137*'Vehicle Economics'!F$8</x:f>
        <x:v>302.4248073288739</x:v>
      </x:c>
      <x:c r="F137" s="28" t="n">
        <x:f>$E137*'Vehicle Economics'!$J$13</x:f>
        <x:v>151.21240366443695</x:v>
      </x:c>
      <x:c r="G137" s="28" t="n">
        <x:f>$E137*'Vehicle Economics'!$J$14</x:f>
        <x:v>302.4248073288739</x:v>
      </x:c>
      <x:c r="H137" s="28" t="n">
        <x:f>$E137*'Vehicle Economics'!$J$15</x:f>
        <x:v>453.6372109933109</x:v>
      </x:c>
      <x:c r="I137" s="28" t="n">
        <x:f>VLOOKUP(F137,'AD Fees &amp; TLF'!$C$19:$E$63,2,TRUE)+F137*VLOOKUP(F137,'AD Fees &amp; TLF'!$C$19:$E$63,3,TRUE)+VLOOKUP(F137,'AD Fees &amp; TLF'!$G$19:$H$27,2,TRUE)+SUM('AD Fees &amp; TLF'!$H$30:$H$31)</x:f>
        <x:v>230</x:v>
      </x:c>
      <x:c r="J137" s="28" t="n">
        <x:f>VLOOKUP(G137,'AD Fees &amp; TLF'!$C$19:$E$63,2,TRUE)+G137*VLOOKUP(G137,'AD Fees &amp; TLF'!$C$19:$E$63,3,TRUE)+VLOOKUP(G137,'AD Fees &amp; TLF'!$G$19:$H$27,2,TRUE)+SUM('AD Fees &amp; TLF'!$H$30:$H$31)</x:f>
        <x:v>287.5</x:v>
      </x:c>
      <x:c r="K137" s="28" t="n">
        <x:f>VLOOKUP(H137,'AD Fees &amp; TLF'!$C$19:$E$63,2,TRUE)+H137*VLOOKUP(H137,'AD Fees &amp; TLF'!$C$19:$E$63,3,TRUE)+VLOOKUP(H137,'AD Fees &amp; TLF'!$G$19:$H$27,2,TRUE)+SUM('AD Fees &amp; TLF'!$H$30:$H$31)</x:f>
        <x:v>335</x:v>
      </x:c>
      <x:c r="L137" s="28" t="n">
        <x:f>I137*'Vehicle Economics'!$K$13+J137*'Vehicle Economics'!$K$14+K137*'Vehicle Economics'!$K$15</x:f>
        <x:v>285</x:v>
      </x:c>
      <x:c r="M137" s="28" t="n">
        <x:f>L137+E137*'Vehicle Economics'!F$9</x:f>
        <x:v>297.096992293155</x:v>
      </x:c>
    </x:row>
    <x:row r="138" ht="18" customHeight="1">
      <x:c r="A138" s="2"/>
      <x:c r="B138" s="2"/>
      <x:c r="C138" s="2" t="str">
        <x:v>Pickup / 38</x:v>
      </x:c>
      <x:c r="D138" s="28" t="n">
        <x:f>'Vehicle Economics'!$J$9*EXP(-'Vehicle Economics'!$J$10*(38-10))*'Vehicle Economics'!F$7</x:f>
        <x:v>912.1509393782692</x:v>
      </x:c>
      <x:c r="E138" s="28" t="n">
        <x:f>D138*'Vehicle Economics'!F$8</x:f>
        <x:v>273.6452818134807</x:v>
      </x:c>
      <x:c r="F138" s="28" t="n">
        <x:f>$E138*'Vehicle Economics'!$J$13</x:f>
        <x:v>136.82264090674036</x:v>
      </x:c>
      <x:c r="G138" s="28" t="n">
        <x:f>$E138*'Vehicle Economics'!$J$14</x:f>
        <x:v>273.6452818134807</x:v>
      </x:c>
      <x:c r="H138" s="28" t="n">
        <x:f>$E138*'Vehicle Economics'!$J$15</x:f>
        <x:v>410.46792272022105</x:v>
      </x:c>
      <x:c r="I138" s="28" t="n">
        <x:f>VLOOKUP(F138,'AD Fees &amp; TLF'!$C$19:$E$63,2,TRUE)+F138*VLOOKUP(F138,'AD Fees &amp; TLF'!$C$19:$E$63,3,TRUE)+VLOOKUP(F138,'AD Fees &amp; TLF'!$G$19:$H$27,2,TRUE)+SUM('AD Fees &amp; TLF'!$H$30:$H$31)</x:f>
        <x:v>230</x:v>
      </x:c>
      <x:c r="J138" s="28" t="n">
        <x:f>VLOOKUP(G138,'AD Fees &amp; TLF'!$C$19:$E$63,2,TRUE)+G138*VLOOKUP(G138,'AD Fees &amp; TLF'!$C$19:$E$63,3,TRUE)+VLOOKUP(G138,'AD Fees &amp; TLF'!$G$19:$H$27,2,TRUE)+SUM('AD Fees &amp; TLF'!$H$30:$H$31)</x:f>
        <x:v>280</x:v>
      </x:c>
      <x:c r="K138" s="28" t="n">
        <x:f>VLOOKUP(H138,'AD Fees &amp; TLF'!$C$19:$E$63,2,TRUE)+H138*VLOOKUP(H138,'AD Fees &amp; TLF'!$C$19:$E$63,3,TRUE)+VLOOKUP(H138,'AD Fees &amp; TLF'!$G$19:$H$27,2,TRUE)+SUM('AD Fees &amp; TLF'!$H$30:$H$31)</x:f>
        <x:v>325</x:v>
      </x:c>
      <x:c r="L138" s="28" t="n">
        <x:f>I138*'Vehicle Economics'!$K$13+J138*'Vehicle Economics'!$K$14+K138*'Vehicle Economics'!$K$15</x:f>
        <x:v>278.75</x:v>
      </x:c>
      <x:c r="M138" s="28" t="n">
        <x:f>L138+E138*'Vehicle Economics'!F$9</x:f>
        <x:v>289.69581127253923</x:v>
      </x:c>
    </x:row>
    <x:row r="139" ht="18" customHeight="1">
      <x:c r="A139" s="2"/>
      <x:c r="B139" s="2"/>
      <x:c r="C139" s="2" t="str">
        <x:v>Pickup / 39</x:v>
      </x:c>
      <x:c r="D139" s="28" t="n">
        <x:f>'Vehicle Economics'!$J$9*EXP(-'Vehicle Economics'!$J$10*(39-10))*'Vehicle Economics'!F$7</x:f>
        <x:v>825.348300846108</x:v>
      </x:c>
      <x:c r="E139" s="28" t="n">
        <x:f>D139*'Vehicle Economics'!F$8</x:f>
        <x:v>247.6044902538324</x:v>
      </x:c>
      <x:c r="F139" s="28" t="n">
        <x:f>$E139*'Vehicle Economics'!$J$13</x:f>
        <x:v>123.8022451269162</x:v>
      </x:c>
      <x:c r="G139" s="28" t="n">
        <x:f>$E139*'Vehicle Economics'!$J$14</x:f>
        <x:v>247.6044902538324</x:v>
      </x:c>
      <x:c r="H139" s="28" t="n">
        <x:f>$E139*'Vehicle Economics'!$J$15</x:f>
        <x:v>371.4067353807486</x:v>
      </x:c>
      <x:c r="I139" s="28" t="n">
        <x:f>VLOOKUP(F139,'AD Fees &amp; TLF'!$C$19:$E$63,2,TRUE)+F139*VLOOKUP(F139,'AD Fees &amp; TLF'!$C$19:$E$63,3,TRUE)+VLOOKUP(F139,'AD Fees &amp; TLF'!$G$19:$H$27,2,TRUE)+SUM('AD Fees &amp; TLF'!$H$30:$H$31)</x:f>
        <x:v>230</x:v>
      </x:c>
      <x:c r="J139" s="28" t="n">
        <x:f>VLOOKUP(G139,'AD Fees &amp; TLF'!$C$19:$E$63,2,TRUE)+G139*VLOOKUP(G139,'AD Fees &amp; TLF'!$C$19:$E$63,3,TRUE)+VLOOKUP(G139,'AD Fees &amp; TLF'!$G$19:$H$27,2,TRUE)+SUM('AD Fees &amp; TLF'!$H$30:$H$31)</x:f>
        <x:v>280</x:v>
      </x:c>
      <x:c r="K139" s="28" t="n">
        <x:f>VLOOKUP(H139,'AD Fees &amp; TLF'!$C$19:$E$63,2,TRUE)+H139*VLOOKUP(H139,'AD Fees &amp; TLF'!$C$19:$E$63,3,TRUE)+VLOOKUP(H139,'AD Fees &amp; TLF'!$G$19:$H$27,2,TRUE)+SUM('AD Fees &amp; TLF'!$H$30:$H$31)</x:f>
        <x:v>295</x:v>
      </x:c>
      <x:c r="L139" s="28" t="n">
        <x:f>I139*'Vehicle Economics'!$K$13+J139*'Vehicle Economics'!$K$14+K139*'Vehicle Economics'!$K$15</x:f>
        <x:v>271.25</x:v>
      </x:c>
      <x:c r="M139" s="28" t="n">
        <x:f>L139+E139*'Vehicle Economics'!F$9</x:f>
        <x:v>281.1541796101533</x:v>
      </x:c>
    </x:row>
    <x:row r="140" ht="18" customHeight="1">
      <x:c r="A140" s="2"/>
      <x:c r="B140" s="2"/>
      <x:c r="C140" s="2" t="str">
        <x:v>Pickup / 40</x:v>
      </x:c>
      <x:c r="D140" s="28" t="n">
        <x:f>'Vehicle Economics'!$J$9*EXP(-'Vehicle Economics'!$J$10*(40-10))*'Vehicle Economics'!F$7</x:f>
        <x:v>746.8060255179591</x:v>
      </x:c>
      <x:c r="E140" s="28" t="n">
        <x:f>D140*'Vehicle Economics'!F$8</x:f>
        <x:v>224.04180765538774</x:v>
      </x:c>
      <x:c r="F140" s="28" t="n">
        <x:f>$E140*'Vehicle Economics'!$J$13</x:f>
        <x:v>112.02090382769387</x:v>
      </x:c>
      <x:c r="G140" s="28" t="n">
        <x:f>$E140*'Vehicle Economics'!$J$14</x:f>
        <x:v>224.04180765538774</x:v>
      </x:c>
      <x:c r="H140" s="28" t="n">
        <x:f>$E140*'Vehicle Economics'!$J$15</x:f>
        <x:v>336.0627114830816</x:v>
      </x:c>
      <x:c r="I140" s="28" t="n">
        <x:f>VLOOKUP(F140,'AD Fees &amp; TLF'!$C$19:$E$63,2,TRUE)+F140*VLOOKUP(F140,'AD Fees &amp; TLF'!$C$19:$E$63,3,TRUE)+VLOOKUP(F140,'AD Fees &amp; TLF'!$G$19:$H$27,2,TRUE)+SUM('AD Fees &amp; TLF'!$H$30:$H$31)</x:f>
        <x:v>230</x:v>
      </x:c>
      <x:c r="J140" s="28" t="n">
        <x:f>VLOOKUP(G140,'AD Fees &amp; TLF'!$C$19:$E$63,2,TRUE)+G140*VLOOKUP(G140,'AD Fees &amp; TLF'!$C$19:$E$63,3,TRUE)+VLOOKUP(G140,'AD Fees &amp; TLF'!$G$19:$H$27,2,TRUE)+SUM('AD Fees &amp; TLF'!$H$30:$H$31)</x:f>
        <x:v>280</x:v>
      </x:c>
      <x:c r="K140" s="28" t="n">
        <x:f>VLOOKUP(H140,'AD Fees &amp; TLF'!$C$19:$E$63,2,TRUE)+H140*VLOOKUP(H140,'AD Fees &amp; TLF'!$C$19:$E$63,3,TRUE)+VLOOKUP(H140,'AD Fees &amp; TLF'!$G$19:$H$27,2,TRUE)+SUM('AD Fees &amp; TLF'!$H$30:$H$31)</x:f>
        <x:v>287.5</x:v>
      </x:c>
      <x:c r="L140" s="28" t="n">
        <x:f>I140*'Vehicle Economics'!$K$13+J140*'Vehicle Economics'!$K$14+K140*'Vehicle Economics'!$K$15</x:f>
        <x:v>269.375</x:v>
      </x:c>
      <x:c r="M140" s="28" t="n">
        <x:f>L140+E140*'Vehicle Economics'!F$9</x:f>
        <x:v>278.3366723062155</x:v>
      </x:c>
    </x:row>
    <x:row r="141" ht="18" customHeight="1">
      <x:c r="A141" s="2"/>
      <x:c r="B141" s="2"/>
      <x:c r="C141" s="2" t="str">
        <x:v>Pickup / 41</x:v>
      </x:c>
      <x:c r="D141" s="28" t="n">
        <x:f>'Vehicle Economics'!$J$9*EXP(-'Vehicle Economics'!$J$10*(41-10))*'Vehicle Economics'!F$7</x:f>
        <x:v>675.7380359033671</x:v>
      </x:c>
      <x:c r="E141" s="28" t="n">
        <x:f>D141*'Vehicle Economics'!F$8</x:f>
        <x:v>202.7214107710101</x:v>
      </x:c>
      <x:c r="F141" s="28" t="n">
        <x:f>$E141*'Vehicle Economics'!$J$13</x:f>
        <x:v>101.36070538550506</x:v>
      </x:c>
      <x:c r="G141" s="28" t="n">
        <x:f>$E141*'Vehicle Economics'!$J$14</x:f>
        <x:v>202.7214107710101</x:v>
      </x:c>
      <x:c r="H141" s="28" t="n">
        <x:f>$E141*'Vehicle Economics'!$J$15</x:f>
        <x:v>304.08211615651516</x:v>
      </x:c>
      <x:c r="I141" s="28" t="n">
        <x:f>VLOOKUP(F141,'AD Fees &amp; TLF'!$C$19:$E$63,2,TRUE)+F141*VLOOKUP(F141,'AD Fees &amp; TLF'!$C$19:$E$63,3,TRUE)+VLOOKUP(F141,'AD Fees &amp; TLF'!$G$19:$H$27,2,TRUE)+SUM('AD Fees &amp; TLF'!$H$30:$H$31)</x:f>
        <x:v>230</x:v>
      </x:c>
      <x:c r="J141" s="28" t="n">
        <x:f>VLOOKUP(G141,'AD Fees &amp; TLF'!$C$19:$E$63,2,TRUE)+G141*VLOOKUP(G141,'AD Fees &amp; TLF'!$C$19:$E$63,3,TRUE)+VLOOKUP(G141,'AD Fees &amp; TLF'!$G$19:$H$27,2,TRUE)+SUM('AD Fees &amp; TLF'!$H$30:$H$31)</x:f>
        <x:v>280</x:v>
      </x:c>
      <x:c r="K141" s="28" t="n">
        <x:f>VLOOKUP(H141,'AD Fees &amp; TLF'!$C$19:$E$63,2,TRUE)+H141*VLOOKUP(H141,'AD Fees &amp; TLF'!$C$19:$E$63,3,TRUE)+VLOOKUP(H141,'AD Fees &amp; TLF'!$G$19:$H$27,2,TRUE)+SUM('AD Fees &amp; TLF'!$H$30:$H$31)</x:f>
        <x:v>287.5</x:v>
      </x:c>
      <x:c r="L141" s="28" t="n">
        <x:f>I141*'Vehicle Economics'!$K$13+J141*'Vehicle Economics'!$K$14+K141*'Vehicle Economics'!$K$15</x:f>
        <x:v>269.375</x:v>
      </x:c>
      <x:c r="M141" s="28" t="n">
        <x:f>L141+E141*'Vehicle Economics'!F$9</x:f>
        <x:v>277.48385643084043</x:v>
      </x:c>
    </x:row>
    <x:row r="142" ht="18" customHeight="1">
      <x:c r="A142" s="2"/>
      <x:c r="B142" s="2"/>
      <x:c r="C142" s="2" t="str">
        <x:v>Pickup / 42</x:v>
      </x:c>
      <x:c r="D142" s="28" t="n">
        <x:f>'Vehicle Economics'!$J$9*EXP(-'Vehicle Economics'!$J$10*(42-10))*'Vehicle Economics'!F$7</x:f>
        <x:v>611.433059675493</x:v>
      </x:c>
      <x:c r="E142" s="28" t="n">
        <x:f>D142*'Vehicle Economics'!F$8</x:f>
        <x:v>183.4299179026479</x:v>
      </x:c>
      <x:c r="F142" s="28" t="n">
        <x:f>$E142*'Vehicle Economics'!$J$13</x:f>
        <x:v>91.71495895132395</x:v>
      </x:c>
      <x:c r="G142" s="28" t="n">
        <x:f>$E142*'Vehicle Economics'!$J$14</x:f>
        <x:v>183.4299179026479</x:v>
      </x:c>
      <x:c r="H142" s="28" t="n">
        <x:f>$E142*'Vehicle Economics'!$J$15</x:f>
        <x:v>275.1448768539718</x:v>
      </x:c>
      <x:c r="I142" s="28" t="n">
        <x:f>VLOOKUP(F142,'AD Fees &amp; TLF'!$C$19:$E$63,2,TRUE)+F142*VLOOKUP(F142,'AD Fees &amp; TLF'!$C$19:$E$63,3,TRUE)+VLOOKUP(F142,'AD Fees &amp; TLF'!$G$19:$H$27,2,TRUE)+SUM('AD Fees &amp; TLF'!$H$30:$H$31)</x:f>
        <x:v>155</x:v>
      </x:c>
      <x:c r="J142" s="28" t="n">
        <x:f>VLOOKUP(G142,'AD Fees &amp; TLF'!$C$19:$E$63,2,TRUE)+G142*VLOOKUP(G142,'AD Fees &amp; TLF'!$C$19:$E$63,3,TRUE)+VLOOKUP(G142,'AD Fees &amp; TLF'!$G$19:$H$27,2,TRUE)+SUM('AD Fees &amp; TLF'!$H$30:$H$31)</x:f>
        <x:v>230</x:v>
      </x:c>
      <x:c r="K142" s="28" t="n">
        <x:f>VLOOKUP(H142,'AD Fees &amp; TLF'!$C$19:$E$63,2,TRUE)+H142*VLOOKUP(H142,'AD Fees &amp; TLF'!$C$19:$E$63,3,TRUE)+VLOOKUP(H142,'AD Fees &amp; TLF'!$G$19:$H$27,2,TRUE)+SUM('AD Fees &amp; TLF'!$H$30:$H$31)</x:f>
        <x:v>280</x:v>
      </x:c>
      <x:c r="L142" s="28" t="n">
        <x:f>I142*'Vehicle Economics'!$K$13+J142*'Vehicle Economics'!$K$14+K142*'Vehicle Economics'!$K$15</x:f>
        <x:v>223.75</x:v>
      </x:c>
      <x:c r="M142" s="28" t="n">
        <x:f>L142+E142*'Vehicle Economics'!F$9</x:f>
        <x:v>231.08719671610592</x:v>
      </x:c>
    </x:row>
    <x:row r="143" ht="18" customHeight="1">
      <x:c r="A143" s="2"/>
      <x:c r="B143" s="2"/>
      <x:c r="C143" s="2" t="str">
        <x:v>Pickup / 43</x:v>
      </x:c>
      <x:c r="D143" s="28" t="n">
        <x:f>'Vehicle Economics'!$J$9*EXP(-'Vehicle Economics'!$J$10*(43-10))*'Vehicle Economics'!F$7</x:f>
        <x:v>553.2475110185999</x:v>
      </x:c>
      <x:c r="E143" s="28" t="n">
        <x:f>D143*'Vehicle Economics'!F$8</x:f>
        <x:v>165.97425330557996</x:v>
      </x:c>
      <x:c r="F143" s="28" t="n">
        <x:f>$E143*'Vehicle Economics'!$J$13</x:f>
        <x:v>82.98712665278998</x:v>
      </x:c>
      <x:c r="G143" s="28" t="n">
        <x:f>$E143*'Vehicle Economics'!$J$14</x:f>
        <x:v>165.97425330557996</x:v>
      </x:c>
      <x:c r="H143" s="28" t="n">
        <x:f>$E143*'Vehicle Economics'!$J$15</x:f>
        <x:v>248.96137995836995</x:v>
      </x:c>
      <x:c r="I143" s="28" t="n">
        <x:f>VLOOKUP(F143,'AD Fees &amp; TLF'!$C$19:$E$63,2,TRUE)+F143*VLOOKUP(F143,'AD Fees &amp; TLF'!$C$19:$E$63,3,TRUE)+VLOOKUP(F143,'AD Fees &amp; TLF'!$G$19:$H$27,2,TRUE)+SUM('AD Fees &amp; TLF'!$H$30:$H$31)</x:f>
        <x:v>155</x:v>
      </x:c>
      <x:c r="J143" s="28" t="n">
        <x:f>VLOOKUP(G143,'AD Fees &amp; TLF'!$C$19:$E$63,2,TRUE)+G143*VLOOKUP(G143,'AD Fees &amp; TLF'!$C$19:$E$63,3,TRUE)+VLOOKUP(G143,'AD Fees &amp; TLF'!$G$19:$H$27,2,TRUE)+SUM('AD Fees &amp; TLF'!$H$30:$H$31)</x:f>
        <x:v>230</x:v>
      </x:c>
      <x:c r="K143" s="28" t="n">
        <x:f>VLOOKUP(H143,'AD Fees &amp; TLF'!$C$19:$E$63,2,TRUE)+H143*VLOOKUP(H143,'AD Fees &amp; TLF'!$C$19:$E$63,3,TRUE)+VLOOKUP(H143,'AD Fees &amp; TLF'!$G$19:$H$27,2,TRUE)+SUM('AD Fees &amp; TLF'!$H$30:$H$31)</x:f>
        <x:v>280</x:v>
      </x:c>
      <x:c r="L143" s="28" t="n">
        <x:f>I143*'Vehicle Economics'!$K$13+J143*'Vehicle Economics'!$K$14+K143*'Vehicle Economics'!$K$15</x:f>
        <x:v>223.75</x:v>
      </x:c>
      <x:c r="M143" s="28" t="n">
        <x:f>L143+E143*'Vehicle Economics'!F$9</x:f>
        <x:v>230.3889701322232</x:v>
      </x:c>
    </x:row>
    <x:row r="144" ht="18" customHeight="1">
      <x:c r="A144" s="2"/>
      <x:c r="B144" s="2"/>
      <x:c r="C144" s="2" t="str">
        <x:v>Pickup / 44</x:v>
      </x:c>
      <x:c r="D144" s="28" t="n">
        <x:f>'Vehicle Economics'!$J$9*EXP(-'Vehicle Economics'!$J$10*(44-10))*'Vehicle Economics'!F$7</x:f>
        <x:v>500.59904940489093</x:v>
      </x:c>
      <x:c r="E144" s="28" t="n">
        <x:f>D144*'Vehicle Economics'!F$8</x:f>
        <x:v>150.1797148214673</x:v>
      </x:c>
      <x:c r="F144" s="28" t="n">
        <x:f>$E144*'Vehicle Economics'!$J$13</x:f>
        <x:v>75.08985741073364</x:v>
      </x:c>
      <x:c r="G144" s="28" t="n">
        <x:f>$E144*'Vehicle Economics'!$J$14</x:f>
        <x:v>150.1797148214673</x:v>
      </x:c>
      <x:c r="H144" s="28" t="n">
        <x:f>$E144*'Vehicle Economics'!$J$15</x:f>
        <x:v>225.26957223220091</x:v>
      </x:c>
      <x:c r="I144" s="28" t="n">
        <x:f>VLOOKUP(F144,'AD Fees &amp; TLF'!$C$19:$E$63,2,TRUE)+F144*VLOOKUP(F144,'AD Fees &amp; TLF'!$C$19:$E$63,3,TRUE)+VLOOKUP(F144,'AD Fees &amp; TLF'!$G$19:$H$27,2,TRUE)+SUM('AD Fees &amp; TLF'!$H$30:$H$31)</x:f>
        <x:v>155</x:v>
      </x:c>
      <x:c r="J144" s="28" t="n">
        <x:f>VLOOKUP(G144,'AD Fees &amp; TLF'!$C$19:$E$63,2,TRUE)+G144*VLOOKUP(G144,'AD Fees &amp; TLF'!$C$19:$E$63,3,TRUE)+VLOOKUP(G144,'AD Fees &amp; TLF'!$G$19:$H$27,2,TRUE)+SUM('AD Fees &amp; TLF'!$H$30:$H$31)</x:f>
        <x:v>230</x:v>
      </x:c>
      <x:c r="K144" s="28" t="n">
        <x:f>VLOOKUP(H144,'AD Fees &amp; TLF'!$C$19:$E$63,2,TRUE)+H144*VLOOKUP(H144,'AD Fees &amp; TLF'!$C$19:$E$63,3,TRUE)+VLOOKUP(H144,'AD Fees &amp; TLF'!$G$19:$H$27,2,TRUE)+SUM('AD Fees &amp; TLF'!$H$30:$H$31)</x:f>
        <x:v>280</x:v>
      </x:c>
      <x:c r="L144" s="28" t="n">
        <x:f>I144*'Vehicle Economics'!$K$13+J144*'Vehicle Economics'!$K$14+K144*'Vehicle Economics'!$K$15</x:f>
        <x:v>223.75</x:v>
      </x:c>
      <x:c r="M144" s="28" t="n">
        <x:f>L144+E144*'Vehicle Economics'!F$9</x:f>
        <x:v>229.75718859285868</x:v>
      </x:c>
    </x:row>
    <x:row r="145" ht="18" customHeight="1">
      <x:c r="A145" s="2"/>
      <x:c r="B145" s="2"/>
      <x:c r="C145" s="2" t="str">
        <x:v>Pickup / 45</x:v>
      </x:c>
      <x:c r="D145" s="28" t="n">
        <x:f>'Vehicle Economics'!$J$9*EXP(-'Vehicle Economics'!$J$10*(45-10))*'Vehicle Economics'!F$7</x:f>
        <x:v>452.9607513347775</x:v>
      </x:c>
      <x:c r="E145" s="28" t="n">
        <x:f>D145*'Vehicle Economics'!F$8</x:f>
        <x:v>135.88822540043324</x:v>
      </x:c>
      <x:c r="F145" s="28" t="n">
        <x:f>$E145*'Vehicle Economics'!$J$13</x:f>
        <x:v>67.94411270021662</x:v>
      </x:c>
      <x:c r="G145" s="28" t="n">
        <x:f>$E145*'Vehicle Economics'!$J$14</x:f>
        <x:v>135.88822540043324</x:v>
      </x:c>
      <x:c r="H145" s="28" t="n">
        <x:f>$E145*'Vehicle Economics'!$J$15</x:f>
        <x:v>203.83233810064985</x:v>
      </x:c>
      <x:c r="I145" s="28" t="n">
        <x:f>VLOOKUP(F145,'AD Fees &amp; TLF'!$C$19:$E$63,2,TRUE)+F145*VLOOKUP(F145,'AD Fees &amp; TLF'!$C$19:$E$63,3,TRUE)+VLOOKUP(F145,'AD Fees &amp; TLF'!$G$19:$H$27,2,TRUE)+SUM('AD Fees &amp; TLF'!$H$30:$H$31)</x:f>
        <x:v>155</x:v>
      </x:c>
      <x:c r="J145" s="28" t="n">
        <x:f>VLOOKUP(G145,'AD Fees &amp; TLF'!$C$19:$E$63,2,TRUE)+G145*VLOOKUP(G145,'AD Fees &amp; TLF'!$C$19:$E$63,3,TRUE)+VLOOKUP(G145,'AD Fees &amp; TLF'!$G$19:$H$27,2,TRUE)+SUM('AD Fees &amp; TLF'!$H$30:$H$31)</x:f>
        <x:v>230</x:v>
      </x:c>
      <x:c r="K145" s="28" t="n">
        <x:f>VLOOKUP(H145,'AD Fees &amp; TLF'!$C$19:$E$63,2,TRUE)+H145*VLOOKUP(H145,'AD Fees &amp; TLF'!$C$19:$E$63,3,TRUE)+VLOOKUP(H145,'AD Fees &amp; TLF'!$G$19:$H$27,2,TRUE)+SUM('AD Fees &amp; TLF'!$H$30:$H$31)</x:f>
        <x:v>280</x:v>
      </x:c>
      <x:c r="L145" s="28" t="n">
        <x:f>I145*'Vehicle Economics'!$K$13+J145*'Vehicle Economics'!$K$14+K145*'Vehicle Economics'!$K$15</x:f>
        <x:v>223.75</x:v>
      </x:c>
      <x:c r="M145" s="28" t="n">
        <x:f>L145+E145*'Vehicle Economics'!F$9</x:f>
        <x:v>229.18552901601734</x:v>
      </x:c>
    </x:row>
    <x:row r="146" ht="18" customHeight="1">
      <x:c r="A146" s="2"/>
      <x:c r="B146" s="2"/>
      <x:c r="C146" s="2" t="str">
        <x:v>Van / 0</x:v>
      </x:c>
      <x:c r="D146" s="28" t="n">
        <x:f>'Vehicle Economics'!$J$9*EXP(-'Vehicle Economics'!$J$10*(0-10))*'Vehicle Economics'!G$7</x:f>
        <x:v>40774.22742688568</x:v>
      </x:c>
      <x:c r="E146" s="28" t="n">
        <x:f>D146*'Vehicle Economics'!G$8</x:f>
        <x:v>12232.268228065703</x:v>
      </x:c>
      <x:c r="F146" s="28" t="n">
        <x:f>$E146*'Vehicle Economics'!$J$13</x:f>
        <x:v>6116.134114032851</x:v>
      </x:c>
      <x:c r="G146" s="28" t="n">
        <x:f>$E146*'Vehicle Economics'!$J$14</x:f>
        <x:v>12232.268228065703</x:v>
      </x:c>
      <x:c r="H146" s="28" t="n">
        <x:f>$E146*'Vehicle Economics'!$J$15</x:f>
        <x:v>18348.402342098554</x:v>
      </x:c>
      <x:c r="I146" s="28" t="n">
        <x:f>VLOOKUP(F146,'AD Fees &amp; TLF'!$C$19:$E$63,2,TRUE)+F146*VLOOKUP(F146,'AD Fees &amp; TLF'!$C$19:$E$63,3,TRUE)+VLOOKUP(F146,'AD Fees &amp; TLF'!$G$19:$H$27,2,TRUE)+SUM('AD Fees &amp; TLF'!$H$30:$H$31)</x:f>
        <x:v>1060</x:v>
      </x:c>
      <x:c r="J146" s="28" t="n">
        <x:f>VLOOKUP(G146,'AD Fees &amp; TLF'!$C$19:$E$63,2,TRUE)+G146*VLOOKUP(G146,'AD Fees &amp; TLF'!$C$19:$E$63,3,TRUE)+VLOOKUP(G146,'AD Fees &amp; TLF'!$G$19:$H$27,2,TRUE)+SUM('AD Fees &amp; TLF'!$H$30:$H$31)</x:f>
        <x:v>1250</x:v>
      </x:c>
      <x:c r="K146" s="28" t="n">
        <x:f>VLOOKUP(H146,'AD Fees &amp; TLF'!$C$19:$E$63,2,TRUE)+H146*VLOOKUP(H146,'AD Fees &amp; TLF'!$C$19:$E$63,3,TRUE)+VLOOKUP(H146,'AD Fees &amp; TLF'!$G$19:$H$27,2,TRUE)+SUM('AD Fees &amp; TLF'!$H$30:$H$31)</x:f>
        <x:v>1626.1301756573914</x:v>
      </x:c>
      <x:c r="L146" s="28" t="n">
        <x:f>I146*'Vehicle Economics'!$K$13+J146*'Vehicle Economics'!$K$14+K146*'Vehicle Economics'!$K$15</x:f>
        <x:v>1296.5325439143478</x:v>
      </x:c>
      <x:c r="M146" s="28" t="n">
        <x:f>L146+E146*'Vehicle Economics'!G$9</x:f>
        <x:v>1785.823273036976</x:v>
      </x:c>
    </x:row>
    <x:row r="147" ht="18" customHeight="1">
      <x:c r="A147" s="2"/>
      <x:c r="B147" s="2"/>
      <x:c r="C147" s="2" t="str">
        <x:v>Van / 1</x:v>
      </x:c>
      <x:c r="D147" s="28" t="n">
        <x:f>'Vehicle Economics'!$J$9*EXP(-'Vehicle Economics'!$J$10*(1-10))*'Vehicle Economics'!G$7</x:f>
        <x:v>36894.04666735425</x:v>
      </x:c>
      <x:c r="E147" s="28" t="n">
        <x:f>D147*'Vehicle Economics'!G$8</x:f>
        <x:v>11068.214000206273</x:v>
      </x:c>
      <x:c r="F147" s="28" t="n">
        <x:f>$E147*'Vehicle Economics'!$J$13</x:f>
        <x:v>5534.107000103137</x:v>
      </x:c>
      <x:c r="G147" s="28" t="n">
        <x:f>$E147*'Vehicle Economics'!$J$14</x:f>
        <x:v>11068.214000206273</x:v>
      </x:c>
      <x:c r="H147" s="28" t="n">
        <x:f>$E147*'Vehicle Economics'!$J$15</x:f>
        <x:v>16602.32100030941</x:v>
      </x:c>
      <x:c r="I147" s="28" t="n">
        <x:f>VLOOKUP(F147,'AD Fees &amp; TLF'!$C$19:$E$63,2,TRUE)+F147*VLOOKUP(F147,'AD Fees &amp; TLF'!$C$19:$E$63,3,TRUE)+VLOOKUP(F147,'AD Fees &amp; TLF'!$G$19:$H$27,2,TRUE)+SUM('AD Fees &amp; TLF'!$H$30:$H$31)</x:f>
        <x:v>1020</x:v>
      </x:c>
      <x:c r="J147" s="28" t="n">
        <x:f>VLOOKUP(G147,'AD Fees &amp; TLF'!$C$19:$E$63,2,TRUE)+G147*VLOOKUP(G147,'AD Fees &amp; TLF'!$C$19:$E$63,3,TRUE)+VLOOKUP(G147,'AD Fees &amp; TLF'!$G$19:$H$27,2,TRUE)+SUM('AD Fees &amp; TLF'!$H$30:$H$31)</x:f>
        <x:v>1250</x:v>
      </x:c>
      <x:c r="K147" s="28" t="n">
        <x:f>VLOOKUP(H147,'AD Fees &amp; TLF'!$C$19:$E$63,2,TRUE)+H147*VLOOKUP(H147,'AD Fees &amp; TLF'!$C$19:$E$63,3,TRUE)+VLOOKUP(H147,'AD Fees &amp; TLF'!$G$19:$H$27,2,TRUE)+SUM('AD Fees &amp; TLF'!$H$30:$H$31)</x:f>
        <x:v>1495.1740750232057</x:v>
      </x:c>
      <x:c r="L147" s="28" t="n">
        <x:f>I147*'Vehicle Economics'!$K$13+J147*'Vehicle Economics'!$K$14+K147*'Vehicle Economics'!$K$15</x:f>
        <x:v>1253.7935187558014</x:v>
      </x:c>
      <x:c r="M147" s="28" t="n">
        <x:f>L147+E147*'Vehicle Economics'!G$9</x:f>
        <x:v>1696.5220787640524</x:v>
      </x:c>
    </x:row>
    <x:row r="148" ht="18" customHeight="1">
      <x:c r="A148" s="2"/>
      <x:c r="B148" s="2"/>
      <x:c r="C148" s="2" t="str">
        <x:v>Van / 2</x:v>
      </x:c>
      <x:c r="D148" s="28" t="n">
        <x:f>'Vehicle Economics'!$J$9*EXP(-'Vehicle Economics'!$J$10*(2-10))*'Vehicle Economics'!G$7</x:f>
        <x:v>33383.113927387014</x:v>
      </x:c>
      <x:c r="E148" s="28" t="n">
        <x:f>D148*'Vehicle Economics'!G$8</x:f>
        <x:v>10014.934178216105</x:v>
      </x:c>
      <x:c r="F148" s="28" t="n">
        <x:f>$E148*'Vehicle Economics'!$J$13</x:f>
        <x:v>5007.467089108052</x:v>
      </x:c>
      <x:c r="G148" s="28" t="n">
        <x:f>$E148*'Vehicle Economics'!$J$14</x:f>
        <x:v>10014.934178216105</x:v>
      </x:c>
      <x:c r="H148" s="28" t="n">
        <x:f>$E148*'Vehicle Economics'!$J$15</x:f>
        <x:v>15022.401267324156</x:v>
      </x:c>
      <x:c r="I148" s="28" t="n">
        <x:f>VLOOKUP(F148,'AD Fees &amp; TLF'!$C$19:$E$63,2,TRUE)+F148*VLOOKUP(F148,'AD Fees &amp; TLF'!$C$19:$E$63,3,TRUE)+VLOOKUP(F148,'AD Fees &amp; TLF'!$G$19:$H$27,2,TRUE)+SUM('AD Fees &amp; TLF'!$H$30:$H$31)</x:f>
        <x:v>995</x:v>
      </x:c>
      <x:c r="J148" s="28" t="n">
        <x:f>VLOOKUP(G148,'AD Fees &amp; TLF'!$C$19:$E$63,2,TRUE)+G148*VLOOKUP(G148,'AD Fees &amp; TLF'!$C$19:$E$63,3,TRUE)+VLOOKUP(G148,'AD Fees &amp; TLF'!$G$19:$H$27,2,TRUE)+SUM('AD Fees &amp; TLF'!$H$30:$H$31)</x:f>
        <x:v>1250</x:v>
      </x:c>
      <x:c r="K148" s="28" t="n">
        <x:f>VLOOKUP(H148,'AD Fees &amp; TLF'!$C$19:$E$63,2,TRUE)+H148*VLOOKUP(H148,'AD Fees &amp; TLF'!$C$19:$E$63,3,TRUE)+VLOOKUP(H148,'AD Fees &amp; TLF'!$G$19:$H$27,2,TRUE)+SUM('AD Fees &amp; TLF'!$H$30:$H$31)</x:f>
        <x:v>1376.6800950493116</x:v>
      </x:c>
      <x:c r="L148" s="28" t="n">
        <x:f>I148*'Vehicle Economics'!$K$13+J148*'Vehicle Economics'!$K$14+K148*'Vehicle Economics'!$K$15</x:f>
        <x:v>1217.920023762328</x:v>
      </x:c>
      <x:c r="M148" s="28" t="n">
        <x:f>L148+E148*'Vehicle Economics'!G$9</x:f>
        <x:v>1618.5173908909721</x:v>
      </x:c>
    </x:row>
    <x:row r="149" ht="18" customHeight="1">
      <x:c r="A149" s="2"/>
      <x:c r="B149" s="2"/>
      <x:c r="C149" s="2" t="str">
        <x:v>Van / 3</x:v>
      </x:c>
      <x:c r="D149" s="28" t="n">
        <x:f>'Vehicle Economics'!$J$9*EXP(-'Vehicle Economics'!$J$10*(3-10))*'Vehicle Economics'!G$7</x:f>
        <x:v>30206.29061205715</x:v>
      </x:c>
      <x:c r="E149" s="28" t="n">
        <x:f>D149*'Vehicle Economics'!G$8</x:f>
        <x:v>9061.887183617144</x:v>
      </x:c>
      <x:c r="F149" s="28" t="n">
        <x:f>$E149*'Vehicle Economics'!$J$13</x:f>
        <x:v>4530.943591808572</x:v>
      </x:c>
      <x:c r="G149" s="28" t="n">
        <x:f>$E149*'Vehicle Economics'!$J$14</x:f>
        <x:v>9061.887183617144</x:v>
      </x:c>
      <x:c r="H149" s="28" t="n">
        <x:f>$E149*'Vehicle Economics'!$J$15</x:f>
        <x:v>13592.830775425715</x:v>
      </x:c>
      <x:c r="I149" s="28" t="n">
        <x:f>VLOOKUP(F149,'AD Fees &amp; TLF'!$C$19:$E$63,2,TRUE)+F149*VLOOKUP(F149,'AD Fees &amp; TLF'!$C$19:$E$63,3,TRUE)+VLOOKUP(F149,'AD Fees &amp; TLF'!$G$19:$H$27,2,TRUE)+SUM('AD Fees &amp; TLF'!$H$30:$H$31)</x:f>
        <x:v>970</x:v>
      </x:c>
      <x:c r="J149" s="28" t="n">
        <x:f>VLOOKUP(G149,'AD Fees &amp; TLF'!$C$19:$E$63,2,TRUE)+G149*VLOOKUP(G149,'AD Fees &amp; TLF'!$C$19:$E$63,3,TRUE)+VLOOKUP(G149,'AD Fees &amp; TLF'!$G$19:$H$27,2,TRUE)+SUM('AD Fees &amp; TLF'!$H$30:$H$31)</x:f>
        <x:v>1195</x:v>
      </x:c>
      <x:c r="K149" s="28" t="n">
        <x:f>VLOOKUP(H149,'AD Fees &amp; TLF'!$C$19:$E$63,2,TRUE)+H149*VLOOKUP(H149,'AD Fees &amp; TLF'!$C$19:$E$63,3,TRUE)+VLOOKUP(H149,'AD Fees &amp; TLF'!$G$19:$H$27,2,TRUE)+SUM('AD Fees &amp; TLF'!$H$30:$H$31)</x:f>
        <x:v>1250</x:v>
      </x:c>
      <x:c r="L149" s="28" t="n">
        <x:f>I149*'Vehicle Economics'!$K$13+J149*'Vehicle Economics'!$K$14+K149*'Vehicle Economics'!$K$15</x:f>
        <x:v>1152.5</x:v>
      </x:c>
      <x:c r="M149" s="28" t="n">
        <x:f>L149+E149*'Vehicle Economics'!G$9</x:f>
        <x:v>1514.9754873446857</x:v>
      </x:c>
    </x:row>
    <x:row r="150" ht="18" customHeight="1">
      <x:c r="A150" s="2"/>
      <x:c r="B150" s="2"/>
      <x:c r="C150" s="2" t="str">
        <x:v>Van / 4</x:v>
      </x:c>
      <x:c r="D150" s="28" t="n">
        <x:f>'Vehicle Economics'!$J$9*EXP(-'Vehicle Economics'!$J$10*(4-10))*'Vehicle Economics'!G$7</x:f>
        <x:v>27331.78200585764</x:v>
      </x:c>
      <x:c r="E150" s="28" t="n">
        <x:f>D150*'Vehicle Economics'!G$8</x:f>
        <x:v>8199.534601757292</x:v>
      </x:c>
      <x:c r="F150" s="28" t="n">
        <x:f>$E150*'Vehicle Economics'!$J$13</x:f>
        <x:v>4099.767300878646</x:v>
      </x:c>
      <x:c r="G150" s="28" t="n">
        <x:f>$E150*'Vehicle Economics'!$J$14</x:f>
        <x:v>8199.534601757292</x:v>
      </x:c>
      <x:c r="H150" s="28" t="n">
        <x:f>$E150*'Vehicle Economics'!$J$15</x:f>
        <x:v>12299.301902635938</x:v>
      </x:c>
      <x:c r="I150" s="28" t="n">
        <x:f>VLOOKUP(F150,'AD Fees &amp; TLF'!$C$19:$E$63,2,TRUE)+F150*VLOOKUP(F150,'AD Fees &amp; TLF'!$C$19:$E$63,3,TRUE)+VLOOKUP(F150,'AD Fees &amp; TLF'!$G$19:$H$27,2,TRUE)+SUM('AD Fees &amp; TLF'!$H$30:$H$31)</x:f>
        <x:v>945</x:v>
      </x:c>
      <x:c r="J150" s="28" t="n">
        <x:f>VLOOKUP(G150,'AD Fees &amp; TLF'!$C$19:$E$63,2,TRUE)+G150*VLOOKUP(G150,'AD Fees &amp; TLF'!$C$19:$E$63,3,TRUE)+VLOOKUP(G150,'AD Fees &amp; TLF'!$G$19:$H$27,2,TRUE)+SUM('AD Fees &amp; TLF'!$H$30:$H$31)</x:f>
        <x:v>1175</x:v>
      </x:c>
      <x:c r="K150" s="28" t="n">
        <x:f>VLOOKUP(H150,'AD Fees &amp; TLF'!$C$19:$E$63,2,TRUE)+H150*VLOOKUP(H150,'AD Fees &amp; TLF'!$C$19:$E$63,3,TRUE)+VLOOKUP(H150,'AD Fees &amp; TLF'!$G$19:$H$27,2,TRUE)+SUM('AD Fees &amp; TLF'!$H$30:$H$31)</x:f>
        <x:v>1250</x:v>
      </x:c>
      <x:c r="L150" s="28" t="n">
        <x:f>I150*'Vehicle Economics'!$K$13+J150*'Vehicle Economics'!$K$14+K150*'Vehicle Economics'!$K$15</x:f>
        <x:v>1136.25</x:v>
      </x:c>
      <x:c r="M150" s="28" t="n">
        <x:f>L150+E150*'Vehicle Economics'!G$9</x:f>
        <x:v>1464.2313840702918</x:v>
      </x:c>
    </x:row>
    <x:row r="151" ht="18" customHeight="1">
      <x:c r="A151" s="2"/>
      <x:c r="B151" s="2"/>
      <x:c r="C151" s="2" t="str">
        <x:v>Van / 5</x:v>
      </x:c>
      <x:c r="D151" s="28" t="n">
        <x:f>'Vehicle Economics'!$J$9*EXP(-'Vehicle Economics'!$J$10*(5-10))*'Vehicle Economics'!G$7</x:f>
        <x:v>24730.819060501926</x:v>
      </x:c>
      <x:c r="E151" s="28" t="n">
        <x:f>D151*'Vehicle Economics'!G$8</x:f>
        <x:v>7419.245718150578</x:v>
      </x:c>
      <x:c r="F151" s="28" t="n">
        <x:f>$E151*'Vehicle Economics'!$J$13</x:f>
        <x:v>3709.622859075289</x:v>
      </x:c>
      <x:c r="G151" s="28" t="n">
        <x:f>$E151*'Vehicle Economics'!$J$14</x:f>
        <x:v>7419.245718150578</x:v>
      </x:c>
      <x:c r="H151" s="28" t="n">
        <x:f>$E151*'Vehicle Economics'!$J$15</x:f>
        <x:v>11128.868577225867</x:v>
      </x:c>
      <x:c r="I151" s="28" t="n">
        <x:f>VLOOKUP(F151,'AD Fees &amp; TLF'!$C$19:$E$63,2,TRUE)+F151*VLOOKUP(F151,'AD Fees &amp; TLF'!$C$19:$E$63,3,TRUE)+VLOOKUP(F151,'AD Fees &amp; TLF'!$G$19:$H$27,2,TRUE)+SUM('AD Fees &amp; TLF'!$H$30:$H$31)</x:f>
        <x:v>915</x:v>
      </x:c>
      <x:c r="J151" s="28" t="n">
        <x:f>VLOOKUP(G151,'AD Fees &amp; TLF'!$C$19:$E$63,2,TRUE)+G151*VLOOKUP(G151,'AD Fees &amp; TLF'!$C$19:$E$63,3,TRUE)+VLOOKUP(G151,'AD Fees &amp; TLF'!$G$19:$H$27,2,TRUE)+SUM('AD Fees &amp; TLF'!$H$30:$H$31)</x:f>
        <x:v>1115</x:v>
      </x:c>
      <x:c r="K151" s="28" t="n">
        <x:f>VLOOKUP(H151,'AD Fees &amp; TLF'!$C$19:$E$63,2,TRUE)+H151*VLOOKUP(H151,'AD Fees &amp; TLF'!$C$19:$E$63,3,TRUE)+VLOOKUP(H151,'AD Fees &amp; TLF'!$G$19:$H$27,2,TRUE)+SUM('AD Fees &amp; TLF'!$H$30:$H$31)</x:f>
        <x:v>1250</x:v>
      </x:c>
      <x:c r="L151" s="28" t="n">
        <x:f>I151*'Vehicle Economics'!$K$13+J151*'Vehicle Economics'!$K$14+K151*'Vehicle Economics'!$K$15</x:f>
        <x:v>1098.75</x:v>
      </x:c>
      <x:c r="M151" s="28" t="n">
        <x:f>L151+E151*'Vehicle Economics'!G$9</x:f>
        <x:v>1395.5198287260232</x:v>
      </x:c>
    </x:row>
    <x:row r="152" ht="18" customHeight="1">
      <x:c r="A152" s="2"/>
      <x:c r="B152" s="2"/>
      <x:c r="C152" s="2" t="str">
        <x:v>Van / 6</x:v>
      </x:c>
      <x:c r="D152" s="28" t="n">
        <x:f>'Vehicle Economics'!$J$9*EXP(-'Vehicle Economics'!$J$10*(6-10))*'Vehicle Economics'!G$7</x:f>
        <x:v>22377.370464619056</x:v>
      </x:c>
      <x:c r="E152" s="28" t="n">
        <x:f>D152*'Vehicle Economics'!G$8</x:f>
        <x:v>6713.211139385717</x:v>
      </x:c>
      <x:c r="F152" s="28" t="n">
        <x:f>$E152*'Vehicle Economics'!$J$13</x:f>
        <x:v>3356.6055696928584</x:v>
      </x:c>
      <x:c r="G152" s="28" t="n">
        <x:f>$E152*'Vehicle Economics'!$J$14</x:f>
        <x:v>6713.211139385717</x:v>
      </x:c>
      <x:c r="H152" s="28" t="n">
        <x:f>$E152*'Vehicle Economics'!$J$15</x:f>
        <x:v>10069.816709078576</x:v>
      </x:c>
      <x:c r="I152" s="28" t="n">
        <x:f>VLOOKUP(F152,'AD Fees &amp; TLF'!$C$19:$E$63,2,TRUE)+F152*VLOOKUP(F152,'AD Fees &amp; TLF'!$C$19:$E$63,3,TRUE)+VLOOKUP(F152,'AD Fees &amp; TLF'!$G$19:$H$27,2,TRUE)+SUM('AD Fees &amp; TLF'!$H$30:$H$31)</x:f>
        <x:v>865</x:v>
      </x:c>
      <x:c r="J152" s="28" t="n">
        <x:f>VLOOKUP(G152,'AD Fees &amp; TLF'!$C$19:$E$63,2,TRUE)+G152*VLOOKUP(G152,'AD Fees &amp; TLF'!$C$19:$E$63,3,TRUE)+VLOOKUP(G152,'AD Fees &amp; TLF'!$G$19:$H$27,2,TRUE)+SUM('AD Fees &amp; TLF'!$H$30:$H$31)</x:f>
        <x:v>1080</x:v>
      </x:c>
      <x:c r="K152" s="28" t="n">
        <x:f>VLOOKUP(H152,'AD Fees &amp; TLF'!$C$19:$E$63,2,TRUE)+H152*VLOOKUP(H152,'AD Fees &amp; TLF'!$C$19:$E$63,3,TRUE)+VLOOKUP(H152,'AD Fees &amp; TLF'!$G$19:$H$27,2,TRUE)+SUM('AD Fees &amp; TLF'!$H$30:$H$31)</x:f>
        <x:v>1250</x:v>
      </x:c>
      <x:c r="L152" s="28" t="n">
        <x:f>I152*'Vehicle Economics'!$K$13+J152*'Vehicle Economics'!$K$14+K152*'Vehicle Economics'!$K$15</x:f>
        <x:v>1068.75</x:v>
      </x:c>
      <x:c r="M152" s="28" t="n">
        <x:f>L152+E152*'Vehicle Economics'!G$9</x:f>
        <x:v>1337.2784455754286</x:v>
      </x:c>
    </x:row>
    <x:row r="153" ht="18" customHeight="1">
      <x:c r="A153" s="2"/>
      <x:c r="B153" s="2"/>
      <x:c r="C153" s="2" t="str">
        <x:v>Van / 7</x:v>
      </x:c>
      <x:c r="D153" s="28" t="n">
        <x:f>'Vehicle Economics'!$J$9*EXP(-'Vehicle Economics'!$J$10*(7-10))*'Vehicle Economics'!G$7</x:f>
        <x:v>20247.882113640047</x:v>
      </x:c>
      <x:c r="E153" s="28" t="n">
        <x:f>D153*'Vehicle Economics'!G$8</x:f>
        <x:v>6074.364634092014</x:v>
      </x:c>
      <x:c r="F153" s="28" t="n">
        <x:f>$E153*'Vehicle Economics'!$J$13</x:f>
        <x:v>3037.182317046007</x:v>
      </x:c>
      <x:c r="G153" s="28" t="n">
        <x:f>$E153*'Vehicle Economics'!$J$14</x:f>
        <x:v>6074.364634092014</x:v>
      </x:c>
      <x:c r="H153" s="28" t="n">
        <x:f>$E153*'Vehicle Economics'!$J$15</x:f>
        <x:v>9111.546951138022</x:v>
      </x:c>
      <x:c r="I153" s="28" t="n">
        <x:f>VLOOKUP(F153,'AD Fees &amp; TLF'!$C$19:$E$63,2,TRUE)+F153*VLOOKUP(F153,'AD Fees &amp; TLF'!$C$19:$E$63,3,TRUE)+VLOOKUP(F153,'AD Fees &amp; TLF'!$G$19:$H$27,2,TRUE)+SUM('AD Fees &amp; TLF'!$H$30:$H$31)</x:f>
        <x:v>865</x:v>
      </x:c>
      <x:c r="J153" s="28" t="n">
        <x:f>VLOOKUP(G153,'AD Fees &amp; TLF'!$C$19:$E$63,2,TRUE)+G153*VLOOKUP(G153,'AD Fees &amp; TLF'!$C$19:$E$63,3,TRUE)+VLOOKUP(G153,'AD Fees &amp; TLF'!$G$19:$H$27,2,TRUE)+SUM('AD Fees &amp; TLF'!$H$30:$H$31)</x:f>
        <x:v>1060</x:v>
      </x:c>
      <x:c r="K153" s="28" t="n">
        <x:f>VLOOKUP(H153,'AD Fees &amp; TLF'!$C$19:$E$63,2,TRUE)+H153*VLOOKUP(H153,'AD Fees &amp; TLF'!$C$19:$E$63,3,TRUE)+VLOOKUP(H153,'AD Fees &amp; TLF'!$G$19:$H$27,2,TRUE)+SUM('AD Fees &amp; TLF'!$H$30:$H$31)</x:f>
        <x:v>1195</x:v>
      </x:c>
      <x:c r="L153" s="28" t="n">
        <x:f>I153*'Vehicle Economics'!$K$13+J153*'Vehicle Economics'!$K$14+K153*'Vehicle Economics'!$K$15</x:f>
        <x:v>1045</x:v>
      </x:c>
      <x:c r="M153" s="28" t="n">
        <x:f>L153+E153*'Vehicle Economics'!G$9</x:f>
        <x:v>1287.9745853636805</x:v>
      </x:c>
    </x:row>
    <x:row r="154" ht="18" customHeight="1">
      <x:c r="A154" s="2"/>
      <x:c r="B154" s="2"/>
      <x:c r="C154" s="2" t="str">
        <x:v>Van / 8</x:v>
      </x:c>
      <x:c r="D154" s="28" t="n">
        <x:f>'Vehicle Economics'!$J$9*EXP(-'Vehicle Economics'!$J$10*(8-10))*'Vehicle Economics'!G$7</x:f>
        <x:v>18321.04137240255</x:v>
      </x:c>
      <x:c r="E154" s="28" t="n">
        <x:f>D154*'Vehicle Economics'!G$8</x:f>
        <x:v>5496.312411720764</x:v>
      </x:c>
      <x:c r="F154" s="28" t="n">
        <x:f>$E154*'Vehicle Economics'!$J$13</x:f>
        <x:v>2748.156205860382</x:v>
      </x:c>
      <x:c r="G154" s="28" t="n">
        <x:f>$E154*'Vehicle Economics'!$J$14</x:f>
        <x:v>5496.312411720764</x:v>
      </x:c>
      <x:c r="H154" s="28" t="n">
        <x:f>$E154*'Vehicle Economics'!$J$15</x:f>
        <x:v>8244.468617581148</x:v>
      </x:c>
      <x:c r="I154" s="28" t="n">
        <x:f>VLOOKUP(F154,'AD Fees &amp; TLF'!$C$19:$E$63,2,TRUE)+F154*VLOOKUP(F154,'AD Fees &amp; TLF'!$C$19:$E$63,3,TRUE)+VLOOKUP(F154,'AD Fees &amp; TLF'!$G$19:$H$27,2,TRUE)+SUM('AD Fees &amp; TLF'!$H$30:$H$31)</x:f>
        <x:v>820</x:v>
      </x:c>
      <x:c r="J154" s="28" t="n">
        <x:f>VLOOKUP(G154,'AD Fees &amp; TLF'!$C$19:$E$63,2,TRUE)+G154*VLOOKUP(G154,'AD Fees &amp; TLF'!$C$19:$E$63,3,TRUE)+VLOOKUP(G154,'AD Fees &amp; TLF'!$G$19:$H$27,2,TRUE)+SUM('AD Fees &amp; TLF'!$H$30:$H$31)</x:f>
        <x:v>995</x:v>
      </x:c>
      <x:c r="K154" s="28" t="n">
        <x:f>VLOOKUP(H154,'AD Fees &amp; TLF'!$C$19:$E$63,2,TRUE)+H154*VLOOKUP(H154,'AD Fees &amp; TLF'!$C$19:$E$63,3,TRUE)+VLOOKUP(H154,'AD Fees &amp; TLF'!$G$19:$H$27,2,TRUE)+SUM('AD Fees &amp; TLF'!$H$30:$H$31)</x:f>
        <x:v>1175</x:v>
      </x:c>
      <x:c r="L154" s="28" t="n">
        <x:f>I154*'Vehicle Economics'!$K$13+J154*'Vehicle Economics'!$K$14+K154*'Vehicle Economics'!$K$15</x:f>
        <x:v>996.25</x:v>
      </x:c>
      <x:c r="M154" s="28" t="n">
        <x:f>L154+E154*'Vehicle Economics'!G$9</x:f>
        <x:v>1216.1024964688306</x:v>
      </x:c>
    </x:row>
    <x:row r="155" ht="18" customHeight="1">
      <x:c r="A155" s="2"/>
      <x:c r="B155" s="2"/>
      <x:c r="C155" s="2" t="str">
        <x:v>Van / 9</x:v>
      </x:c>
      <x:c r="D155" s="28" t="n">
        <x:f>'Vehicle Economics'!$J$9*EXP(-'Vehicle Economics'!$J$10*(9-10))*'Vehicle Economics'!G$7</x:f>
        <x:v>16577.563771134715</x:v>
      </x:c>
      <x:c r="E155" s="28" t="n">
        <x:f>D155*'Vehicle Economics'!G$8</x:f>
        <x:v>4973.269131340415</x:v>
      </x:c>
      <x:c r="F155" s="28" t="n">
        <x:f>$E155*'Vehicle Economics'!$J$13</x:f>
        <x:v>2486.6345656702074</x:v>
      </x:c>
      <x:c r="G155" s="28" t="n">
        <x:f>$E155*'Vehicle Economics'!$J$14</x:f>
        <x:v>4973.269131340415</x:v>
      </x:c>
      <x:c r="H155" s="28" t="n">
        <x:f>$E155*'Vehicle Economics'!$J$15</x:f>
        <x:v>7459.903697010623</x:v>
      </x:c>
      <x:c r="I155" s="28" t="n">
        <x:f>VLOOKUP(F155,'AD Fees &amp; TLF'!$C$19:$E$63,2,TRUE)+F155*VLOOKUP(F155,'AD Fees &amp; TLF'!$C$19:$E$63,3,TRUE)+VLOOKUP(F155,'AD Fees &amp; TLF'!$G$19:$H$27,2,TRUE)+SUM('AD Fees &amp; TLF'!$H$30:$H$31)</x:f>
        <x:v>780</x:v>
      </x:c>
      <x:c r="J155" s="28" t="n">
        <x:f>VLOOKUP(G155,'AD Fees &amp; TLF'!$C$19:$E$63,2,TRUE)+G155*VLOOKUP(G155,'AD Fees &amp; TLF'!$C$19:$E$63,3,TRUE)+VLOOKUP(G155,'AD Fees &amp; TLF'!$G$19:$H$27,2,TRUE)+SUM('AD Fees &amp; TLF'!$H$30:$H$31)</x:f>
        <x:v>970</x:v>
      </x:c>
      <x:c r="K155" s="28" t="n">
        <x:f>VLOOKUP(H155,'AD Fees &amp; TLF'!$C$19:$E$63,2,TRUE)+H155*VLOOKUP(H155,'AD Fees &amp; TLF'!$C$19:$E$63,3,TRUE)+VLOOKUP(H155,'AD Fees &amp; TLF'!$G$19:$H$27,2,TRUE)+SUM('AD Fees &amp; TLF'!$H$30:$H$31)</x:f>
        <x:v>1115</x:v>
      </x:c>
      <x:c r="L155" s="28" t="n">
        <x:f>I155*'Vehicle Economics'!$K$13+J155*'Vehicle Economics'!$K$14+K155*'Vehicle Economics'!$K$15</x:f>
        <x:v>958.75</x:v>
      </x:c>
      <x:c r="M155" s="28" t="n">
        <x:f>L155+E155*'Vehicle Economics'!G$9</x:f>
        <x:v>1157.6807652536165</x:v>
      </x:c>
    </x:row>
    <x:row r="156" ht="18" customHeight="1">
      <x:c r="A156" s="2"/>
      <x:c r="B156" s="2"/>
      <x:c r="C156" s="2" t="str">
        <x:v>Van / 10</x:v>
      </x:c>
      <x:c r="D156" s="28" t="n">
        <x:f>'Vehicle Economics'!$J$9*EXP(-'Vehicle Economics'!$J$10*(10-10))*'Vehicle Economics'!G$7</x:f>
        <x:v>15000</x:v>
      </x:c>
      <x:c r="E156" s="28" t="n">
        <x:f>D156*'Vehicle Economics'!G$8</x:f>
        <x:v>4500</x:v>
      </x:c>
      <x:c r="F156" s="28" t="n">
        <x:f>$E156*'Vehicle Economics'!$J$13</x:f>
        <x:v>2250</x:v>
      </x:c>
      <x:c r="G156" s="28" t="n">
        <x:f>$E156*'Vehicle Economics'!$J$14</x:f>
        <x:v>4500</x:v>
      </x:c>
      <x:c r="H156" s="28" t="n">
        <x:f>$E156*'Vehicle Economics'!$J$15</x:f>
        <x:v>6750</x:v>
      </x:c>
      <x:c r="I156" s="28" t="n">
        <x:f>VLOOKUP(F156,'AD Fees &amp; TLF'!$C$19:$E$63,2,TRUE)+F156*VLOOKUP(F156,'AD Fees &amp; TLF'!$C$19:$E$63,3,TRUE)+VLOOKUP(F156,'AD Fees &amp; TLF'!$G$19:$H$27,2,TRUE)+SUM('AD Fees &amp; TLF'!$H$30:$H$31)</x:f>
        <x:v>745</x:v>
      </x:c>
      <x:c r="J156" s="28" t="n">
        <x:f>VLOOKUP(G156,'AD Fees &amp; TLF'!$C$19:$E$63,2,TRUE)+G156*VLOOKUP(G156,'AD Fees &amp; TLF'!$C$19:$E$63,3,TRUE)+VLOOKUP(G156,'AD Fees &amp; TLF'!$G$19:$H$27,2,TRUE)+SUM('AD Fees &amp; TLF'!$H$30:$H$31)</x:f>
        <x:v>970</x:v>
      </x:c>
      <x:c r="K156" s="28" t="n">
        <x:f>VLOOKUP(H156,'AD Fees &amp; TLF'!$C$19:$E$63,2,TRUE)+H156*VLOOKUP(H156,'AD Fees &amp; TLF'!$C$19:$E$63,3,TRUE)+VLOOKUP(H156,'AD Fees &amp; TLF'!$G$19:$H$27,2,TRUE)+SUM('AD Fees &amp; TLF'!$H$30:$H$31)</x:f>
        <x:v>1080</x:v>
      </x:c>
      <x:c r="L156" s="28" t="n">
        <x:f>I156*'Vehicle Economics'!$K$13+J156*'Vehicle Economics'!$K$14+K156*'Vehicle Economics'!$K$15</x:f>
        <x:v>941.25</x:v>
      </x:c>
      <x:c r="M156" s="28" t="n">
        <x:f>L156+E156*'Vehicle Economics'!G$9</x:f>
        <x:v>1121.25</x:v>
      </x:c>
    </x:row>
    <x:row r="157" ht="18" customHeight="1">
      <x:c r="A157" s="2"/>
      <x:c r="B157" s="2"/>
      <x:c r="C157" s="2" t="str">
        <x:v>Van / 11</x:v>
      </x:c>
      <x:c r="D157" s="28" t="n">
        <x:f>'Vehicle Economics'!$J$9*EXP(-'Vehicle Economics'!$J$10*(11-10))*'Vehicle Economics'!G$7</x:f>
        <x:v>13572.561270539392</x:v>
      </x:c>
      <x:c r="E157" s="28" t="n">
        <x:f>D157*'Vehicle Economics'!G$8</x:f>
        <x:v>4071.7683811618176</x:v>
      </x:c>
      <x:c r="F157" s="28" t="n">
        <x:f>$E157*'Vehicle Economics'!$J$13</x:f>
        <x:v>2035.8841905809088</x:v>
      </x:c>
      <x:c r="G157" s="28" t="n">
        <x:f>$E157*'Vehicle Economics'!$J$14</x:f>
        <x:v>4071.7683811618176</x:v>
      </x:c>
      <x:c r="H157" s="28" t="n">
        <x:f>$E157*'Vehicle Economics'!$J$15</x:f>
        <x:v>6107.652571742727</x:v>
      </x:c>
      <x:c r="I157" s="28" t="n">
        <x:f>VLOOKUP(F157,'AD Fees &amp; TLF'!$C$19:$E$63,2,TRUE)+F157*VLOOKUP(F157,'AD Fees &amp; TLF'!$C$19:$E$63,3,TRUE)+VLOOKUP(F157,'AD Fees &amp; TLF'!$G$19:$H$27,2,TRUE)+SUM('AD Fees &amp; TLF'!$H$30:$H$31)</x:f>
        <x:v>745</x:v>
      </x:c>
      <x:c r="J157" s="28" t="n">
        <x:f>VLOOKUP(G157,'AD Fees &amp; TLF'!$C$19:$E$63,2,TRUE)+G157*VLOOKUP(G157,'AD Fees &amp; TLF'!$C$19:$E$63,3,TRUE)+VLOOKUP(G157,'AD Fees &amp; TLF'!$G$19:$H$27,2,TRUE)+SUM('AD Fees &amp; TLF'!$H$30:$H$31)</x:f>
        <x:v>945</x:v>
      </x:c>
      <x:c r="K157" s="28" t="n">
        <x:f>VLOOKUP(H157,'AD Fees &amp; TLF'!$C$19:$E$63,2,TRUE)+H157*VLOOKUP(H157,'AD Fees &amp; TLF'!$C$19:$E$63,3,TRUE)+VLOOKUP(H157,'AD Fees &amp; TLF'!$G$19:$H$27,2,TRUE)+SUM('AD Fees &amp; TLF'!$H$30:$H$31)</x:f>
        <x:v>1060</x:v>
      </x:c>
      <x:c r="L157" s="28" t="n">
        <x:f>I157*'Vehicle Economics'!$K$13+J157*'Vehicle Economics'!$K$14+K157*'Vehicle Economics'!$K$15</x:f>
        <x:v>923.75</x:v>
      </x:c>
      <x:c r="M157" s="28" t="n">
        <x:f>L157+E157*'Vehicle Economics'!G$9</x:f>
        <x:v>1086.6207352464728</x:v>
      </x:c>
    </x:row>
    <x:row r="158" ht="18" customHeight="1">
      <x:c r="A158" s="2"/>
      <x:c r="B158" s="2"/>
      <x:c r="C158" s="2" t="str">
        <x:v>Van / 12</x:v>
      </x:c>
      <x:c r="D158" s="28" t="n">
        <x:f>'Vehicle Economics'!$J$9*EXP(-'Vehicle Economics'!$J$10*(12-10))*'Vehicle Economics'!G$7</x:f>
        <x:v>12280.961296169728</x:v>
      </x:c>
      <x:c r="E158" s="28" t="n">
        <x:f>D158*'Vehicle Economics'!G$8</x:f>
        <x:v>3684.288388850918</x:v>
      </x:c>
      <x:c r="F158" s="28" t="n">
        <x:f>$E158*'Vehicle Economics'!$J$13</x:f>
        <x:v>1842.144194425459</x:v>
      </x:c>
      <x:c r="G158" s="28" t="n">
        <x:f>$E158*'Vehicle Economics'!$J$14</x:f>
        <x:v>3684.288388850918</x:v>
      </x:c>
      <x:c r="H158" s="28" t="n">
        <x:f>$E158*'Vehicle Economics'!$J$15</x:f>
        <x:v>5526.432583276377</x:v>
      </x:c>
      <x:c r="I158" s="28" t="n">
        <x:f>VLOOKUP(F158,'AD Fees &amp; TLF'!$C$19:$E$63,2,TRUE)+F158*VLOOKUP(F158,'AD Fees &amp; TLF'!$C$19:$E$63,3,TRUE)+VLOOKUP(F158,'AD Fees &amp; TLF'!$G$19:$H$27,2,TRUE)+SUM('AD Fees &amp; TLF'!$H$30:$H$31)</x:f>
        <x:v>705</x:v>
      </x:c>
      <x:c r="J158" s="28" t="n">
        <x:f>VLOOKUP(G158,'AD Fees &amp; TLF'!$C$19:$E$63,2,TRUE)+G158*VLOOKUP(G158,'AD Fees &amp; TLF'!$C$19:$E$63,3,TRUE)+VLOOKUP(G158,'AD Fees &amp; TLF'!$G$19:$H$27,2,TRUE)+SUM('AD Fees &amp; TLF'!$H$30:$H$31)</x:f>
        <x:v>915</x:v>
      </x:c>
      <x:c r="K158" s="28" t="n">
        <x:f>VLOOKUP(H158,'AD Fees &amp; TLF'!$C$19:$E$63,2,TRUE)+H158*VLOOKUP(H158,'AD Fees &amp; TLF'!$C$19:$E$63,3,TRUE)+VLOOKUP(H158,'AD Fees &amp; TLF'!$G$19:$H$27,2,TRUE)+SUM('AD Fees &amp; TLF'!$H$30:$H$31)</x:f>
        <x:v>1020</x:v>
      </x:c>
      <x:c r="L158" s="28" t="n">
        <x:f>I158*'Vehicle Economics'!$K$13+J158*'Vehicle Economics'!$K$14+K158*'Vehicle Economics'!$K$15</x:f>
        <x:v>888.75</x:v>
      </x:c>
      <x:c r="M158" s="28" t="n">
        <x:f>L158+E158*'Vehicle Economics'!G$9</x:f>
        <x:v>1036.1215355540367</x:v>
      </x:c>
    </x:row>
    <x:row r="159" ht="18" customHeight="1">
      <x:c r="A159" s="2"/>
      <x:c r="B159" s="2"/>
      <x:c r="C159" s="2" t="str">
        <x:v>Van / 13</x:v>
      </x:c>
      <x:c r="D159" s="28" t="n">
        <x:f>'Vehicle Economics'!$J$9*EXP(-'Vehicle Economics'!$J$10*(13-10))*'Vehicle Economics'!G$7</x:f>
        <x:v>11112.273310225766</x:v>
      </x:c>
      <x:c r="E159" s="28" t="n">
        <x:f>D159*'Vehicle Economics'!G$8</x:f>
        <x:v>3333.6819930677298</x:v>
      </x:c>
      <x:c r="F159" s="28" t="n">
        <x:f>$E159*'Vehicle Economics'!$J$13</x:f>
        <x:v>1666.8409965338649</x:v>
      </x:c>
      <x:c r="G159" s="28" t="n">
        <x:f>$E159*'Vehicle Economics'!$J$14</x:f>
        <x:v>3333.6819930677298</x:v>
      </x:c>
      <x:c r="H159" s="28" t="n">
        <x:f>$E159*'Vehicle Economics'!$J$15</x:f>
        <x:v>5000.522989601594</x:v>
      </x:c>
      <x:c r="I159" s="28" t="n">
        <x:f>VLOOKUP(F159,'AD Fees &amp; TLF'!$C$19:$E$63,2,TRUE)+F159*VLOOKUP(F159,'AD Fees &amp; TLF'!$C$19:$E$63,3,TRUE)+VLOOKUP(F159,'AD Fees &amp; TLF'!$G$19:$H$27,2,TRUE)+SUM('AD Fees &amp; TLF'!$H$30:$H$31)</x:f>
        <x:v>660</x:v>
      </x:c>
      <x:c r="J159" s="28" t="n">
        <x:f>VLOOKUP(G159,'AD Fees &amp; TLF'!$C$19:$E$63,2,TRUE)+G159*VLOOKUP(G159,'AD Fees &amp; TLF'!$C$19:$E$63,3,TRUE)+VLOOKUP(G159,'AD Fees &amp; TLF'!$G$19:$H$27,2,TRUE)+SUM('AD Fees &amp; TLF'!$H$30:$H$31)</x:f>
        <x:v>865</x:v>
      </x:c>
      <x:c r="K159" s="28" t="n">
        <x:f>VLOOKUP(H159,'AD Fees &amp; TLF'!$C$19:$E$63,2,TRUE)+H159*VLOOKUP(H159,'AD Fees &amp; TLF'!$C$19:$E$63,3,TRUE)+VLOOKUP(H159,'AD Fees &amp; TLF'!$G$19:$H$27,2,TRUE)+SUM('AD Fees &amp; TLF'!$H$30:$H$31)</x:f>
        <x:v>995</x:v>
      </x:c>
      <x:c r="L159" s="28" t="n">
        <x:f>I159*'Vehicle Economics'!$K$13+J159*'Vehicle Economics'!$K$14+K159*'Vehicle Economics'!$K$15</x:f>
        <x:v>846.25</x:v>
      </x:c>
      <x:c r="M159" s="28" t="n">
        <x:f>L159+E159*'Vehicle Economics'!G$9</x:f>
        <x:v>979.5972797227092</x:v>
      </x:c>
    </x:row>
    <x:row r="160" ht="18" customHeight="1">
      <x:c r="A160" s="2"/>
      <x:c r="B160" s="2"/>
      <x:c r="C160" s="2" t="str">
        <x:v>Van / 14</x:v>
      </x:c>
      <x:c r="D160" s="28" t="n">
        <x:f>'Vehicle Economics'!$J$9*EXP(-'Vehicle Economics'!$J$10*(14-10))*'Vehicle Economics'!G$7</x:f>
        <x:v>10054.80069053459</x:v>
      </x:c>
      <x:c r="E160" s="28" t="n">
        <x:f>D160*'Vehicle Economics'!G$8</x:f>
        <x:v>3016.4402071603768</x:v>
      </x:c>
      <x:c r="F160" s="28" t="n">
        <x:f>$E160*'Vehicle Economics'!$J$13</x:f>
        <x:v>1508.2201035801884</x:v>
      </x:c>
      <x:c r="G160" s="28" t="n">
        <x:f>$E160*'Vehicle Economics'!$J$14</x:f>
        <x:v>3016.4402071603768</x:v>
      </x:c>
      <x:c r="H160" s="28" t="n">
        <x:f>$E160*'Vehicle Economics'!$J$15</x:f>
        <x:v>4524.660310740565</x:v>
      </x:c>
      <x:c r="I160" s="28" t="n">
        <x:f>VLOOKUP(F160,'AD Fees &amp; TLF'!$C$19:$E$63,2,TRUE)+F160*VLOOKUP(F160,'AD Fees &amp; TLF'!$C$19:$E$63,3,TRUE)+VLOOKUP(F160,'AD Fees &amp; TLF'!$G$19:$H$27,2,TRUE)+SUM('AD Fees &amp; TLF'!$H$30:$H$31)</x:f>
        <x:v>640</x:v>
      </x:c>
      <x:c r="J160" s="28" t="n">
        <x:f>VLOOKUP(G160,'AD Fees &amp; TLF'!$C$19:$E$63,2,TRUE)+G160*VLOOKUP(G160,'AD Fees &amp; TLF'!$C$19:$E$63,3,TRUE)+VLOOKUP(G160,'AD Fees &amp; TLF'!$G$19:$H$27,2,TRUE)+SUM('AD Fees &amp; TLF'!$H$30:$H$31)</x:f>
        <x:v>865</x:v>
      </x:c>
      <x:c r="K160" s="28" t="n">
        <x:f>VLOOKUP(H160,'AD Fees &amp; TLF'!$C$19:$E$63,2,TRUE)+H160*VLOOKUP(H160,'AD Fees &amp; TLF'!$C$19:$E$63,3,TRUE)+VLOOKUP(H160,'AD Fees &amp; TLF'!$G$19:$H$27,2,TRUE)+SUM('AD Fees &amp; TLF'!$H$30:$H$31)</x:f>
        <x:v>970</x:v>
      </x:c>
      <x:c r="L160" s="28" t="n">
        <x:f>I160*'Vehicle Economics'!$K$13+J160*'Vehicle Economics'!$K$14+K160*'Vehicle Economics'!$K$15</x:f>
        <x:v>835</x:v>
      </x:c>
      <x:c r="M160" s="28" t="n">
        <x:f>L160+E160*'Vehicle Economics'!G$9</x:f>
        <x:v>955.6576082864151</x:v>
      </x:c>
    </x:row>
    <x:row r="161" ht="18" customHeight="1">
      <x:c r="A161" s="2"/>
      <x:c r="B161" s="2"/>
      <x:c r="C161" s="2" t="str">
        <x:v>Van / 15</x:v>
      </x:c>
      <x:c r="D161" s="28" t="n">
        <x:f>'Vehicle Economics'!$J$9*EXP(-'Vehicle Economics'!$J$10*(15-10))*'Vehicle Economics'!G$7</x:f>
        <x:v>9097.9598956895</x:v>
      </x:c>
      <x:c r="E161" s="28" t="n">
        <x:f>D161*'Vehicle Economics'!G$8</x:f>
        <x:v>2729.38796870685</x:v>
      </x:c>
      <x:c r="F161" s="28" t="n">
        <x:f>$E161*'Vehicle Economics'!$J$13</x:f>
        <x:v>1364.693984353425</x:v>
      </x:c>
      <x:c r="G161" s="28" t="n">
        <x:f>$E161*'Vehicle Economics'!$J$14</x:f>
        <x:v>2729.38796870685</x:v>
      </x:c>
      <x:c r="H161" s="28" t="n">
        <x:f>$E161*'Vehicle Economics'!$J$15</x:f>
        <x:v>4094.0819530602753</x:v>
      </x:c>
      <x:c r="I161" s="28" t="n">
        <x:f>VLOOKUP(F161,'AD Fees &amp; TLF'!$C$19:$E$63,2,TRUE)+F161*VLOOKUP(F161,'AD Fees &amp; TLF'!$C$19:$E$63,3,TRUE)+VLOOKUP(F161,'AD Fees &amp; TLF'!$G$19:$H$27,2,TRUE)+SUM('AD Fees &amp; TLF'!$H$30:$H$31)</x:f>
        <x:v>595</x:v>
      </x:c>
      <x:c r="J161" s="28" t="n">
        <x:f>VLOOKUP(G161,'AD Fees &amp; TLF'!$C$19:$E$63,2,TRUE)+G161*VLOOKUP(G161,'AD Fees &amp; TLF'!$C$19:$E$63,3,TRUE)+VLOOKUP(G161,'AD Fees &amp; TLF'!$G$19:$H$27,2,TRUE)+SUM('AD Fees &amp; TLF'!$H$30:$H$31)</x:f>
        <x:v>820</x:v>
      </x:c>
      <x:c r="K161" s="28" t="n">
        <x:f>VLOOKUP(H161,'AD Fees &amp; TLF'!$C$19:$E$63,2,TRUE)+H161*VLOOKUP(H161,'AD Fees &amp; TLF'!$C$19:$E$63,3,TRUE)+VLOOKUP(H161,'AD Fees &amp; TLF'!$G$19:$H$27,2,TRUE)+SUM('AD Fees &amp; TLF'!$H$30:$H$31)</x:f>
        <x:v>945</x:v>
      </x:c>
      <x:c r="L161" s="28" t="n">
        <x:f>I161*'Vehicle Economics'!$K$13+J161*'Vehicle Economics'!$K$14+K161*'Vehicle Economics'!$K$15</x:f>
        <x:v>795</x:v>
      </x:c>
      <x:c r="M161" s="28" t="n">
        <x:f>L161+E161*'Vehicle Economics'!G$9</x:f>
        <x:v>904.175518748274</x:v>
      </x:c>
    </x:row>
    <x:row r="162" ht="18" customHeight="1">
      <x:c r="A162" s="2"/>
      <x:c r="B162" s="2"/>
      <x:c r="C162" s="2" t="str">
        <x:v>Van / 16</x:v>
      </x:c>
      <x:c r="D162" s="28" t="n">
        <x:f>'Vehicle Economics'!$J$9*EXP(-'Vehicle Economics'!$J$10*(16-10))*'Vehicle Economics'!G$7</x:f>
        <x:v>8232.174541410395</x:v>
      </x:c>
      <x:c r="E162" s="28" t="n">
        <x:f>D162*'Vehicle Economics'!G$8</x:f>
        <x:v>2469.6523624231186</x:v>
      </x:c>
      <x:c r="F162" s="28" t="n">
        <x:f>$E162*'Vehicle Economics'!$J$13</x:f>
        <x:v>1234.8261812115593</x:v>
      </x:c>
      <x:c r="G162" s="28" t="n">
        <x:f>$E162*'Vehicle Economics'!$J$14</x:f>
        <x:v>2469.6523624231186</x:v>
      </x:c>
      <x:c r="H162" s="28" t="n">
        <x:f>$E162*'Vehicle Economics'!$J$15</x:f>
        <x:v>3704.478543634678</x:v>
      </x:c>
      <x:c r="I162" s="28" t="n">
        <x:f>VLOOKUP(F162,'AD Fees &amp; TLF'!$C$19:$E$63,2,TRUE)+F162*VLOOKUP(F162,'AD Fees &amp; TLF'!$C$19:$E$63,3,TRUE)+VLOOKUP(F162,'AD Fees &amp; TLF'!$G$19:$H$27,2,TRUE)+SUM('AD Fees &amp; TLF'!$H$30:$H$31)</x:f>
        <x:v>580</x:v>
      </x:c>
      <x:c r="J162" s="28" t="n">
        <x:f>VLOOKUP(G162,'AD Fees &amp; TLF'!$C$19:$E$63,2,TRUE)+G162*VLOOKUP(G162,'AD Fees &amp; TLF'!$C$19:$E$63,3,TRUE)+VLOOKUP(G162,'AD Fees &amp; TLF'!$G$19:$H$27,2,TRUE)+SUM('AD Fees &amp; TLF'!$H$30:$H$31)</x:f>
        <x:v>780</x:v>
      </x:c>
      <x:c r="K162" s="28" t="n">
        <x:f>VLOOKUP(H162,'AD Fees &amp; TLF'!$C$19:$E$63,2,TRUE)+H162*VLOOKUP(H162,'AD Fees &amp; TLF'!$C$19:$E$63,3,TRUE)+VLOOKUP(H162,'AD Fees &amp; TLF'!$G$19:$H$27,2,TRUE)+SUM('AD Fees &amp; TLF'!$H$30:$H$31)</x:f>
        <x:v>915</x:v>
      </x:c>
      <x:c r="L162" s="28" t="n">
        <x:f>I162*'Vehicle Economics'!$K$13+J162*'Vehicle Economics'!$K$14+K162*'Vehicle Economics'!$K$15</x:f>
        <x:v>763.75</x:v>
      </x:c>
      <x:c r="M162" s="28" t="n">
        <x:f>L162+E162*'Vehicle Economics'!G$9</x:f>
        <x:v>862.5360944969248</x:v>
      </x:c>
    </x:row>
    <x:row r="163" ht="18" customHeight="1">
      <x:c r="A163" s="2"/>
      <x:c r="B163" s="2"/>
      <x:c r="C163" s="2" t="str">
        <x:v>Van / 17</x:v>
      </x:c>
      <x:c r="D163" s="28" t="n">
        <x:f>'Vehicle Economics'!$J$9*EXP(-'Vehicle Economics'!$J$10*(17-10))*'Vehicle Economics'!G$7</x:f>
        <x:v>7448.779556871143</x:v>
      </x:c>
      <x:c r="E163" s="28" t="n">
        <x:f>D163*'Vehicle Economics'!G$8</x:f>
        <x:v>2234.6338670613427</x:v>
      </x:c>
      <x:c r="F163" s="28" t="n">
        <x:f>$E163*'Vehicle Economics'!$J$13</x:f>
        <x:v>1117.3169335306713</x:v>
      </x:c>
      <x:c r="G163" s="28" t="n">
        <x:f>$E163*'Vehicle Economics'!$J$14</x:f>
        <x:v>2234.6338670613427</x:v>
      </x:c>
      <x:c r="H163" s="28" t="n">
        <x:f>$E163*'Vehicle Economics'!$J$15</x:f>
        <x:v>3351.9508005920143</x:v>
      </x:c>
      <x:c r="I163" s="28" t="n">
        <x:f>VLOOKUP(F163,'AD Fees &amp; TLF'!$C$19:$E$63,2,TRUE)+F163*VLOOKUP(F163,'AD Fees &amp; TLF'!$C$19:$E$63,3,TRUE)+VLOOKUP(F163,'AD Fees &amp; TLF'!$G$19:$H$27,2,TRUE)+SUM('AD Fees &amp; TLF'!$H$30:$H$31)</x:f>
        <x:v>560</x:v>
      </x:c>
      <x:c r="J163" s="28" t="n">
        <x:f>VLOOKUP(G163,'AD Fees &amp; TLF'!$C$19:$E$63,2,TRUE)+G163*VLOOKUP(G163,'AD Fees &amp; TLF'!$C$19:$E$63,3,TRUE)+VLOOKUP(G163,'AD Fees &amp; TLF'!$G$19:$H$27,2,TRUE)+SUM('AD Fees &amp; TLF'!$H$30:$H$31)</x:f>
        <x:v>745</x:v>
      </x:c>
      <x:c r="K163" s="28" t="n">
        <x:f>VLOOKUP(H163,'AD Fees &amp; TLF'!$C$19:$E$63,2,TRUE)+H163*VLOOKUP(H163,'AD Fees &amp; TLF'!$C$19:$E$63,3,TRUE)+VLOOKUP(H163,'AD Fees &amp; TLF'!$G$19:$H$27,2,TRUE)+SUM('AD Fees &amp; TLF'!$H$30:$H$31)</x:f>
        <x:v>865</x:v>
      </x:c>
      <x:c r="L163" s="28" t="n">
        <x:f>I163*'Vehicle Economics'!$K$13+J163*'Vehicle Economics'!$K$14+K163*'Vehicle Economics'!$K$15</x:f>
        <x:v>728.75</x:v>
      </x:c>
      <x:c r="M163" s="28" t="n">
        <x:f>L163+E163*'Vehicle Economics'!G$9</x:f>
        <x:v>818.1353546824537</x:v>
      </x:c>
    </x:row>
    <x:row r="164" ht="18" customHeight="1">
      <x:c r="A164" s="2"/>
      <x:c r="B164" s="2"/>
      <x:c r="C164" s="2" t="str">
        <x:v>Van / 18</x:v>
      </x:c>
      <x:c r="D164" s="28" t="n">
        <x:f>'Vehicle Economics'!$J$9*EXP(-'Vehicle Economics'!$J$10*(18-10))*'Vehicle Economics'!G$7</x:f>
        <x:v>6739.934461758324</x:v>
      </x:c>
      <x:c r="E164" s="28" t="n">
        <x:f>D164*'Vehicle Economics'!G$8</x:f>
        <x:v>2021.980338527497</x:v>
      </x:c>
      <x:c r="F164" s="28" t="n">
        <x:f>$E164*'Vehicle Economics'!$J$13</x:f>
        <x:v>1010.9901692637485</x:v>
      </x:c>
      <x:c r="G164" s="28" t="n">
        <x:f>$E164*'Vehicle Economics'!$J$14</x:f>
        <x:v>2021.980338527497</x:v>
      </x:c>
      <x:c r="H164" s="28" t="n">
        <x:f>$E164*'Vehicle Economics'!$J$15</x:f>
        <x:v>3032.9705077912454</x:v>
      </x:c>
      <x:c r="I164" s="28" t="n">
        <x:f>VLOOKUP(F164,'AD Fees &amp; TLF'!$C$19:$E$63,2,TRUE)+F164*VLOOKUP(F164,'AD Fees &amp; TLF'!$C$19:$E$63,3,TRUE)+VLOOKUP(F164,'AD Fees &amp; TLF'!$G$19:$H$27,2,TRUE)+SUM('AD Fees &amp; TLF'!$H$30:$H$31)</x:f>
        <x:v>560</x:v>
      </x:c>
      <x:c r="J164" s="28" t="n">
        <x:f>VLOOKUP(G164,'AD Fees &amp; TLF'!$C$19:$E$63,2,TRUE)+G164*VLOOKUP(G164,'AD Fees &amp; TLF'!$C$19:$E$63,3,TRUE)+VLOOKUP(G164,'AD Fees &amp; TLF'!$G$19:$H$27,2,TRUE)+SUM('AD Fees &amp; TLF'!$H$30:$H$31)</x:f>
        <x:v>745</x:v>
      </x:c>
      <x:c r="K164" s="28" t="n">
        <x:f>VLOOKUP(H164,'AD Fees &amp; TLF'!$C$19:$E$63,2,TRUE)+H164*VLOOKUP(H164,'AD Fees &amp; TLF'!$C$19:$E$63,3,TRUE)+VLOOKUP(H164,'AD Fees &amp; TLF'!$G$19:$H$27,2,TRUE)+SUM('AD Fees &amp; TLF'!$H$30:$H$31)</x:f>
        <x:v>865</x:v>
      </x:c>
      <x:c r="L164" s="28" t="n">
        <x:f>I164*'Vehicle Economics'!$K$13+J164*'Vehicle Economics'!$K$14+K164*'Vehicle Economics'!$K$15</x:f>
        <x:v>728.75</x:v>
      </x:c>
      <x:c r="M164" s="28" t="n">
        <x:f>L164+E164*'Vehicle Economics'!G$9</x:f>
        <x:v>809.6292135411</x:v>
      </x:c>
    </x:row>
    <x:row r="165" ht="18" customHeight="1">
      <x:c r="A165" s="2"/>
      <x:c r="B165" s="2"/>
      <x:c r="C165" s="2" t="str">
        <x:v>Van / 19</x:v>
      </x:c>
      <x:c r="D165" s="28" t="n">
        <x:f>'Vehicle Economics'!$J$9*EXP(-'Vehicle Economics'!$J$10*(19-10))*'Vehicle Economics'!G$7</x:f>
        <x:v>6098.544896108987</x:v>
      </x:c>
      <x:c r="E165" s="28" t="n">
        <x:f>D165*'Vehicle Economics'!G$8</x:f>
        <x:v>1829.5634688326961</x:v>
      </x:c>
      <x:c r="F165" s="28" t="n">
        <x:f>$E165*'Vehicle Economics'!$J$13</x:f>
        <x:v>914.7817344163481</x:v>
      </x:c>
      <x:c r="G165" s="28" t="n">
        <x:f>$E165*'Vehicle Economics'!$J$14</x:f>
        <x:v>1829.5634688326961</x:v>
      </x:c>
      <x:c r="H165" s="28" t="n">
        <x:f>$E165*'Vehicle Economics'!$J$15</x:f>
        <x:v>2744.345203249044</x:v>
      </x:c>
      <x:c r="I165" s="28" t="n">
        <x:f>VLOOKUP(F165,'AD Fees &amp; TLF'!$C$19:$E$63,2,TRUE)+F165*VLOOKUP(F165,'AD Fees &amp; TLF'!$C$19:$E$63,3,TRUE)+VLOOKUP(F165,'AD Fees &amp; TLF'!$G$19:$H$27,2,TRUE)+SUM('AD Fees &amp; TLF'!$H$30:$H$31)</x:f>
        <x:v>485</x:v>
      </x:c>
      <x:c r="J165" s="28" t="n">
        <x:f>VLOOKUP(G165,'AD Fees &amp; TLF'!$C$19:$E$63,2,TRUE)+G165*VLOOKUP(G165,'AD Fees &amp; TLF'!$C$19:$E$63,3,TRUE)+VLOOKUP(G165,'AD Fees &amp; TLF'!$G$19:$H$27,2,TRUE)+SUM('AD Fees &amp; TLF'!$H$30:$H$31)</x:f>
        <x:v>705</x:v>
      </x:c>
      <x:c r="K165" s="28" t="n">
        <x:f>VLOOKUP(H165,'AD Fees &amp; TLF'!$C$19:$E$63,2,TRUE)+H165*VLOOKUP(H165,'AD Fees &amp; TLF'!$C$19:$E$63,3,TRUE)+VLOOKUP(H165,'AD Fees &amp; TLF'!$G$19:$H$27,2,TRUE)+SUM('AD Fees &amp; TLF'!$H$30:$H$31)</x:f>
        <x:v>820</x:v>
      </x:c>
      <x:c r="L165" s="28" t="n">
        <x:f>I165*'Vehicle Economics'!$K$13+J165*'Vehicle Economics'!$K$14+K165*'Vehicle Economics'!$K$15</x:f>
        <x:v>678.75</x:v>
      </x:c>
      <x:c r="M165" s="28" t="n">
        <x:f>L165+E165*'Vehicle Economics'!G$9</x:f>
        <x:v>751.9325387533079</x:v>
      </x:c>
    </x:row>
    <x:row r="166" ht="18" customHeight="1">
      <x:c r="A166" s="2"/>
      <x:c r="B166" s="2"/>
      <x:c r="C166" s="2" t="str">
        <x:v>Van / 20</x:v>
      </x:c>
      <x:c r="D166" s="28" t="n">
        <x:f>'Vehicle Economics'!$J$9*EXP(-'Vehicle Economics'!$J$10*(20-10))*'Vehicle Economics'!G$7</x:f>
        <x:v>5518.191617571635</x:v>
      </x:c>
      <x:c r="E166" s="28" t="n">
        <x:f>D166*'Vehicle Economics'!G$8</x:f>
        <x:v>1655.4574852714904</x:v>
      </x:c>
      <x:c r="F166" s="28" t="n">
        <x:f>$E166*'Vehicle Economics'!$J$13</x:f>
        <x:v>827.7287426357452</x:v>
      </x:c>
      <x:c r="G166" s="28" t="n">
        <x:f>$E166*'Vehicle Economics'!$J$14</x:f>
        <x:v>1655.4574852714904</x:v>
      </x:c>
      <x:c r="H166" s="28" t="n">
        <x:f>$E166*'Vehicle Economics'!$J$15</x:f>
        <x:v>2483.1862279072357</x:v>
      </x:c>
      <x:c r="I166" s="28" t="n">
        <x:f>VLOOKUP(F166,'AD Fees &amp; TLF'!$C$19:$E$63,2,TRUE)+F166*VLOOKUP(F166,'AD Fees &amp; TLF'!$C$19:$E$63,3,TRUE)+VLOOKUP(F166,'AD Fees &amp; TLF'!$G$19:$H$27,2,TRUE)+SUM('AD Fees &amp; TLF'!$H$30:$H$31)</x:f>
        <x:v>460</x:v>
      </x:c>
      <x:c r="J166" s="28" t="n">
        <x:f>VLOOKUP(G166,'AD Fees &amp; TLF'!$C$19:$E$63,2,TRUE)+G166*VLOOKUP(G166,'AD Fees &amp; TLF'!$C$19:$E$63,3,TRUE)+VLOOKUP(G166,'AD Fees &amp; TLF'!$G$19:$H$27,2,TRUE)+SUM('AD Fees &amp; TLF'!$H$30:$H$31)</x:f>
        <x:v>660</x:v>
      </x:c>
      <x:c r="K166" s="28" t="n">
        <x:f>VLOOKUP(H166,'AD Fees &amp; TLF'!$C$19:$E$63,2,TRUE)+H166*VLOOKUP(H166,'AD Fees &amp; TLF'!$C$19:$E$63,3,TRUE)+VLOOKUP(H166,'AD Fees &amp; TLF'!$G$19:$H$27,2,TRUE)+SUM('AD Fees &amp; TLF'!$H$30:$H$31)</x:f>
        <x:v>780</x:v>
      </x:c>
      <x:c r="L166" s="28" t="n">
        <x:f>I166*'Vehicle Economics'!$K$13+J166*'Vehicle Economics'!$K$14+K166*'Vehicle Economics'!$K$15</x:f>
        <x:v>640</x:v>
      </x:c>
      <x:c r="M166" s="28" t="n">
        <x:f>L166+E166*'Vehicle Economics'!G$9</x:f>
        <x:v>706.2182994108596</x:v>
      </x:c>
    </x:row>
    <x:row r="167" ht="18" customHeight="1">
      <x:c r="A167" s="2"/>
      <x:c r="B167" s="2"/>
      <x:c r="C167" s="2" t="str">
        <x:v>Van / 21</x:v>
      </x:c>
      <x:c r="D167" s="28" t="n">
        <x:f>'Vehicle Economics'!$J$9*EXP(-'Vehicle Economics'!$J$10*(21-10))*'Vehicle Economics'!G$7</x:f>
        <x:v>4993.066255471193</x:v>
      </x:c>
      <x:c r="E167" s="28" t="n">
        <x:f>D167*'Vehicle Economics'!G$8</x:f>
        <x:v>1497.9198766413576</x:v>
      </x:c>
      <x:c r="F167" s="28" t="n">
        <x:f>$E167*'Vehicle Economics'!$J$13</x:f>
        <x:v>748.9599383206788</x:v>
      </x:c>
      <x:c r="G167" s="28" t="n">
        <x:f>$E167*'Vehicle Economics'!$J$14</x:f>
        <x:v>1497.9198766413576</x:v>
      </x:c>
      <x:c r="H167" s="28" t="n">
        <x:f>$E167*'Vehicle Economics'!$J$15</x:f>
        <x:v>2246.8798149620366</x:v>
      </x:c>
      <x:c r="I167" s="28" t="n">
        <x:f>VLOOKUP(F167,'AD Fees &amp; TLF'!$C$19:$E$63,2,TRUE)+F167*VLOOKUP(F167,'AD Fees &amp; TLF'!$C$19:$E$63,3,TRUE)+VLOOKUP(F167,'AD Fees &amp; TLF'!$G$19:$H$27,2,TRUE)+SUM('AD Fees &amp; TLF'!$H$30:$H$31)</x:f>
        <x:v>435</x:v>
      </x:c>
      <x:c r="J167" s="28" t="n">
        <x:f>VLOOKUP(G167,'AD Fees &amp; TLF'!$C$19:$E$63,2,TRUE)+G167*VLOOKUP(G167,'AD Fees &amp; TLF'!$C$19:$E$63,3,TRUE)+VLOOKUP(G167,'AD Fees &amp; TLF'!$G$19:$H$27,2,TRUE)+SUM('AD Fees &amp; TLF'!$H$30:$H$31)</x:f>
        <x:v>615</x:v>
      </x:c>
      <x:c r="K167" s="28" t="n">
        <x:f>VLOOKUP(H167,'AD Fees &amp; TLF'!$C$19:$E$63,2,TRUE)+H167*VLOOKUP(H167,'AD Fees &amp; TLF'!$C$19:$E$63,3,TRUE)+VLOOKUP(H167,'AD Fees &amp; TLF'!$G$19:$H$27,2,TRUE)+SUM('AD Fees &amp; TLF'!$H$30:$H$31)</x:f>
        <x:v>745</x:v>
      </x:c>
      <x:c r="L167" s="28" t="n">
        <x:f>I167*'Vehicle Economics'!$K$13+J167*'Vehicle Economics'!$K$14+K167*'Vehicle Economics'!$K$15</x:f>
        <x:v>602.5</x:v>
      </x:c>
      <x:c r="M167" s="28" t="n">
        <x:f>L167+E167*'Vehicle Economics'!G$9</x:f>
        <x:v>662.4167950656544</x:v>
      </x:c>
    </x:row>
    <x:row r="168" ht="18" customHeight="1">
      <x:c r="A168" s="2"/>
      <x:c r="B168" s="2"/>
      <x:c r="C168" s="2" t="str">
        <x:v>Van / 22</x:v>
      </x:c>
      <x:c r="D168" s="28" t="n">
        <x:f>'Vehicle Economics'!$J$9*EXP(-'Vehicle Economics'!$J$10*(22-10))*'Vehicle Economics'!G$7</x:f>
        <x:v>4517.91317868303</x:v>
      </x:c>
      <x:c r="E168" s="28" t="n">
        <x:f>D168*'Vehicle Economics'!G$8</x:f>
        <x:v>1355.373953604909</x:v>
      </x:c>
      <x:c r="F168" s="28" t="n">
        <x:f>$E168*'Vehicle Economics'!$J$13</x:f>
        <x:v>677.6869768024545</x:v>
      </x:c>
      <x:c r="G168" s="28" t="n">
        <x:f>$E168*'Vehicle Economics'!$J$14</x:f>
        <x:v>1355.373953604909</x:v>
      </x:c>
      <x:c r="H168" s="28" t="n">
        <x:f>$E168*'Vehicle Economics'!$J$15</x:f>
        <x:v>2033.0609304073637</x:v>
      </x:c>
      <x:c r="I168" s="28" t="n">
        <x:f>VLOOKUP(F168,'AD Fees &amp; TLF'!$C$19:$E$63,2,TRUE)+F168*VLOOKUP(F168,'AD Fees &amp; TLF'!$C$19:$E$63,3,TRUE)+VLOOKUP(F168,'AD Fees &amp; TLF'!$G$19:$H$27,2,TRUE)+SUM('AD Fees &amp; TLF'!$H$30:$H$31)</x:f>
        <x:v>405</x:v>
      </x:c>
      <x:c r="J168" s="28" t="n">
        <x:f>VLOOKUP(G168,'AD Fees &amp; TLF'!$C$19:$E$63,2,TRUE)+G168*VLOOKUP(G168,'AD Fees &amp; TLF'!$C$19:$E$63,3,TRUE)+VLOOKUP(G168,'AD Fees &amp; TLF'!$G$19:$H$27,2,TRUE)+SUM('AD Fees &amp; TLF'!$H$30:$H$31)</x:f>
        <x:v>595</x:v>
      </x:c>
      <x:c r="K168" s="28" t="n">
        <x:f>VLOOKUP(H168,'AD Fees &amp; TLF'!$C$19:$E$63,2,TRUE)+H168*VLOOKUP(H168,'AD Fees &amp; TLF'!$C$19:$E$63,3,TRUE)+VLOOKUP(H168,'AD Fees &amp; TLF'!$G$19:$H$27,2,TRUE)+SUM('AD Fees &amp; TLF'!$H$30:$H$31)</x:f>
        <x:v>745</x:v>
      </x:c>
      <x:c r="L168" s="28" t="n">
        <x:f>I168*'Vehicle Economics'!$K$13+J168*'Vehicle Economics'!$K$14+K168*'Vehicle Economics'!$K$15</x:f>
        <x:v>585</x:v>
      </x:c>
      <x:c r="M168" s="28" t="n">
        <x:f>L168+E168*'Vehicle Economics'!G$9</x:f>
        <x:v>639.2149581441963</x:v>
      </x:c>
    </x:row>
    <x:row r="169" ht="18" customHeight="1">
      <x:c r="A169" s="2"/>
      <x:c r="B169" s="2"/>
      <x:c r="C169" s="2" t="str">
        <x:v>Van / 23</x:v>
      </x:c>
      <x:c r="D169" s="28" t="n">
        <x:f>'Vehicle Economics'!$J$9*EXP(-'Vehicle Economics'!$J$10*(23-10))*'Vehicle Economics'!G$7</x:f>
        <x:v>4087.9768955101886</x:v>
      </x:c>
      <x:c r="E169" s="28" t="n">
        <x:f>D169*'Vehicle Economics'!G$8</x:f>
        <x:v>1226.3930686530566</x:v>
      </x:c>
      <x:c r="F169" s="28" t="n">
        <x:f>$E169*'Vehicle Economics'!$J$13</x:f>
        <x:v>613.1965343265283</x:v>
      </x:c>
      <x:c r="G169" s="28" t="n">
        <x:f>$E169*'Vehicle Economics'!$J$14</x:f>
        <x:v>1226.3930686530566</x:v>
      </x:c>
      <x:c r="H169" s="28" t="n">
        <x:f>$E169*'Vehicle Economics'!$J$15</x:f>
        <x:v>1839.589602979585</x:v>
      </x:c>
      <x:c r="I169" s="28" t="n">
        <x:f>VLOOKUP(F169,'AD Fees &amp; TLF'!$C$19:$E$63,2,TRUE)+F169*VLOOKUP(F169,'AD Fees &amp; TLF'!$C$19:$E$63,3,TRUE)+VLOOKUP(F169,'AD Fees &amp; TLF'!$G$19:$H$27,2,TRUE)+SUM('AD Fees &amp; TLF'!$H$30:$H$31)</x:f>
        <x:v>405</x:v>
      </x:c>
      <x:c r="J169" s="28" t="n">
        <x:f>VLOOKUP(G169,'AD Fees &amp; TLF'!$C$19:$E$63,2,TRUE)+G169*VLOOKUP(G169,'AD Fees &amp; TLF'!$C$19:$E$63,3,TRUE)+VLOOKUP(G169,'AD Fees &amp; TLF'!$G$19:$H$27,2,TRUE)+SUM('AD Fees &amp; TLF'!$H$30:$H$31)</x:f>
        <x:v>580</x:v>
      </x:c>
      <x:c r="K169" s="28" t="n">
        <x:f>VLOOKUP(H169,'AD Fees &amp; TLF'!$C$19:$E$63,2,TRUE)+H169*VLOOKUP(H169,'AD Fees &amp; TLF'!$C$19:$E$63,3,TRUE)+VLOOKUP(H169,'AD Fees &amp; TLF'!$G$19:$H$27,2,TRUE)+SUM('AD Fees &amp; TLF'!$H$30:$H$31)</x:f>
        <x:v>705</x:v>
      </x:c>
      <x:c r="L169" s="28" t="n">
        <x:f>I169*'Vehicle Economics'!$K$13+J169*'Vehicle Economics'!$K$14+K169*'Vehicle Economics'!$K$15</x:f>
        <x:v>567.5</x:v>
      </x:c>
      <x:c r="M169" s="28" t="n">
        <x:f>L169+E169*'Vehicle Economics'!G$9</x:f>
        <x:v>616.5557227461222</x:v>
      </x:c>
    </x:row>
    <x:row r="170" ht="18" customHeight="1">
      <x:c r="A170" s="2"/>
      <x:c r="B170" s="2"/>
      <x:c r="C170" s="2" t="str">
        <x:v>Van / 24</x:v>
      </x:c>
      <x:c r="D170" s="28" t="n">
        <x:f>'Vehicle Economics'!$J$9*EXP(-'Vehicle Economics'!$J$10*(24-10))*'Vehicle Economics'!G$7</x:f>
        <x:v>3698.9544591240965</x:v>
      </x:c>
      <x:c r="E170" s="28" t="n">
        <x:f>D170*'Vehicle Economics'!G$8</x:f>
        <x:v>1109.686337737229</x:v>
      </x:c>
      <x:c r="F170" s="28" t="n">
        <x:f>$E170*'Vehicle Economics'!$J$13</x:f>
        <x:v>554.8431688686145</x:v>
      </x:c>
      <x:c r="G170" s="28" t="n">
        <x:f>$E170*'Vehicle Economics'!$J$14</x:f>
        <x:v>1109.686337737229</x:v>
      </x:c>
      <x:c r="H170" s="28" t="n">
        <x:f>$E170*'Vehicle Economics'!$J$15</x:f>
        <x:v>1664.5295066058434</x:v>
      </x:c>
      <x:c r="I170" s="28" t="n">
        <x:f>VLOOKUP(F170,'AD Fees &amp; TLF'!$C$19:$E$63,2,TRUE)+F170*VLOOKUP(F170,'AD Fees &amp; TLF'!$C$19:$E$63,3,TRUE)+VLOOKUP(F170,'AD Fees &amp; TLF'!$G$19:$H$27,2,TRUE)+SUM('AD Fees &amp; TLF'!$H$30:$H$31)</x:f>
        <x:v>375</x:v>
      </x:c>
      <x:c r="J170" s="28" t="n">
        <x:f>VLOOKUP(G170,'AD Fees &amp; TLF'!$C$19:$E$63,2,TRUE)+G170*VLOOKUP(G170,'AD Fees &amp; TLF'!$C$19:$E$63,3,TRUE)+VLOOKUP(G170,'AD Fees &amp; TLF'!$G$19:$H$27,2,TRUE)+SUM('AD Fees &amp; TLF'!$H$30:$H$31)</x:f>
        <x:v>560</x:v>
      </x:c>
      <x:c r="K170" s="28" t="n">
        <x:f>VLOOKUP(H170,'AD Fees &amp; TLF'!$C$19:$E$63,2,TRUE)+H170*VLOOKUP(H170,'AD Fees &amp; TLF'!$C$19:$E$63,3,TRUE)+VLOOKUP(H170,'AD Fees &amp; TLF'!$G$19:$H$27,2,TRUE)+SUM('AD Fees &amp; TLF'!$H$30:$H$31)</x:f>
        <x:v>660</x:v>
      </x:c>
      <x:c r="L170" s="28" t="n">
        <x:f>I170*'Vehicle Economics'!$K$13+J170*'Vehicle Economics'!$K$14+K170*'Vehicle Economics'!$K$15</x:f>
        <x:v>538.75</x:v>
      </x:c>
      <x:c r="M170" s="28" t="n">
        <x:f>L170+E170*'Vehicle Economics'!G$9</x:f>
        <x:v>583.1374535094892</x:v>
      </x:c>
    </x:row>
    <x:row r="171" ht="18" customHeight="1">
      <x:c r="A171" s="2"/>
      <x:c r="B171" s="2"/>
      <x:c r="C171" s="2" t="str">
        <x:v>Van / 25</x:v>
      </x:c>
      <x:c r="D171" s="28" t="n">
        <x:f>'Vehicle Economics'!$J$9*EXP(-'Vehicle Economics'!$J$10*(25-10))*'Vehicle Economics'!G$7</x:f>
        <x:v>3346.9524022264477</x:v>
      </x:c>
      <x:c r="E171" s="28" t="n">
        <x:f>D171*'Vehicle Economics'!G$8</x:f>
        <x:v>1004.0857206679343</x:v>
      </x:c>
      <x:c r="F171" s="28" t="n">
        <x:f>$E171*'Vehicle Economics'!$J$13</x:f>
        <x:v>502.04286033396716</x:v>
      </x:c>
      <x:c r="G171" s="28" t="n">
        <x:f>$E171*'Vehicle Economics'!$J$14</x:f>
        <x:v>1004.0857206679343</x:v>
      </x:c>
      <x:c r="H171" s="28" t="n">
        <x:f>$E171*'Vehicle Economics'!$J$15</x:f>
        <x:v>1506.1285810019015</x:v>
      </x:c>
      <x:c r="I171" s="28" t="n">
        <x:f>VLOOKUP(F171,'AD Fees &amp; TLF'!$C$19:$E$63,2,TRUE)+F171*VLOOKUP(F171,'AD Fees &amp; TLF'!$C$19:$E$63,3,TRUE)+VLOOKUP(F171,'AD Fees &amp; TLF'!$G$19:$H$27,2,TRUE)+SUM('AD Fees &amp; TLF'!$H$30:$H$31)</x:f>
        <x:v>370</x:v>
      </x:c>
      <x:c r="J171" s="28" t="n">
        <x:f>VLOOKUP(G171,'AD Fees &amp; TLF'!$C$19:$E$63,2,TRUE)+G171*VLOOKUP(G171,'AD Fees &amp; TLF'!$C$19:$E$63,3,TRUE)+VLOOKUP(G171,'AD Fees &amp; TLF'!$G$19:$H$27,2,TRUE)+SUM('AD Fees &amp; TLF'!$H$30:$H$31)</x:f>
        <x:v>560</x:v>
      </x:c>
      <x:c r="K171" s="28" t="n">
        <x:f>VLOOKUP(H171,'AD Fees &amp; TLF'!$C$19:$E$63,2,TRUE)+H171*VLOOKUP(H171,'AD Fees &amp; TLF'!$C$19:$E$63,3,TRUE)+VLOOKUP(H171,'AD Fees &amp; TLF'!$G$19:$H$27,2,TRUE)+SUM('AD Fees &amp; TLF'!$H$30:$H$31)</x:f>
        <x:v>640</x:v>
      </x:c>
      <x:c r="L171" s="28" t="n">
        <x:f>I171*'Vehicle Economics'!$K$13+J171*'Vehicle Economics'!$K$14+K171*'Vehicle Economics'!$K$15</x:f>
        <x:v>532.5</x:v>
      </x:c>
      <x:c r="M171" s="28" t="n">
        <x:f>L171+E171*'Vehicle Economics'!G$9</x:f>
        <x:v>572.6634288267173</x:v>
      </x:c>
    </x:row>
    <x:row r="172" ht="18" customHeight="1">
      <x:c r="A172" s="2"/>
      <x:c r="B172" s="2"/>
      <x:c r="C172" s="2" t="str">
        <x:v>Van / 26</x:v>
      </x:c>
      <x:c r="D172" s="28" t="n">
        <x:f>'Vehicle Economics'!$J$9*EXP(-'Vehicle Economics'!$J$10*(26-10))*'Vehicle Economics'!G$7</x:f>
        <x:v>3028.447769919831</x:v>
      </x:c>
      <x:c r="E172" s="28" t="n">
        <x:f>D172*'Vehicle Economics'!G$8</x:f>
        <x:v>908.5343309759493</x:v>
      </x:c>
      <x:c r="F172" s="28" t="n">
        <x:f>$E172*'Vehicle Economics'!$J$13</x:f>
        <x:v>454.26716548797464</x:v>
      </x:c>
      <x:c r="G172" s="28" t="n">
        <x:f>$E172*'Vehicle Economics'!$J$14</x:f>
        <x:v>908.5343309759493</x:v>
      </x:c>
      <x:c r="H172" s="28" t="n">
        <x:f>$E172*'Vehicle Economics'!$J$15</x:f>
        <x:v>1362.801496463924</x:v>
      </x:c>
      <x:c r="I172" s="28" t="n">
        <x:f>VLOOKUP(F172,'AD Fees &amp; TLF'!$C$19:$E$63,2,TRUE)+F172*VLOOKUP(F172,'AD Fees &amp; TLF'!$C$19:$E$63,3,TRUE)+VLOOKUP(F172,'AD Fees &amp; TLF'!$G$19:$H$27,2,TRUE)+SUM('AD Fees &amp; TLF'!$H$30:$H$31)</x:f>
        <x:v>335</x:v>
      </x:c>
      <x:c r="J172" s="28" t="n">
        <x:f>VLOOKUP(G172,'AD Fees &amp; TLF'!$C$19:$E$63,2,TRUE)+G172*VLOOKUP(G172,'AD Fees &amp; TLF'!$C$19:$E$63,3,TRUE)+VLOOKUP(G172,'AD Fees &amp; TLF'!$G$19:$H$27,2,TRUE)+SUM('AD Fees &amp; TLF'!$H$30:$H$31)</x:f>
        <x:v>485</x:v>
      </x:c>
      <x:c r="K172" s="28" t="n">
        <x:f>VLOOKUP(H172,'AD Fees &amp; TLF'!$C$19:$E$63,2,TRUE)+H172*VLOOKUP(H172,'AD Fees &amp; TLF'!$C$19:$E$63,3,TRUE)+VLOOKUP(H172,'AD Fees &amp; TLF'!$G$19:$H$27,2,TRUE)+SUM('AD Fees &amp; TLF'!$H$30:$H$31)</x:f>
        <x:v>595</x:v>
      </x:c>
      <x:c r="L172" s="28" t="n">
        <x:f>I172*'Vehicle Economics'!$K$13+J172*'Vehicle Economics'!$K$14+K172*'Vehicle Economics'!$K$15</x:f>
        <x:v>475</x:v>
      </x:c>
      <x:c r="M172" s="28" t="n">
        <x:f>L172+E172*'Vehicle Economics'!G$9</x:f>
        <x:v>511.341373239038</x:v>
      </x:c>
    </x:row>
    <x:row r="173" ht="18" customHeight="1">
      <x:c r="A173" s="2"/>
      <x:c r="B173" s="2"/>
      <x:c r="C173" s="2" t="str">
        <x:v>Van / 27</x:v>
      </x:c>
      <x:c r="D173" s="28" t="n">
        <x:f>'Vehicle Economics'!$J$9*EXP(-'Vehicle Economics'!$J$10*(27-10))*'Vehicle Economics'!G$7</x:f>
        <x:v>2740.2528607910194</x:v>
      </x:c>
      <x:c r="E173" s="28" t="n">
        <x:f>D173*'Vehicle Economics'!G$8</x:f>
        <x:v>822.0758582373059</x:v>
      </x:c>
      <x:c r="F173" s="28" t="n">
        <x:f>$E173*'Vehicle Economics'!$J$13</x:f>
        <x:v>411.0379291186529</x:v>
      </x:c>
      <x:c r="G173" s="28" t="n">
        <x:f>$E173*'Vehicle Economics'!$J$14</x:f>
        <x:v>822.0758582373059</x:v>
      </x:c>
      <x:c r="H173" s="28" t="n">
        <x:f>$E173*'Vehicle Economics'!$J$15</x:f>
        <x:v>1233.1137873559587</x:v>
      </x:c>
      <x:c r="I173" s="28" t="n">
        <x:f>VLOOKUP(F173,'AD Fees &amp; TLF'!$C$19:$E$63,2,TRUE)+F173*VLOOKUP(F173,'AD Fees &amp; TLF'!$C$19:$E$63,3,TRUE)+VLOOKUP(F173,'AD Fees &amp; TLF'!$G$19:$H$27,2,TRUE)+SUM('AD Fees &amp; TLF'!$H$30:$H$31)</x:f>
        <x:v>325</x:v>
      </x:c>
      <x:c r="J173" s="28" t="n">
        <x:f>VLOOKUP(G173,'AD Fees &amp; TLF'!$C$19:$E$63,2,TRUE)+G173*VLOOKUP(G173,'AD Fees &amp; TLF'!$C$19:$E$63,3,TRUE)+VLOOKUP(G173,'AD Fees &amp; TLF'!$G$19:$H$27,2,TRUE)+SUM('AD Fees &amp; TLF'!$H$30:$H$31)</x:f>
        <x:v>460</x:v>
      </x:c>
      <x:c r="K173" s="28" t="n">
        <x:f>VLOOKUP(H173,'AD Fees &amp; TLF'!$C$19:$E$63,2,TRUE)+H173*VLOOKUP(H173,'AD Fees &amp; TLF'!$C$19:$E$63,3,TRUE)+VLOOKUP(H173,'AD Fees &amp; TLF'!$G$19:$H$27,2,TRUE)+SUM('AD Fees &amp; TLF'!$H$30:$H$31)</x:f>
        <x:v>580</x:v>
      </x:c>
      <x:c r="L173" s="28" t="n">
        <x:f>I173*'Vehicle Economics'!$K$13+J173*'Vehicle Economics'!$K$14+K173*'Vehicle Economics'!$K$15</x:f>
        <x:v>456.25</x:v>
      </x:c>
      <x:c r="M173" s="28" t="n">
        <x:f>L173+E173*'Vehicle Economics'!G$9</x:f>
        <x:v>489.13303432949226</x:v>
      </x:c>
    </x:row>
    <x:row r="174" ht="18" customHeight="1">
      <x:c r="A174" s="2"/>
      <x:c r="B174" s="2"/>
      <x:c r="C174" s="2" t="str">
        <x:v>Van / 28</x:v>
      </x:c>
      <x:c r="D174" s="28" t="n">
        <x:f>'Vehicle Economics'!$J$9*EXP(-'Vehicle Economics'!$J$10*(28-10))*'Vehicle Economics'!G$7</x:f>
        <x:v>2479.483323323798</x:v>
      </x:c>
      <x:c r="E174" s="28" t="n">
        <x:f>D174*'Vehicle Economics'!G$8</x:f>
        <x:v>743.8449969971393</x:v>
      </x:c>
      <x:c r="F174" s="28" t="n">
        <x:f>$E174*'Vehicle Economics'!$J$13</x:f>
        <x:v>371.92249849856967</x:v>
      </x:c>
      <x:c r="G174" s="28" t="n">
        <x:f>$E174*'Vehicle Economics'!$J$14</x:f>
        <x:v>743.8449969971393</x:v>
      </x:c>
      <x:c r="H174" s="28" t="n">
        <x:f>$E174*'Vehicle Economics'!$J$15</x:f>
        <x:v>1115.767495495709</x:v>
      </x:c>
      <x:c r="I174" s="28" t="n">
        <x:f>VLOOKUP(F174,'AD Fees &amp; TLF'!$C$19:$E$63,2,TRUE)+F174*VLOOKUP(F174,'AD Fees &amp; TLF'!$C$19:$E$63,3,TRUE)+VLOOKUP(F174,'AD Fees &amp; TLF'!$G$19:$H$27,2,TRUE)+SUM('AD Fees &amp; TLF'!$H$30:$H$31)</x:f>
        <x:v>295</x:v>
      </x:c>
      <x:c r="J174" s="28" t="n">
        <x:f>VLOOKUP(G174,'AD Fees &amp; TLF'!$C$19:$E$63,2,TRUE)+G174*VLOOKUP(G174,'AD Fees &amp; TLF'!$C$19:$E$63,3,TRUE)+VLOOKUP(G174,'AD Fees &amp; TLF'!$G$19:$H$27,2,TRUE)+SUM('AD Fees &amp; TLF'!$H$30:$H$31)</x:f>
        <x:v>435</x:v>
      </x:c>
      <x:c r="K174" s="28" t="n">
        <x:f>VLOOKUP(H174,'AD Fees &amp; TLF'!$C$19:$E$63,2,TRUE)+H174*VLOOKUP(H174,'AD Fees &amp; TLF'!$C$19:$E$63,3,TRUE)+VLOOKUP(H174,'AD Fees &amp; TLF'!$G$19:$H$27,2,TRUE)+SUM('AD Fees &amp; TLF'!$H$30:$H$31)</x:f>
        <x:v>560</x:v>
      </x:c>
      <x:c r="L174" s="28" t="n">
        <x:f>I174*'Vehicle Economics'!$K$13+J174*'Vehicle Economics'!$K$14+K174*'Vehicle Economics'!$K$15</x:f>
        <x:v>431.25</x:v>
      </x:c>
      <x:c r="M174" s="28" t="n">
        <x:f>L174+E174*'Vehicle Economics'!G$9</x:f>
        <x:v>461.00379987988555</x:v>
      </x:c>
    </x:row>
    <x:row r="175" ht="18" customHeight="1">
      <x:c r="A175" s="2"/>
      <x:c r="B175" s="2"/>
      <x:c r="C175" s="2" t="str">
        <x:v>Van / 29</x:v>
      </x:c>
      <x:c r="D175" s="28" t="n">
        <x:f>'Vehicle Economics'!$J$9*EXP(-'Vehicle Economics'!$J$10*(29-10))*'Vehicle Economics'!G$7</x:f>
        <x:v>2243.5292883395255</x:v>
      </x:c>
      <x:c r="E175" s="28" t="n">
        <x:f>D175*'Vehicle Economics'!G$8</x:f>
        <x:v>673.0587865018576</x:v>
      </x:c>
      <x:c r="F175" s="28" t="n">
        <x:f>$E175*'Vehicle Economics'!$J$13</x:f>
        <x:v>336.5293932509288</x:v>
      </x:c>
      <x:c r="G175" s="28" t="n">
        <x:f>$E175*'Vehicle Economics'!$J$14</x:f>
        <x:v>673.0587865018576</x:v>
      </x:c>
      <x:c r="H175" s="28" t="n">
        <x:f>$E175*'Vehicle Economics'!$J$15</x:f>
        <x:v>1009.5881797527865</x:v>
      </x:c>
      <x:c r="I175" s="28" t="n">
        <x:f>VLOOKUP(F175,'AD Fees &amp; TLF'!$C$19:$E$63,2,TRUE)+F175*VLOOKUP(F175,'AD Fees &amp; TLF'!$C$19:$E$63,3,TRUE)+VLOOKUP(F175,'AD Fees &amp; TLF'!$G$19:$H$27,2,TRUE)+SUM('AD Fees &amp; TLF'!$H$30:$H$31)</x:f>
        <x:v>287.5</x:v>
      </x:c>
      <x:c r="J175" s="28" t="n">
        <x:f>VLOOKUP(G175,'AD Fees &amp; TLF'!$C$19:$E$63,2,TRUE)+G175*VLOOKUP(G175,'AD Fees &amp; TLF'!$C$19:$E$63,3,TRUE)+VLOOKUP(G175,'AD Fees &amp; TLF'!$G$19:$H$27,2,TRUE)+SUM('AD Fees &amp; TLF'!$H$30:$H$31)</x:f>
        <x:v>405</x:v>
      </x:c>
      <x:c r="K175" s="28" t="n">
        <x:f>VLOOKUP(H175,'AD Fees &amp; TLF'!$C$19:$E$63,2,TRUE)+H175*VLOOKUP(H175,'AD Fees &amp; TLF'!$C$19:$E$63,3,TRUE)+VLOOKUP(H175,'AD Fees &amp; TLF'!$G$19:$H$27,2,TRUE)+SUM('AD Fees &amp; TLF'!$H$30:$H$31)</x:f>
        <x:v>560</x:v>
      </x:c>
      <x:c r="L175" s="28" t="n">
        <x:f>I175*'Vehicle Economics'!$K$13+J175*'Vehicle Economics'!$K$14+K175*'Vehicle Economics'!$K$15</x:f>
        <x:v>414.375</x:v>
      </x:c>
      <x:c r="M175" s="28" t="n">
        <x:f>L175+E175*'Vehicle Economics'!G$9</x:f>
        <x:v>441.2973514600743</x:v>
      </x:c>
    </x:row>
    <x:row r="176" ht="18" customHeight="1">
      <x:c r="A176" s="2"/>
      <x:c r="B176" s="2"/>
      <x:c r="C176" s="2" t="str">
        <x:v>Van / 30</x:v>
      </x:c>
      <x:c r="D176" s="28" t="n">
        <x:f>'Vehicle Economics'!$J$9*EXP(-'Vehicle Economics'!$J$10*(30-10))*'Vehicle Economics'!G$7</x:f>
        <x:v>2030.0292485491907</x:v>
      </x:c>
      <x:c r="E176" s="28" t="n">
        <x:f>D176*'Vehicle Economics'!G$8</x:f>
        <x:v>609.0087745647572</x:v>
      </x:c>
      <x:c r="F176" s="28" t="n">
        <x:f>$E176*'Vehicle Economics'!$J$13</x:f>
        <x:v>304.5043872823786</x:v>
      </x:c>
      <x:c r="G176" s="28" t="n">
        <x:f>$E176*'Vehicle Economics'!$J$14</x:f>
        <x:v>609.0087745647572</x:v>
      </x:c>
      <x:c r="H176" s="28" t="n">
        <x:f>$E176*'Vehicle Economics'!$J$15</x:f>
        <x:v>913.5131618471358</x:v>
      </x:c>
      <x:c r="I176" s="28" t="n">
        <x:f>VLOOKUP(F176,'AD Fees &amp; TLF'!$C$19:$E$63,2,TRUE)+F176*VLOOKUP(F176,'AD Fees &amp; TLF'!$C$19:$E$63,3,TRUE)+VLOOKUP(F176,'AD Fees &amp; TLF'!$G$19:$H$27,2,TRUE)+SUM('AD Fees &amp; TLF'!$H$30:$H$31)</x:f>
        <x:v>287.5</x:v>
      </x:c>
      <x:c r="J176" s="28" t="n">
        <x:f>VLOOKUP(G176,'AD Fees &amp; TLF'!$C$19:$E$63,2,TRUE)+G176*VLOOKUP(G176,'AD Fees &amp; TLF'!$C$19:$E$63,3,TRUE)+VLOOKUP(G176,'AD Fees &amp; TLF'!$G$19:$H$27,2,TRUE)+SUM('AD Fees &amp; TLF'!$H$30:$H$31)</x:f>
        <x:v>405</x:v>
      </x:c>
      <x:c r="K176" s="28" t="n">
        <x:f>VLOOKUP(H176,'AD Fees &amp; TLF'!$C$19:$E$63,2,TRUE)+H176*VLOOKUP(H176,'AD Fees &amp; TLF'!$C$19:$E$63,3,TRUE)+VLOOKUP(H176,'AD Fees &amp; TLF'!$G$19:$H$27,2,TRUE)+SUM('AD Fees &amp; TLF'!$H$30:$H$31)</x:f>
        <x:v>485</x:v>
      </x:c>
      <x:c r="L176" s="28" t="n">
        <x:f>I176*'Vehicle Economics'!$K$13+J176*'Vehicle Economics'!$K$14+K176*'Vehicle Economics'!$K$15</x:f>
        <x:v>395.625</x:v>
      </x:c>
      <x:c r="M176" s="28" t="n">
        <x:f>L176+E176*'Vehicle Economics'!G$9</x:f>
        <x:v>419.98535098259026</x:v>
      </x:c>
    </x:row>
    <x:row r="177" ht="18" customHeight="1">
      <x:c r="A177" s="2"/>
      <x:c r="B177" s="2"/>
      <x:c r="C177" s="2" t="str">
        <x:v>Van / 31</x:v>
      </x:c>
      <x:c r="D177" s="28" t="n">
        <x:f>'Vehicle Economics'!$J$9*EXP(-'Vehicle Economics'!$J$10*(31-10))*'Vehicle Economics'!G$7</x:f>
        <x:v>1836.8464237947287</x:v>
      </x:c>
      <x:c r="E177" s="28" t="n">
        <x:f>D177*'Vehicle Economics'!G$8</x:f>
        <x:v>551.0539271384185</x:v>
      </x:c>
      <x:c r="F177" s="28" t="n">
        <x:f>$E177*'Vehicle Economics'!$J$13</x:f>
        <x:v>275.5269635692093</x:v>
      </x:c>
      <x:c r="G177" s="28" t="n">
        <x:f>$E177*'Vehicle Economics'!$J$14</x:f>
        <x:v>551.0539271384185</x:v>
      </x:c>
      <x:c r="H177" s="28" t="n">
        <x:f>$E177*'Vehicle Economics'!$J$15</x:f>
        <x:v>826.5808907076278</x:v>
      </x:c>
      <x:c r="I177" s="28" t="n">
        <x:f>VLOOKUP(F177,'AD Fees &amp; TLF'!$C$19:$E$63,2,TRUE)+F177*VLOOKUP(F177,'AD Fees &amp; TLF'!$C$19:$E$63,3,TRUE)+VLOOKUP(F177,'AD Fees &amp; TLF'!$G$19:$H$27,2,TRUE)+SUM('AD Fees &amp; TLF'!$H$30:$H$31)</x:f>
        <x:v>280</x:v>
      </x:c>
      <x:c r="J177" s="28" t="n">
        <x:f>VLOOKUP(G177,'AD Fees &amp; TLF'!$C$19:$E$63,2,TRUE)+G177*VLOOKUP(G177,'AD Fees &amp; TLF'!$C$19:$E$63,3,TRUE)+VLOOKUP(G177,'AD Fees &amp; TLF'!$G$19:$H$27,2,TRUE)+SUM('AD Fees &amp; TLF'!$H$30:$H$31)</x:f>
        <x:v>375</x:v>
      </x:c>
      <x:c r="K177" s="28" t="n">
        <x:f>VLOOKUP(H177,'AD Fees &amp; TLF'!$C$19:$E$63,2,TRUE)+H177*VLOOKUP(H177,'AD Fees &amp; TLF'!$C$19:$E$63,3,TRUE)+VLOOKUP(H177,'AD Fees &amp; TLF'!$G$19:$H$27,2,TRUE)+SUM('AD Fees &amp; TLF'!$H$30:$H$31)</x:f>
        <x:v>460</x:v>
      </x:c>
      <x:c r="L177" s="28" t="n">
        <x:f>I177*'Vehicle Economics'!$K$13+J177*'Vehicle Economics'!$K$14+K177*'Vehicle Economics'!$K$15</x:f>
        <x:v>372.5</x:v>
      </x:c>
      <x:c r="M177" s="28" t="n">
        <x:f>L177+E177*'Vehicle Economics'!G$9</x:f>
        <x:v>394.54215708553676</x:v>
      </x:c>
    </x:row>
    <x:row r="178" ht="18" customHeight="1">
      <x:c r="A178" s="2"/>
      <x:c r="B178" s="2"/>
      <x:c r="C178" s="2" t="str">
        <x:v>Van / 32</x:v>
      </x:c>
      <x:c r="D178" s="28" t="n">
        <x:f>'Vehicle Economics'!$J$9*EXP(-'Vehicle Economics'!$J$10*(32-10))*'Vehicle Economics'!G$7</x:f>
        <x:v>1662.0473754350082</x:v>
      </x:c>
      <x:c r="E178" s="28" t="n">
        <x:f>D178*'Vehicle Economics'!G$8</x:f>
        <x:v>498.61421263050244</x:v>
      </x:c>
      <x:c r="F178" s="28" t="n">
        <x:f>$E178*'Vehicle Economics'!$J$13</x:f>
        <x:v>249.30710631525122</x:v>
      </x:c>
      <x:c r="G178" s="28" t="n">
        <x:f>$E178*'Vehicle Economics'!$J$14</x:f>
        <x:v>498.61421263050244</x:v>
      </x:c>
      <x:c r="H178" s="28" t="n">
        <x:f>$E178*'Vehicle Economics'!$J$15</x:f>
        <x:v>747.9213189457537</x:v>
      </x:c>
      <x:c r="I178" s="28" t="n">
        <x:f>VLOOKUP(F178,'AD Fees &amp; TLF'!$C$19:$E$63,2,TRUE)+F178*VLOOKUP(F178,'AD Fees &amp; TLF'!$C$19:$E$63,3,TRUE)+VLOOKUP(F178,'AD Fees &amp; TLF'!$G$19:$H$27,2,TRUE)+SUM('AD Fees &amp; TLF'!$H$30:$H$31)</x:f>
        <x:v>280</x:v>
      </x:c>
      <x:c r="J178" s="28" t="n">
        <x:f>VLOOKUP(G178,'AD Fees &amp; TLF'!$C$19:$E$63,2,TRUE)+G178*VLOOKUP(G178,'AD Fees &amp; TLF'!$C$19:$E$63,3,TRUE)+VLOOKUP(G178,'AD Fees &amp; TLF'!$G$19:$H$27,2,TRUE)+SUM('AD Fees &amp; TLF'!$H$30:$H$31)</x:f>
        <x:v>335</x:v>
      </x:c>
      <x:c r="K178" s="28" t="n">
        <x:f>VLOOKUP(H178,'AD Fees &amp; TLF'!$C$19:$E$63,2,TRUE)+H178*VLOOKUP(H178,'AD Fees &amp; TLF'!$C$19:$E$63,3,TRUE)+VLOOKUP(H178,'AD Fees &amp; TLF'!$G$19:$H$27,2,TRUE)+SUM('AD Fees &amp; TLF'!$H$30:$H$31)</x:f>
        <x:v>435</x:v>
      </x:c>
      <x:c r="L178" s="28" t="n">
        <x:f>I178*'Vehicle Economics'!$K$13+J178*'Vehicle Economics'!$K$14+K178*'Vehicle Economics'!$K$15</x:f>
        <x:v>346.25</x:v>
      </x:c>
      <x:c r="M178" s="28" t="n">
        <x:f>L178+E178*'Vehicle Economics'!G$9</x:f>
        <x:v>366.1945685052201</x:v>
      </x:c>
    </x:row>
    <x:row r="179" ht="18" customHeight="1">
      <x:c r="A179" s="2"/>
      <x:c r="B179" s="2"/>
      <x:c r="C179" s="2" t="str">
        <x:v>Van / 33</x:v>
      </x:c>
      <x:c r="D179" s="28" t="n">
        <x:f>'Vehicle Economics'!$J$9*EXP(-'Vehicle Economics'!$J$10*(33-10))*'Vehicle Economics'!G$7</x:f>
        <x:v>1503.8826558420556</x:v>
      </x:c>
      <x:c r="E179" s="28" t="n">
        <x:f>D179*'Vehicle Economics'!G$8</x:f>
        <x:v>451.16479675261667</x:v>
      </x:c>
      <x:c r="F179" s="28" t="n">
        <x:f>$E179*'Vehicle Economics'!$J$13</x:f>
        <x:v>225.58239837630833</x:v>
      </x:c>
      <x:c r="G179" s="28" t="n">
        <x:f>$E179*'Vehicle Economics'!$J$14</x:f>
        <x:v>451.16479675261667</x:v>
      </x:c>
      <x:c r="H179" s="28" t="n">
        <x:f>$E179*'Vehicle Economics'!$J$15</x:f>
        <x:v>676.747195128925</x:v>
      </x:c>
      <x:c r="I179" s="28" t="n">
        <x:f>VLOOKUP(F179,'AD Fees &amp; TLF'!$C$19:$E$63,2,TRUE)+F179*VLOOKUP(F179,'AD Fees &amp; TLF'!$C$19:$E$63,3,TRUE)+VLOOKUP(F179,'AD Fees &amp; TLF'!$G$19:$H$27,2,TRUE)+SUM('AD Fees &amp; TLF'!$H$30:$H$31)</x:f>
        <x:v>280</x:v>
      </x:c>
      <x:c r="J179" s="28" t="n">
        <x:f>VLOOKUP(G179,'AD Fees &amp; TLF'!$C$19:$E$63,2,TRUE)+G179*VLOOKUP(G179,'AD Fees &amp; TLF'!$C$19:$E$63,3,TRUE)+VLOOKUP(G179,'AD Fees &amp; TLF'!$G$19:$H$27,2,TRUE)+SUM('AD Fees &amp; TLF'!$H$30:$H$31)</x:f>
        <x:v>335</x:v>
      </x:c>
      <x:c r="K179" s="28" t="n">
        <x:f>VLOOKUP(H179,'AD Fees &amp; TLF'!$C$19:$E$63,2,TRUE)+H179*VLOOKUP(H179,'AD Fees &amp; TLF'!$C$19:$E$63,3,TRUE)+VLOOKUP(H179,'AD Fees &amp; TLF'!$G$19:$H$27,2,TRUE)+SUM('AD Fees &amp; TLF'!$H$30:$H$31)</x:f>
        <x:v>405</x:v>
      </x:c>
      <x:c r="L179" s="28" t="n">
        <x:f>I179*'Vehicle Economics'!$K$13+J179*'Vehicle Economics'!$K$14+K179*'Vehicle Economics'!$K$15</x:f>
        <x:v>338.75</x:v>
      </x:c>
      <x:c r="M179" s="28" t="n">
        <x:f>L179+E179*'Vehicle Economics'!G$9</x:f>
        <x:v>356.7965918701047</x:v>
      </x:c>
    </x:row>
    <x:row r="180" ht="18" customHeight="1">
      <x:c r="A180" s="2"/>
      <x:c r="B180" s="2"/>
      <x:c r="C180" s="2" t="str">
        <x:v>Van / 34</x:v>
      </x:c>
      <x:c r="D180" s="28" t="n">
        <x:f>'Vehicle Economics'!$J$9*EXP(-'Vehicle Economics'!$J$10*(34-10))*'Vehicle Economics'!G$7</x:f>
        <x:v>1360.769299341187</x:v>
      </x:c>
      <x:c r="E180" s="28" t="n">
        <x:f>D180*'Vehicle Economics'!G$8</x:f>
        <x:v>408.23078980235607</x:v>
      </x:c>
      <x:c r="F180" s="28" t="n">
        <x:f>$E180*'Vehicle Economics'!$J$13</x:f>
        <x:v>204.11539490117804</x:v>
      </x:c>
      <x:c r="G180" s="28" t="n">
        <x:f>$E180*'Vehicle Economics'!$J$14</x:f>
        <x:v>408.23078980235607</x:v>
      </x:c>
      <x:c r="H180" s="28" t="n">
        <x:f>$E180*'Vehicle Economics'!$J$15</x:f>
        <x:v>612.3461847035342</x:v>
      </x:c>
      <x:c r="I180" s="28" t="n">
        <x:f>VLOOKUP(F180,'AD Fees &amp; TLF'!$C$19:$E$63,2,TRUE)+F180*VLOOKUP(F180,'AD Fees &amp; TLF'!$C$19:$E$63,3,TRUE)+VLOOKUP(F180,'AD Fees &amp; TLF'!$G$19:$H$27,2,TRUE)+SUM('AD Fees &amp; TLF'!$H$30:$H$31)</x:f>
        <x:v>280</x:v>
      </x:c>
      <x:c r="J180" s="28" t="n">
        <x:f>VLOOKUP(G180,'AD Fees &amp; TLF'!$C$19:$E$63,2,TRUE)+G180*VLOOKUP(G180,'AD Fees &amp; TLF'!$C$19:$E$63,3,TRUE)+VLOOKUP(G180,'AD Fees &amp; TLF'!$G$19:$H$27,2,TRUE)+SUM('AD Fees &amp; TLF'!$H$30:$H$31)</x:f>
        <x:v>325</x:v>
      </x:c>
      <x:c r="K180" s="28" t="n">
        <x:f>VLOOKUP(H180,'AD Fees &amp; TLF'!$C$19:$E$63,2,TRUE)+H180*VLOOKUP(H180,'AD Fees &amp; TLF'!$C$19:$E$63,3,TRUE)+VLOOKUP(H180,'AD Fees &amp; TLF'!$G$19:$H$27,2,TRUE)+SUM('AD Fees &amp; TLF'!$H$30:$H$31)</x:f>
        <x:v>405</x:v>
      </x:c>
      <x:c r="L180" s="28" t="n">
        <x:f>I180*'Vehicle Economics'!$K$13+J180*'Vehicle Economics'!$K$14+K180*'Vehicle Economics'!$K$15</x:f>
        <x:v>333.75</x:v>
      </x:c>
      <x:c r="M180" s="28" t="n">
        <x:f>L180+E180*'Vehicle Economics'!G$9</x:f>
        <x:v>350.07923159209423</x:v>
      </x:c>
    </x:row>
    <x:row r="181" ht="18" customHeight="1">
      <x:c r="A181" s="2"/>
      <x:c r="B181" s="2"/>
      <x:c r="C181" s="2" t="str">
        <x:v>Van / 35</x:v>
      </x:c>
      <x:c r="D181" s="28" t="n">
        <x:f>'Vehicle Economics'!$J$9*EXP(-'Vehicle Economics'!$J$10*(35-10))*'Vehicle Economics'!G$7</x:f>
        <x:v>1231.274979358482</x:v>
      </x:c>
      <x:c r="E181" s="28" t="n">
        <x:f>D181*'Vehicle Economics'!G$8</x:f>
        <x:v>369.38249380754456</x:v>
      </x:c>
      <x:c r="F181" s="28" t="n">
        <x:f>$E181*'Vehicle Economics'!$J$13</x:f>
        <x:v>184.69124690377228</x:v>
      </x:c>
      <x:c r="G181" s="28" t="n">
        <x:f>$E181*'Vehicle Economics'!$J$14</x:f>
        <x:v>369.38249380754456</x:v>
      </x:c>
      <x:c r="H181" s="28" t="n">
        <x:f>$E181*'Vehicle Economics'!$J$15</x:f>
        <x:v>554.0737407113169</x:v>
      </x:c>
      <x:c r="I181" s="28" t="n">
        <x:f>VLOOKUP(F181,'AD Fees &amp; TLF'!$C$19:$E$63,2,TRUE)+F181*VLOOKUP(F181,'AD Fees &amp; TLF'!$C$19:$E$63,3,TRUE)+VLOOKUP(F181,'AD Fees &amp; TLF'!$G$19:$H$27,2,TRUE)+SUM('AD Fees &amp; TLF'!$H$30:$H$31)</x:f>
        <x:v>230</x:v>
      </x:c>
      <x:c r="J181" s="28" t="n">
        <x:f>VLOOKUP(G181,'AD Fees &amp; TLF'!$C$19:$E$63,2,TRUE)+G181*VLOOKUP(G181,'AD Fees &amp; TLF'!$C$19:$E$63,3,TRUE)+VLOOKUP(G181,'AD Fees &amp; TLF'!$G$19:$H$27,2,TRUE)+SUM('AD Fees &amp; TLF'!$H$30:$H$31)</x:f>
        <x:v>295</x:v>
      </x:c>
      <x:c r="K181" s="28" t="n">
        <x:f>VLOOKUP(H181,'AD Fees &amp; TLF'!$C$19:$E$63,2,TRUE)+H181*VLOOKUP(H181,'AD Fees &amp; TLF'!$C$19:$E$63,3,TRUE)+VLOOKUP(H181,'AD Fees &amp; TLF'!$G$19:$H$27,2,TRUE)+SUM('AD Fees &amp; TLF'!$H$30:$H$31)</x:f>
        <x:v>375</x:v>
      </x:c>
      <x:c r="L181" s="28" t="n">
        <x:f>I181*'Vehicle Economics'!$K$13+J181*'Vehicle Economics'!$K$14+K181*'Vehicle Economics'!$K$15</x:f>
        <x:v>298.75</x:v>
      </x:c>
      <x:c r="M181" s="28" t="n">
        <x:f>L181+E181*'Vehicle Economics'!G$9</x:f>
        <x:v>313.5252997523018</x:v>
      </x:c>
    </x:row>
    <x:row r="182" ht="18" customHeight="1">
      <x:c r="A182" s="2"/>
      <x:c r="B182" s="2"/>
      <x:c r="C182" s="2" t="str">
        <x:v>Van / 36</x:v>
      </x:c>
      <x:c r="D182" s="28" t="n">
        <x:f>'Vehicle Economics'!$J$9*EXP(-'Vehicle Economics'!$J$10*(36-10))*'Vehicle Economics'!G$7</x:f>
        <x:v>1114.103673215008</x:v>
      </x:c>
      <x:c r="E182" s="28" t="n">
        <x:f>D182*'Vehicle Economics'!G$8</x:f>
        <x:v>334.2311019645024</x:v>
      </x:c>
      <x:c r="F182" s="28" t="n">
        <x:f>$E182*'Vehicle Economics'!$J$13</x:f>
        <x:v>167.1155509822512</x:v>
      </x:c>
      <x:c r="G182" s="28" t="n">
        <x:f>$E182*'Vehicle Economics'!$J$14</x:f>
        <x:v>334.2311019645024</x:v>
      </x:c>
      <x:c r="H182" s="28" t="n">
        <x:f>$E182*'Vehicle Economics'!$J$15</x:f>
        <x:v>501.3466529467536</x:v>
      </x:c>
      <x:c r="I182" s="28" t="n">
        <x:f>VLOOKUP(F182,'AD Fees &amp; TLF'!$C$19:$E$63,2,TRUE)+F182*VLOOKUP(F182,'AD Fees &amp; TLF'!$C$19:$E$63,3,TRUE)+VLOOKUP(F182,'AD Fees &amp; TLF'!$G$19:$H$27,2,TRUE)+SUM('AD Fees &amp; TLF'!$H$30:$H$31)</x:f>
        <x:v>230</x:v>
      </x:c>
      <x:c r="J182" s="28" t="n">
        <x:f>VLOOKUP(G182,'AD Fees &amp; TLF'!$C$19:$E$63,2,TRUE)+G182*VLOOKUP(G182,'AD Fees &amp; TLF'!$C$19:$E$63,3,TRUE)+VLOOKUP(G182,'AD Fees &amp; TLF'!$G$19:$H$27,2,TRUE)+SUM('AD Fees &amp; TLF'!$H$30:$H$31)</x:f>
        <x:v>287.5</x:v>
      </x:c>
      <x:c r="K182" s="28" t="n">
        <x:f>VLOOKUP(H182,'AD Fees &amp; TLF'!$C$19:$E$63,2,TRUE)+H182*VLOOKUP(H182,'AD Fees &amp; TLF'!$C$19:$E$63,3,TRUE)+VLOOKUP(H182,'AD Fees &amp; TLF'!$G$19:$H$27,2,TRUE)+SUM('AD Fees &amp; TLF'!$H$30:$H$31)</x:f>
        <x:v>370</x:v>
      </x:c>
      <x:c r="L182" s="28" t="n">
        <x:f>I182*'Vehicle Economics'!$K$13+J182*'Vehicle Economics'!$K$14+K182*'Vehicle Economics'!$K$15</x:f>
        <x:v>293.75</x:v>
      </x:c>
      <x:c r="M182" s="28" t="n">
        <x:f>L182+E182*'Vehicle Economics'!G$9</x:f>
        <x:v>307.1192440785801</x:v>
      </x:c>
    </x:row>
    <x:row r="183" ht="18" customHeight="1">
      <x:c r="A183" s="2"/>
      <x:c r="B183" s="2"/>
      <x:c r="C183" s="2" t="str">
        <x:v>Van / 37</x:v>
      </x:c>
      <x:c r="D183" s="28" t="n">
        <x:f>'Vehicle Economics'!$J$9*EXP(-'Vehicle Economics'!$J$10*(37-10))*'Vehicle Economics'!G$7</x:f>
        <x:v>1008.0826910962464</x:v>
      </x:c>
      <x:c r="E183" s="28" t="n">
        <x:f>D183*'Vehicle Economics'!G$8</x:f>
        <x:v>302.4248073288739</x:v>
      </x:c>
      <x:c r="F183" s="28" t="n">
        <x:f>$E183*'Vehicle Economics'!$J$13</x:f>
        <x:v>151.21240366443695</x:v>
      </x:c>
      <x:c r="G183" s="28" t="n">
        <x:f>$E183*'Vehicle Economics'!$J$14</x:f>
        <x:v>302.4248073288739</x:v>
      </x:c>
      <x:c r="H183" s="28" t="n">
        <x:f>$E183*'Vehicle Economics'!$J$15</x:f>
        <x:v>453.6372109933109</x:v>
      </x:c>
      <x:c r="I183" s="28" t="n">
        <x:f>VLOOKUP(F183,'AD Fees &amp; TLF'!$C$19:$E$63,2,TRUE)+F183*VLOOKUP(F183,'AD Fees &amp; TLF'!$C$19:$E$63,3,TRUE)+VLOOKUP(F183,'AD Fees &amp; TLF'!$G$19:$H$27,2,TRUE)+SUM('AD Fees &amp; TLF'!$H$30:$H$31)</x:f>
        <x:v>230</x:v>
      </x:c>
      <x:c r="J183" s="28" t="n">
        <x:f>VLOOKUP(G183,'AD Fees &amp; TLF'!$C$19:$E$63,2,TRUE)+G183*VLOOKUP(G183,'AD Fees &amp; TLF'!$C$19:$E$63,3,TRUE)+VLOOKUP(G183,'AD Fees &amp; TLF'!$G$19:$H$27,2,TRUE)+SUM('AD Fees &amp; TLF'!$H$30:$H$31)</x:f>
        <x:v>287.5</x:v>
      </x:c>
      <x:c r="K183" s="28" t="n">
        <x:f>VLOOKUP(H183,'AD Fees &amp; TLF'!$C$19:$E$63,2,TRUE)+H183*VLOOKUP(H183,'AD Fees &amp; TLF'!$C$19:$E$63,3,TRUE)+VLOOKUP(H183,'AD Fees &amp; TLF'!$G$19:$H$27,2,TRUE)+SUM('AD Fees &amp; TLF'!$H$30:$H$31)</x:f>
        <x:v>335</x:v>
      </x:c>
      <x:c r="L183" s="28" t="n">
        <x:f>I183*'Vehicle Economics'!$K$13+J183*'Vehicle Economics'!$K$14+K183*'Vehicle Economics'!$K$15</x:f>
        <x:v>285</x:v>
      </x:c>
      <x:c r="M183" s="28" t="n">
        <x:f>L183+E183*'Vehicle Economics'!G$9</x:f>
        <x:v>297.096992293155</x:v>
      </x:c>
    </x:row>
    <x:row r="184" ht="18" customHeight="1">
      <x:c r="A184" s="2"/>
      <x:c r="B184" s="2"/>
      <x:c r="C184" s="2" t="str">
        <x:v>Van / 38</x:v>
      </x:c>
      <x:c r="D184" s="28" t="n">
        <x:f>'Vehicle Economics'!$J$9*EXP(-'Vehicle Economics'!$J$10*(38-10))*'Vehicle Economics'!G$7</x:f>
        <x:v>912.1509393782692</x:v>
      </x:c>
      <x:c r="E184" s="28" t="n">
        <x:f>D184*'Vehicle Economics'!G$8</x:f>
        <x:v>273.6452818134807</x:v>
      </x:c>
      <x:c r="F184" s="28" t="n">
        <x:f>$E184*'Vehicle Economics'!$J$13</x:f>
        <x:v>136.82264090674036</x:v>
      </x:c>
      <x:c r="G184" s="28" t="n">
        <x:f>$E184*'Vehicle Economics'!$J$14</x:f>
        <x:v>273.6452818134807</x:v>
      </x:c>
      <x:c r="H184" s="28" t="n">
        <x:f>$E184*'Vehicle Economics'!$J$15</x:f>
        <x:v>410.46792272022105</x:v>
      </x:c>
      <x:c r="I184" s="28" t="n">
        <x:f>VLOOKUP(F184,'AD Fees &amp; TLF'!$C$19:$E$63,2,TRUE)+F184*VLOOKUP(F184,'AD Fees &amp; TLF'!$C$19:$E$63,3,TRUE)+VLOOKUP(F184,'AD Fees &amp; TLF'!$G$19:$H$27,2,TRUE)+SUM('AD Fees &amp; TLF'!$H$30:$H$31)</x:f>
        <x:v>230</x:v>
      </x:c>
      <x:c r="J184" s="28" t="n">
        <x:f>VLOOKUP(G184,'AD Fees &amp; TLF'!$C$19:$E$63,2,TRUE)+G184*VLOOKUP(G184,'AD Fees &amp; TLF'!$C$19:$E$63,3,TRUE)+VLOOKUP(G184,'AD Fees &amp; TLF'!$G$19:$H$27,2,TRUE)+SUM('AD Fees &amp; TLF'!$H$30:$H$31)</x:f>
        <x:v>280</x:v>
      </x:c>
      <x:c r="K184" s="28" t="n">
        <x:f>VLOOKUP(H184,'AD Fees &amp; TLF'!$C$19:$E$63,2,TRUE)+H184*VLOOKUP(H184,'AD Fees &amp; TLF'!$C$19:$E$63,3,TRUE)+VLOOKUP(H184,'AD Fees &amp; TLF'!$G$19:$H$27,2,TRUE)+SUM('AD Fees &amp; TLF'!$H$30:$H$31)</x:f>
        <x:v>325</x:v>
      </x:c>
      <x:c r="L184" s="28" t="n">
        <x:f>I184*'Vehicle Economics'!$K$13+J184*'Vehicle Economics'!$K$14+K184*'Vehicle Economics'!$K$15</x:f>
        <x:v>278.75</x:v>
      </x:c>
      <x:c r="M184" s="28" t="n">
        <x:f>L184+E184*'Vehicle Economics'!G$9</x:f>
        <x:v>289.69581127253923</x:v>
      </x:c>
    </x:row>
    <x:row r="185" ht="18" customHeight="1">
      <x:c r="A185" s="2"/>
      <x:c r="B185" s="2"/>
      <x:c r="C185" s="2" t="str">
        <x:v>Van / 39</x:v>
      </x:c>
      <x:c r="D185" s="28" t="n">
        <x:f>'Vehicle Economics'!$J$9*EXP(-'Vehicle Economics'!$J$10*(39-10))*'Vehicle Economics'!G$7</x:f>
        <x:v>825.348300846108</x:v>
      </x:c>
      <x:c r="E185" s="28" t="n">
        <x:f>D185*'Vehicle Economics'!G$8</x:f>
        <x:v>247.6044902538324</x:v>
      </x:c>
      <x:c r="F185" s="28" t="n">
        <x:f>$E185*'Vehicle Economics'!$J$13</x:f>
        <x:v>123.8022451269162</x:v>
      </x:c>
      <x:c r="G185" s="28" t="n">
        <x:f>$E185*'Vehicle Economics'!$J$14</x:f>
        <x:v>247.6044902538324</x:v>
      </x:c>
      <x:c r="H185" s="28" t="n">
        <x:f>$E185*'Vehicle Economics'!$J$15</x:f>
        <x:v>371.4067353807486</x:v>
      </x:c>
      <x:c r="I185" s="28" t="n">
        <x:f>VLOOKUP(F185,'AD Fees &amp; TLF'!$C$19:$E$63,2,TRUE)+F185*VLOOKUP(F185,'AD Fees &amp; TLF'!$C$19:$E$63,3,TRUE)+VLOOKUP(F185,'AD Fees &amp; TLF'!$G$19:$H$27,2,TRUE)+SUM('AD Fees &amp; TLF'!$H$30:$H$31)</x:f>
        <x:v>230</x:v>
      </x:c>
      <x:c r="J185" s="28" t="n">
        <x:f>VLOOKUP(G185,'AD Fees &amp; TLF'!$C$19:$E$63,2,TRUE)+G185*VLOOKUP(G185,'AD Fees &amp; TLF'!$C$19:$E$63,3,TRUE)+VLOOKUP(G185,'AD Fees &amp; TLF'!$G$19:$H$27,2,TRUE)+SUM('AD Fees &amp; TLF'!$H$30:$H$31)</x:f>
        <x:v>280</x:v>
      </x:c>
      <x:c r="K185" s="28" t="n">
        <x:f>VLOOKUP(H185,'AD Fees &amp; TLF'!$C$19:$E$63,2,TRUE)+H185*VLOOKUP(H185,'AD Fees &amp; TLF'!$C$19:$E$63,3,TRUE)+VLOOKUP(H185,'AD Fees &amp; TLF'!$G$19:$H$27,2,TRUE)+SUM('AD Fees &amp; TLF'!$H$30:$H$31)</x:f>
        <x:v>295</x:v>
      </x:c>
      <x:c r="L185" s="28" t="n">
        <x:f>I185*'Vehicle Economics'!$K$13+J185*'Vehicle Economics'!$K$14+K185*'Vehicle Economics'!$K$15</x:f>
        <x:v>271.25</x:v>
      </x:c>
      <x:c r="M185" s="28" t="n">
        <x:f>L185+E185*'Vehicle Economics'!G$9</x:f>
        <x:v>281.1541796101533</x:v>
      </x:c>
    </x:row>
    <x:row r="186" ht="18" customHeight="1">
      <x:c r="A186" s="2"/>
      <x:c r="B186" s="2"/>
      <x:c r="C186" s="2" t="str">
        <x:v>Van / 40</x:v>
      </x:c>
      <x:c r="D186" s="28" t="n">
        <x:f>'Vehicle Economics'!$J$9*EXP(-'Vehicle Economics'!$J$10*(40-10))*'Vehicle Economics'!G$7</x:f>
        <x:v>746.8060255179591</x:v>
      </x:c>
      <x:c r="E186" s="28" t="n">
        <x:f>D186*'Vehicle Economics'!G$8</x:f>
        <x:v>224.04180765538774</x:v>
      </x:c>
      <x:c r="F186" s="28" t="n">
        <x:f>$E186*'Vehicle Economics'!$J$13</x:f>
        <x:v>112.02090382769387</x:v>
      </x:c>
      <x:c r="G186" s="28" t="n">
        <x:f>$E186*'Vehicle Economics'!$J$14</x:f>
        <x:v>224.04180765538774</x:v>
      </x:c>
      <x:c r="H186" s="28" t="n">
        <x:f>$E186*'Vehicle Economics'!$J$15</x:f>
        <x:v>336.0627114830816</x:v>
      </x:c>
      <x:c r="I186" s="28" t="n">
        <x:f>VLOOKUP(F186,'AD Fees &amp; TLF'!$C$19:$E$63,2,TRUE)+F186*VLOOKUP(F186,'AD Fees &amp; TLF'!$C$19:$E$63,3,TRUE)+VLOOKUP(F186,'AD Fees &amp; TLF'!$G$19:$H$27,2,TRUE)+SUM('AD Fees &amp; TLF'!$H$30:$H$31)</x:f>
        <x:v>230</x:v>
      </x:c>
      <x:c r="J186" s="28" t="n">
        <x:f>VLOOKUP(G186,'AD Fees &amp; TLF'!$C$19:$E$63,2,TRUE)+G186*VLOOKUP(G186,'AD Fees &amp; TLF'!$C$19:$E$63,3,TRUE)+VLOOKUP(G186,'AD Fees &amp; TLF'!$G$19:$H$27,2,TRUE)+SUM('AD Fees &amp; TLF'!$H$30:$H$31)</x:f>
        <x:v>280</x:v>
      </x:c>
      <x:c r="K186" s="28" t="n">
        <x:f>VLOOKUP(H186,'AD Fees &amp; TLF'!$C$19:$E$63,2,TRUE)+H186*VLOOKUP(H186,'AD Fees &amp; TLF'!$C$19:$E$63,3,TRUE)+VLOOKUP(H186,'AD Fees &amp; TLF'!$G$19:$H$27,2,TRUE)+SUM('AD Fees &amp; TLF'!$H$30:$H$31)</x:f>
        <x:v>287.5</x:v>
      </x:c>
      <x:c r="L186" s="28" t="n">
        <x:f>I186*'Vehicle Economics'!$K$13+J186*'Vehicle Economics'!$K$14+K186*'Vehicle Economics'!$K$15</x:f>
        <x:v>269.375</x:v>
      </x:c>
      <x:c r="M186" s="28" t="n">
        <x:f>L186+E186*'Vehicle Economics'!G$9</x:f>
        <x:v>278.3366723062155</x:v>
      </x:c>
    </x:row>
    <x:row r="187" ht="18" customHeight="1">
      <x:c r="A187" s="2"/>
      <x:c r="B187" s="2"/>
      <x:c r="C187" s="2" t="str">
        <x:v>Van / 41</x:v>
      </x:c>
      <x:c r="D187" s="28" t="n">
        <x:f>'Vehicle Economics'!$J$9*EXP(-'Vehicle Economics'!$J$10*(41-10))*'Vehicle Economics'!G$7</x:f>
        <x:v>675.7380359033671</x:v>
      </x:c>
      <x:c r="E187" s="28" t="n">
        <x:f>D187*'Vehicle Economics'!G$8</x:f>
        <x:v>202.7214107710101</x:v>
      </x:c>
      <x:c r="F187" s="28" t="n">
        <x:f>$E187*'Vehicle Economics'!$J$13</x:f>
        <x:v>101.36070538550506</x:v>
      </x:c>
      <x:c r="G187" s="28" t="n">
        <x:f>$E187*'Vehicle Economics'!$J$14</x:f>
        <x:v>202.7214107710101</x:v>
      </x:c>
      <x:c r="H187" s="28" t="n">
        <x:f>$E187*'Vehicle Economics'!$J$15</x:f>
        <x:v>304.08211615651516</x:v>
      </x:c>
      <x:c r="I187" s="28" t="n">
        <x:f>VLOOKUP(F187,'AD Fees &amp; TLF'!$C$19:$E$63,2,TRUE)+F187*VLOOKUP(F187,'AD Fees &amp; TLF'!$C$19:$E$63,3,TRUE)+VLOOKUP(F187,'AD Fees &amp; TLF'!$G$19:$H$27,2,TRUE)+SUM('AD Fees &amp; TLF'!$H$30:$H$31)</x:f>
        <x:v>230</x:v>
      </x:c>
      <x:c r="J187" s="28" t="n">
        <x:f>VLOOKUP(G187,'AD Fees &amp; TLF'!$C$19:$E$63,2,TRUE)+G187*VLOOKUP(G187,'AD Fees &amp; TLF'!$C$19:$E$63,3,TRUE)+VLOOKUP(G187,'AD Fees &amp; TLF'!$G$19:$H$27,2,TRUE)+SUM('AD Fees &amp; TLF'!$H$30:$H$31)</x:f>
        <x:v>280</x:v>
      </x:c>
      <x:c r="K187" s="28" t="n">
        <x:f>VLOOKUP(H187,'AD Fees &amp; TLF'!$C$19:$E$63,2,TRUE)+H187*VLOOKUP(H187,'AD Fees &amp; TLF'!$C$19:$E$63,3,TRUE)+VLOOKUP(H187,'AD Fees &amp; TLF'!$G$19:$H$27,2,TRUE)+SUM('AD Fees &amp; TLF'!$H$30:$H$31)</x:f>
        <x:v>287.5</x:v>
      </x:c>
      <x:c r="L187" s="28" t="n">
        <x:f>I187*'Vehicle Economics'!$K$13+J187*'Vehicle Economics'!$K$14+K187*'Vehicle Economics'!$K$15</x:f>
        <x:v>269.375</x:v>
      </x:c>
      <x:c r="M187" s="28" t="n">
        <x:f>L187+E187*'Vehicle Economics'!G$9</x:f>
        <x:v>277.48385643084043</x:v>
      </x:c>
    </x:row>
    <x:row r="188" ht="18" customHeight="1">
      <x:c r="A188" s="2"/>
      <x:c r="B188" s="2"/>
      <x:c r="C188" s="2" t="str">
        <x:v>Van / 42</x:v>
      </x:c>
      <x:c r="D188" s="28" t="n">
        <x:f>'Vehicle Economics'!$J$9*EXP(-'Vehicle Economics'!$J$10*(42-10))*'Vehicle Economics'!G$7</x:f>
        <x:v>611.433059675493</x:v>
      </x:c>
      <x:c r="E188" s="28" t="n">
        <x:f>D188*'Vehicle Economics'!G$8</x:f>
        <x:v>183.4299179026479</x:v>
      </x:c>
      <x:c r="F188" s="28" t="n">
        <x:f>$E188*'Vehicle Economics'!$J$13</x:f>
        <x:v>91.71495895132395</x:v>
      </x:c>
      <x:c r="G188" s="28" t="n">
        <x:f>$E188*'Vehicle Economics'!$J$14</x:f>
        <x:v>183.4299179026479</x:v>
      </x:c>
      <x:c r="H188" s="28" t="n">
        <x:f>$E188*'Vehicle Economics'!$J$15</x:f>
        <x:v>275.1448768539718</x:v>
      </x:c>
      <x:c r="I188" s="28" t="n">
        <x:f>VLOOKUP(F188,'AD Fees &amp; TLF'!$C$19:$E$63,2,TRUE)+F188*VLOOKUP(F188,'AD Fees &amp; TLF'!$C$19:$E$63,3,TRUE)+VLOOKUP(F188,'AD Fees &amp; TLF'!$G$19:$H$27,2,TRUE)+SUM('AD Fees &amp; TLF'!$H$30:$H$31)</x:f>
        <x:v>155</x:v>
      </x:c>
      <x:c r="J188" s="28" t="n">
        <x:f>VLOOKUP(G188,'AD Fees &amp; TLF'!$C$19:$E$63,2,TRUE)+G188*VLOOKUP(G188,'AD Fees &amp; TLF'!$C$19:$E$63,3,TRUE)+VLOOKUP(G188,'AD Fees &amp; TLF'!$G$19:$H$27,2,TRUE)+SUM('AD Fees &amp; TLF'!$H$30:$H$31)</x:f>
        <x:v>230</x:v>
      </x:c>
      <x:c r="K188" s="28" t="n">
        <x:f>VLOOKUP(H188,'AD Fees &amp; TLF'!$C$19:$E$63,2,TRUE)+H188*VLOOKUP(H188,'AD Fees &amp; TLF'!$C$19:$E$63,3,TRUE)+VLOOKUP(H188,'AD Fees &amp; TLF'!$G$19:$H$27,2,TRUE)+SUM('AD Fees &amp; TLF'!$H$30:$H$31)</x:f>
        <x:v>280</x:v>
      </x:c>
      <x:c r="L188" s="28" t="n">
        <x:f>I188*'Vehicle Economics'!$K$13+J188*'Vehicle Economics'!$K$14+K188*'Vehicle Economics'!$K$15</x:f>
        <x:v>223.75</x:v>
      </x:c>
      <x:c r="M188" s="28" t="n">
        <x:f>L188+E188*'Vehicle Economics'!G$9</x:f>
        <x:v>231.08719671610592</x:v>
      </x:c>
    </x:row>
    <x:row r="189" ht="18" customHeight="1">
      <x:c r="A189" s="2"/>
      <x:c r="B189" s="2"/>
      <x:c r="C189" s="2" t="str">
        <x:v>Van / 43</x:v>
      </x:c>
      <x:c r="D189" s="28" t="n">
        <x:f>'Vehicle Economics'!$J$9*EXP(-'Vehicle Economics'!$J$10*(43-10))*'Vehicle Economics'!G$7</x:f>
        <x:v>553.2475110185999</x:v>
      </x:c>
      <x:c r="E189" s="28" t="n">
        <x:f>D189*'Vehicle Economics'!G$8</x:f>
        <x:v>165.97425330557996</x:v>
      </x:c>
      <x:c r="F189" s="28" t="n">
        <x:f>$E189*'Vehicle Economics'!$J$13</x:f>
        <x:v>82.98712665278998</x:v>
      </x:c>
      <x:c r="G189" s="28" t="n">
        <x:f>$E189*'Vehicle Economics'!$J$14</x:f>
        <x:v>165.97425330557996</x:v>
      </x:c>
      <x:c r="H189" s="28" t="n">
        <x:f>$E189*'Vehicle Economics'!$J$15</x:f>
        <x:v>248.96137995836995</x:v>
      </x:c>
      <x:c r="I189" s="28" t="n">
        <x:f>VLOOKUP(F189,'AD Fees &amp; TLF'!$C$19:$E$63,2,TRUE)+F189*VLOOKUP(F189,'AD Fees &amp; TLF'!$C$19:$E$63,3,TRUE)+VLOOKUP(F189,'AD Fees &amp; TLF'!$G$19:$H$27,2,TRUE)+SUM('AD Fees &amp; TLF'!$H$30:$H$31)</x:f>
        <x:v>155</x:v>
      </x:c>
      <x:c r="J189" s="28" t="n">
        <x:f>VLOOKUP(G189,'AD Fees &amp; TLF'!$C$19:$E$63,2,TRUE)+G189*VLOOKUP(G189,'AD Fees &amp; TLF'!$C$19:$E$63,3,TRUE)+VLOOKUP(G189,'AD Fees &amp; TLF'!$G$19:$H$27,2,TRUE)+SUM('AD Fees &amp; TLF'!$H$30:$H$31)</x:f>
        <x:v>230</x:v>
      </x:c>
      <x:c r="K189" s="28" t="n">
        <x:f>VLOOKUP(H189,'AD Fees &amp; TLF'!$C$19:$E$63,2,TRUE)+H189*VLOOKUP(H189,'AD Fees &amp; TLF'!$C$19:$E$63,3,TRUE)+VLOOKUP(H189,'AD Fees &amp; TLF'!$G$19:$H$27,2,TRUE)+SUM('AD Fees &amp; TLF'!$H$30:$H$31)</x:f>
        <x:v>280</x:v>
      </x:c>
      <x:c r="L189" s="28" t="n">
        <x:f>I189*'Vehicle Economics'!$K$13+J189*'Vehicle Economics'!$K$14+K189*'Vehicle Economics'!$K$15</x:f>
        <x:v>223.75</x:v>
      </x:c>
      <x:c r="M189" s="28" t="n">
        <x:f>L189+E189*'Vehicle Economics'!G$9</x:f>
        <x:v>230.3889701322232</x:v>
      </x:c>
    </x:row>
    <x:row r="190" ht="18" customHeight="1">
      <x:c r="A190" s="2"/>
      <x:c r="B190" s="2"/>
      <x:c r="C190" s="2" t="str">
        <x:v>Van / 44</x:v>
      </x:c>
      <x:c r="D190" s="28" t="n">
        <x:f>'Vehicle Economics'!$J$9*EXP(-'Vehicle Economics'!$J$10*(44-10))*'Vehicle Economics'!G$7</x:f>
        <x:v>500.59904940489093</x:v>
      </x:c>
      <x:c r="E190" s="28" t="n">
        <x:f>D190*'Vehicle Economics'!G$8</x:f>
        <x:v>150.1797148214673</x:v>
      </x:c>
      <x:c r="F190" s="28" t="n">
        <x:f>$E190*'Vehicle Economics'!$J$13</x:f>
        <x:v>75.08985741073364</x:v>
      </x:c>
      <x:c r="G190" s="28" t="n">
        <x:f>$E190*'Vehicle Economics'!$J$14</x:f>
        <x:v>150.1797148214673</x:v>
      </x:c>
      <x:c r="H190" s="28" t="n">
        <x:f>$E190*'Vehicle Economics'!$J$15</x:f>
        <x:v>225.26957223220091</x:v>
      </x:c>
      <x:c r="I190" s="28" t="n">
        <x:f>VLOOKUP(F190,'AD Fees &amp; TLF'!$C$19:$E$63,2,TRUE)+F190*VLOOKUP(F190,'AD Fees &amp; TLF'!$C$19:$E$63,3,TRUE)+VLOOKUP(F190,'AD Fees &amp; TLF'!$G$19:$H$27,2,TRUE)+SUM('AD Fees &amp; TLF'!$H$30:$H$31)</x:f>
        <x:v>155</x:v>
      </x:c>
      <x:c r="J190" s="28" t="n">
        <x:f>VLOOKUP(G190,'AD Fees &amp; TLF'!$C$19:$E$63,2,TRUE)+G190*VLOOKUP(G190,'AD Fees &amp; TLF'!$C$19:$E$63,3,TRUE)+VLOOKUP(G190,'AD Fees &amp; TLF'!$G$19:$H$27,2,TRUE)+SUM('AD Fees &amp; TLF'!$H$30:$H$31)</x:f>
        <x:v>230</x:v>
      </x:c>
      <x:c r="K190" s="28" t="n">
        <x:f>VLOOKUP(H190,'AD Fees &amp; TLF'!$C$19:$E$63,2,TRUE)+H190*VLOOKUP(H190,'AD Fees &amp; TLF'!$C$19:$E$63,3,TRUE)+VLOOKUP(H190,'AD Fees &amp; TLF'!$G$19:$H$27,2,TRUE)+SUM('AD Fees &amp; TLF'!$H$30:$H$31)</x:f>
        <x:v>280</x:v>
      </x:c>
      <x:c r="L190" s="28" t="n">
        <x:f>I190*'Vehicle Economics'!$K$13+J190*'Vehicle Economics'!$K$14+K190*'Vehicle Economics'!$K$15</x:f>
        <x:v>223.75</x:v>
      </x:c>
      <x:c r="M190" s="28" t="n">
        <x:f>L190+E190*'Vehicle Economics'!G$9</x:f>
        <x:v>229.75718859285868</x:v>
      </x:c>
    </x:row>
    <x:row r="191" ht="18" customHeight="1">
      <x:c r="A191" s="2"/>
      <x:c r="B191" s="2"/>
      <x:c r="C191" s="2" t="str">
        <x:v>Van / 45</x:v>
      </x:c>
      <x:c r="D191" s="28" t="n">
        <x:f>'Vehicle Economics'!$J$9*EXP(-'Vehicle Economics'!$J$10*(45-10))*'Vehicle Economics'!G$7</x:f>
        <x:v>452.9607513347775</x:v>
      </x:c>
      <x:c r="E191" s="28" t="n">
        <x:f>D191*'Vehicle Economics'!G$8</x:f>
        <x:v>135.88822540043324</x:v>
      </x:c>
      <x:c r="F191" s="28" t="n">
        <x:f>$E191*'Vehicle Economics'!$J$13</x:f>
        <x:v>67.94411270021662</x:v>
      </x:c>
      <x:c r="G191" s="28" t="n">
        <x:f>$E191*'Vehicle Economics'!$J$14</x:f>
        <x:v>135.88822540043324</x:v>
      </x:c>
      <x:c r="H191" s="28" t="n">
        <x:f>$E191*'Vehicle Economics'!$J$15</x:f>
        <x:v>203.83233810064985</x:v>
      </x:c>
      <x:c r="I191" s="28" t="n">
        <x:f>VLOOKUP(F191,'AD Fees &amp; TLF'!$C$19:$E$63,2,TRUE)+F191*VLOOKUP(F191,'AD Fees &amp; TLF'!$C$19:$E$63,3,TRUE)+VLOOKUP(F191,'AD Fees &amp; TLF'!$G$19:$H$27,2,TRUE)+SUM('AD Fees &amp; TLF'!$H$30:$H$31)</x:f>
        <x:v>155</x:v>
      </x:c>
      <x:c r="J191" s="28" t="n">
        <x:f>VLOOKUP(G191,'AD Fees &amp; TLF'!$C$19:$E$63,2,TRUE)+G191*VLOOKUP(G191,'AD Fees &amp; TLF'!$C$19:$E$63,3,TRUE)+VLOOKUP(G191,'AD Fees &amp; TLF'!$G$19:$H$27,2,TRUE)+SUM('AD Fees &amp; TLF'!$H$30:$H$31)</x:f>
        <x:v>230</x:v>
      </x:c>
      <x:c r="K191" s="28" t="n">
        <x:f>VLOOKUP(H191,'AD Fees &amp; TLF'!$C$19:$E$63,2,TRUE)+H191*VLOOKUP(H191,'AD Fees &amp; TLF'!$C$19:$E$63,3,TRUE)+VLOOKUP(H191,'AD Fees &amp; TLF'!$G$19:$H$27,2,TRUE)+SUM('AD Fees &amp; TLF'!$H$30:$H$31)</x:f>
        <x:v>280</x:v>
      </x:c>
      <x:c r="L191" s="28" t="n">
        <x:f>I191*'Vehicle Economics'!$K$13+J191*'Vehicle Economics'!$K$14+K191*'Vehicle Economics'!$K$15</x:f>
        <x:v>223.75</x:v>
      </x:c>
      <x:c r="M191" s="28" t="n">
        <x:f>L191+E191*'Vehicle Economics'!G$9</x:f>
        <x:v>229.18552901601734</x:v>
      </x:c>
    </x:row>
    <x:row r="192" ht="18" customHeight="1">
      <x:c r="A192" s="2"/>
      <x:c r="B192" s="2"/>
      <x:c r="C192" s="2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 ht="18" customHeight="1">
      <x:c r="A193" s="2"/>
      <x:c r="B193" s="2"/>
      <x:c r="C193" s="2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 ht="28" customHeight="1">
      <x:c r="A194" s="2"/>
      <x:c r="B194" s="2"/>
      <x:c r="C194" s="6" t="str">
        <x:v>One current buyer tier is applied consistently across periods to isolate composition. Actual buyer mix, ancillary services and calendar price inflation are not modeled.</x:v>
      </x:c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</x:row>
    <x:row r="195" ht="18" customHeight="1">
      <x:c r="A195" s="2"/>
      <x:c r="B195" s="2"/>
      <x:c r="C195" s="2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 ht="18" customHeight="1">
      <x:c r="A196" s="2"/>
      <x:c r="B196" s="2"/>
      <x:c r="C196" s="2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</x:sheetData>
  <x:mergeCells>
    <x:mergeCell ref="C2:K2"/>
    <x:mergeCell ref="C3:K3"/>
    <x:mergeCell ref="C194:M19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4" t="str">
        <x:v>Source data</x:v>
      </x:c>
      <x:c r="D2" s="4"/>
      <x:c r="E2" s="4"/>
      <x:c r="F2" s="4"/>
      <x:c r="G2" s="4"/>
      <x:c r="H2" s="4"/>
      <x:c r="I2" s="4"/>
      <x:c r="J2" s="4"/>
      <x:c r="K2" s="4"/>
      <x:c r="L2" s="2"/>
      <x:c r="M2" s="2"/>
    </x:row>
    <x:row r="3" ht="28" customHeight="1">
      <x:c r="A3" s="2"/>
      <x:c r="B3" s="2"/>
      <x:c r="C3" s="6" t="str">
        <x:v>Section divider. Supporting schedules remain visible and contain native Excel formulas where applicable.</x:v>
      </x:c>
      <x:c r="D3" s="6"/>
      <x:c r="E3" s="6"/>
      <x:c r="F3" s="6"/>
      <x:c r="G3" s="6"/>
      <x:c r="H3" s="6"/>
      <x:c r="I3" s="6"/>
      <x:c r="J3" s="6"/>
      <x:c r="K3" s="6"/>
      <x:c r="L3" s="2"/>
      <x:c r="M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18" customHeight="1">
      <x:c r="A5" s="2"/>
      <x:c r="B5" s="2"/>
      <x:c r="C5" s="105" t="str">
        <x:v>AD Financials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18" customHeight="1">
      <x:c r="A6" s="2"/>
      <x:c r="B6" s="2"/>
      <x:c r="C6" s="105" t="str">
        <x:v>AD Fleet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18" customHeight="1">
      <x:c r="A7" s="2"/>
      <x:c r="B7" s="2"/>
      <x:c r="C7" s="105" t="str">
        <x:v>AD Repair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18" customHeight="1">
      <x:c r="A8" s="2"/>
      <x:c r="B8" s="2"/>
      <x:c r="C8" s="105" t="str">
        <x:v>AD Fees &amp; TLF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</x:row>
    <x:row r="9" ht="18" customHeight="1">
      <x:c r="A9" s="2"/>
      <x:c r="B9" s="2"/>
      <x:c r="C9" s="105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 ht="18" customHeight="1">
      <x:c r="A10" s="2"/>
      <x:c r="B10" s="2"/>
      <x:c r="C10" s="105"/>
      <x:c r="D10" s="3"/>
      <x:c r="E10" s="3"/>
      <x:c r="F10" s="3"/>
      <x:c r="G10" s="3"/>
      <x:c r="H10" s="3"/>
      <x:c r="I10" s="3"/>
      <x:c r="J10" s="3"/>
      <x:c r="K10" s="3"/>
      <x:c r="L10" s="3"/>
      <x:c r="M10" s="3"/>
    </x:row>
    <x:row r="11" ht="18" customHeight="1">
      <x:c r="A11" s="2"/>
      <x:c r="B11" s="2"/>
      <x:c r="C11" s="105"/>
      <x:c r="D11" s="3"/>
      <x:c r="E11" s="3"/>
      <x:c r="F11" s="3"/>
      <x:c r="G11" s="3"/>
      <x:c r="H11" s="3"/>
      <x:c r="I11" s="3"/>
      <x:c r="J11" s="3"/>
      <x:c r="K11" s="3"/>
      <x:c r="L11" s="3"/>
      <x:c r="M11" s="3"/>
    </x:row>
    <x:row r="12" ht="18" customHeight="1">
      <x:c r="A12" s="2"/>
      <x:c r="B12" s="2"/>
      <x:c r="C12" s="105"/>
      <x:c r="D12" s="3"/>
      <x:c r="E12" s="3"/>
      <x:c r="F12" s="3"/>
      <x:c r="G12" s="3"/>
      <x:c r="H12" s="3"/>
      <x:c r="I12" s="3"/>
      <x:c r="J12" s="3"/>
      <x:c r="K12" s="3"/>
      <x:c r="L12" s="3"/>
      <x:c r="M12" s="3"/>
    </x:row>
    <x:row r="13">
      <x:c r="C13" s="108"/>
    </x:row>
    <x:row r="14">
      <x:c r="C14" s="108"/>
    </x:row>
    <x:row r="15">
      <x:c r="C15" s="108"/>
    </x:row>
    <x:row r="16">
      <x:c r="C16" s="108"/>
    </x:row>
    <x:row r="17">
      <x:c r="C17" s="108"/>
    </x:row>
    <x:row r="18">
      <x:c r="C18" s="108"/>
    </x:row>
    <x:row r="19">
      <x:c r="C19" s="108"/>
    </x:row>
    <x:row r="20">
      <x:c r="C20" s="108"/>
    </x:row>
    <x:row r="21">
      <x:c r="C21" s="108"/>
    </x:row>
    <x:row r="22">
      <x:c r="C22" s="108"/>
    </x:row>
    <x:row r="23">
      <x:c r="C23" s="108"/>
    </x:row>
    <x:row r="24">
      <x:c r="C24" s="108"/>
    </x:row>
    <x:row r="25">
      <x:c r="C25" s="108"/>
    </x:row>
    <x:row r="26">
      <x:c r="C26" s="108"/>
    </x:row>
    <x:row r="27">
      <x:c r="C27" s="108"/>
    </x:row>
    <x:row r="28">
      <x:c r="C28" s="108"/>
    </x:row>
    <x:row r="29">
      <x:c r="C29" s="108"/>
    </x:row>
    <x:row r="30">
      <x:c r="C30" s="108"/>
    </x:row>
    <x:row r="31">
      <x:c r="C31" s="108"/>
    </x:row>
    <x:row r="32">
      <x:c r="C32" s="108"/>
    </x:row>
    <x:row r="33">
      <x:c r="C33" s="108"/>
    </x:row>
    <x:row r="34">
      <x:c r="C34" s="108"/>
    </x:row>
    <x:row r="35">
      <x:c r="C35" s="108"/>
    </x:row>
    <x:row r="36">
      <x:c r="C36" s="108"/>
    </x:row>
    <x:row r="37">
      <x:c r="C37" s="108"/>
    </x:row>
    <x:row r="38">
      <x:c r="C38" s="108"/>
    </x:row>
    <x:row r="39">
      <x:c r="C39" s="108"/>
    </x:row>
    <x:row r="40">
      <x:c r="C40" s="108"/>
    </x:row>
  </x:sheetData>
  <x:mergeCells>
    <x:mergeCell ref="C2:K2"/>
    <x:mergeCell ref="C3:K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4" t="str">
        <x:v>Reported service revenue ($m)</x:v>
      </x:c>
      <x:c r="D2" s="4"/>
      <x:c r="E2" s="4"/>
      <x:c r="F2" s="4"/>
      <x:c r="G2" s="4"/>
      <x:c r="H2" s="4"/>
      <x:c r="I2" s="4"/>
      <x:c r="J2" s="4"/>
      <x:c r="K2" s="4"/>
      <x:c r="L2" s="2"/>
      <x:c r="M2" s="2"/>
    </x:row>
    <x:row r="3" ht="28" customHeight="1">
      <x:c r="A3" s="2"/>
      <x:c r="B3" s="2"/>
      <x:c r="C3" s="6" t="str">
        <x:v>FY25 comparatives and FY26 actuals, from the four FY26 earnings releases. Values only.</x:v>
      </x:c>
      <x:c r="D3" s="6"/>
      <x:c r="E3" s="6"/>
      <x:c r="F3" s="6"/>
      <x:c r="G3" s="6"/>
      <x:c r="H3" s="6"/>
      <x:c r="I3" s="6"/>
      <x:c r="J3" s="6"/>
      <x:c r="K3" s="6"/>
      <x:c r="L3" s="2"/>
      <x:c r="M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9" customHeight="1">
      <x:c r="A5" s="2"/>
      <x:c r="B5" s="2"/>
      <x:c r="C5" s="10" t="str">
        <x:v>Fiscal quarter</x:v>
      </x:c>
      <x:c r="D5" s="10" t="str">
        <x:v>Q1 FY25A</x:v>
      </x:c>
      <x:c r="E5" s="10" t="str">
        <x:v>Q2 FY25A</x:v>
      </x:c>
      <x:c r="F5" s="10" t="str">
        <x:v>Q3 FY25A</x:v>
      </x:c>
      <x:c r="G5" s="10" t="str">
        <x:v>Q4 FY25A</x:v>
      </x:c>
      <x:c r="H5" s="10" t="str">
        <x:v>Q1 FY26A</x:v>
      </x:c>
      <x:c r="I5" s="10" t="str">
        <x:v>Q2 FY26A</x:v>
      </x:c>
      <x:c r="J5" s="10" t="str">
        <x:v>Q3 FY26A</x:v>
      </x:c>
      <x:c r="K5" s="10" t="str">
        <x:v>Q4 FY26A</x:v>
      </x:c>
      <x:c r="L5" s="2"/>
      <x:c r="M5" s="2"/>
    </x:row>
    <x:row r="6" ht="18" customHeight="1">
      <x:c r="A6" s="2"/>
      <x:c r="B6" s="2"/>
      <x:c r="C6" s="105" t="str">
        <x:v>Quarter ending</x:v>
      </x:c>
      <x:c r="D6" s="11" t="n">
        <x:v>45596.5</x:v>
      </x:c>
      <x:c r="E6" s="11" t="n">
        <x:v>45688.5</x:v>
      </x:c>
      <x:c r="F6" s="11" t="n">
        <x:v>45777.5</x:v>
      </x:c>
      <x:c r="G6" s="11" t="n">
        <x:v>45869.5</x:v>
      </x:c>
      <x:c r="H6" s="11" t="n">
        <x:v>45961.5</x:v>
      </x:c>
      <x:c r="I6" s="11" t="n">
        <x:v>46053.5</x:v>
      </x:c>
      <x:c r="J6" s="11" t="n">
        <x:v>46142.5</x:v>
      </x:c>
      <x:c r="K6" s="11" t="n">
        <x:v>46234.5</x:v>
      </x:c>
      <x:c r="L6" s="3"/>
      <x:c r="M6" s="3"/>
    </x:row>
    <x:row r="7" ht="18" customHeight="1">
      <x:c r="A7" s="2"/>
      <x:c r="B7" s="2"/>
      <x:c r="C7" s="105"/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18" customHeight="1">
      <x:c r="A8" s="2"/>
      <x:c r="B8" s="2"/>
      <x:c r="C8" s="105" t="str">
        <x:v>US services</x:v>
      </x:c>
      <x:c r="D8" s="12" t="n">
        <x:v>859.99</x:v>
      </x:c>
      <x:c r="E8" s="12" t="n">
        <x:v>868.13</x:v>
      </x:c>
      <x:c r="F8" s="12" t="n">
        <x:v>898.625</x:v>
      </x:c>
      <x:c r="G8" s="12" t="n">
        <x:v>824.813</x:v>
      </x:c>
      <x:c r="H8" s="12" t="n">
        <x:v>855.534</x:v>
      </x:c>
      <x:c r="I8" s="12" t="n">
        <x:v>819.467</x:v>
      </x:c>
      <x:c r="J8" s="12" t="n">
        <x:v>895.464</x:v>
      </x:c>
      <x:c r="K8" s="12" t="n">
        <x:v>817.822</x:v>
      </x:c>
      <x:c r="L8" s="3"/>
      <x:c r="M8" s="3"/>
    </x:row>
    <x:row r="9" ht="18" customHeight="1">
      <x:c r="A9" s="2"/>
      <x:c r="B9" s="2"/>
      <x:c r="C9" s="105" t="str">
        <x:v>International services</x:v>
      </x:c>
      <x:c r="D9" s="12" t="n">
        <x:v>126.346</x:v>
      </x:c>
      <x:c r="E9" s="12" t="n">
        <x:v>123.151</x:v>
      </x:c>
      <x:c r="F9" s="12" t="n">
        <x:v>136.211</x:v>
      </x:c>
      <x:c r="G9" s="12" t="n">
        <x:v>131.396</x:v>
      </x:c>
      <x:c r="H9" s="12" t="n">
        <x:v>136.311</x:v>
      </x:c>
      <x:c r="I9" s="12" t="n">
        <x:v>132.584</x:v>
      </x:c>
      <x:c r="J9" s="12" t="n">
        <x:v>160.616</x:v>
      </x:c>
      <x:c r="K9" s="12" t="n">
        <x:v>151.722</x:v>
      </x:c>
      <x:c r="L9" s="3"/>
      <x:c r="M9" s="3"/>
    </x:row>
    <x:row r="10" ht="18" customHeight="1">
      <x:c r="A10" s="2"/>
      <x:c r="B10" s="2"/>
      <x:c r="C10" s="109" t="str">
        <x:v>Total service revenue</x:v>
      </x:c>
      <x:c r="D10" s="16" t="n">
        <x:v>986.336</x:v>
      </x:c>
      <x:c r="E10" s="16" t="n">
        <x:v>991.281</x:v>
      </x:c>
      <x:c r="F10" s="16" t="n">
        <x:v>1034.836</x:v>
      </x:c>
      <x:c r="G10" s="16" t="n">
        <x:v>956.209</x:v>
      </x:c>
      <x:c r="H10" s="16" t="n">
        <x:v>991.845</x:v>
      </x:c>
      <x:c r="I10" s="16" t="n">
        <x:v>952.0509999999999</x:v>
      </x:c>
      <x:c r="J10" s="16" t="n">
        <x:v>1056.0800000000002</x:v>
      </x:c>
      <x:c r="K10" s="16" t="n">
        <x:v>969.544</x:v>
      </x:c>
      <x:c r="L10" s="3"/>
      <x:c r="M10" s="3"/>
    </x:row>
    <x:row r="11" ht="18" customHeight="1">
      <x:c r="A11" s="2"/>
      <x:c r="B11" s="2"/>
      <x:c r="C11" s="105"/>
      <x:c r="D11" s="3"/>
      <x:c r="E11" s="3"/>
      <x:c r="F11" s="3"/>
      <x:c r="G11" s="3"/>
      <x:c r="H11" s="3"/>
      <x:c r="I11" s="3"/>
      <x:c r="J11" s="3"/>
      <x:c r="K11" s="3"/>
      <x:c r="L11" s="3"/>
      <x:c r="M11" s="3"/>
    </x:row>
    <x:row r="12" ht="21" customHeight="1">
      <x:c r="A12" s="2"/>
      <x:c r="B12" s="2"/>
      <x:c r="C12" s="10" t="str">
        <x:v>Source documents</x:v>
      </x:c>
      <x:c r="D12" s="19"/>
      <x:c r="E12" s="19"/>
      <x:c r="F12" s="19"/>
      <x:c r="G12" s="19"/>
      <x:c r="H12" s="19"/>
      <x:c r="I12" s="19"/>
      <x:c r="J12" s="19"/>
      <x:c r="K12" s="19"/>
      <x:c r="L12" s="3"/>
      <x:c r="M12" s="3"/>
    </x:row>
    <x:row r="13" ht="23" customHeight="1">
      <x:c r="A13" s="2"/>
      <x:c r="B13" s="2"/>
      <x:c r="C13" s="6" t="str">
        <x:v>/Users/kwu/cprt/raw/sec/8k/er_2025-11-20_cprt-ex99_1.htm</x:v>
      </x:c>
      <x:c r="D13" s="21"/>
      <x:c r="E13" s="21"/>
      <x:c r="F13" s="21"/>
      <x:c r="G13" s="21"/>
      <x:c r="H13" s="21"/>
      <x:c r="I13" s="21"/>
      <x:c r="J13" s="21"/>
      <x:c r="K13" s="21"/>
      <x:c r="L13" s="3"/>
      <x:c r="M13" s="3"/>
    </x:row>
    <x:row r="14" ht="23" customHeight="1">
      <x:c r="A14" s="2"/>
      <x:c r="B14" s="2"/>
      <x:c r="C14" s="6" t="str">
        <x:v>/Users/kwu/cprt/raw/sec/8k/er_2026-02-19_cprt-ex99_1.htm</x:v>
      </x:c>
      <x:c r="D14" s="21"/>
      <x:c r="E14" s="21"/>
      <x:c r="F14" s="21"/>
      <x:c r="G14" s="21"/>
      <x:c r="H14" s="21"/>
      <x:c r="I14" s="21"/>
      <x:c r="J14" s="21"/>
      <x:c r="K14" s="21"/>
      <x:c r="L14" s="3"/>
      <x:c r="M14" s="3"/>
    </x:row>
    <x:row r="15" ht="23" customHeight="1">
      <x:c r="A15" s="2"/>
      <x:c r="B15" s="2"/>
      <x:c r="C15" s="6" t="str">
        <x:v>/Users/kwu/cprt/raw/sec/8k/er_2026-05-21_cprt-ex99_1.htm</x:v>
      </x:c>
      <x:c r="D15" s="21"/>
      <x:c r="E15" s="21"/>
      <x:c r="F15" s="21"/>
      <x:c r="G15" s="21"/>
      <x:c r="H15" s="21"/>
      <x:c r="I15" s="21"/>
      <x:c r="J15" s="21"/>
      <x:c r="K15" s="21"/>
      <x:c r="L15" s="3"/>
      <x:c r="M15" s="3"/>
    </x:row>
    <x:row r="16" ht="23" customHeight="1">
      <x:c r="A16" s="2"/>
      <x:c r="B16" s="2"/>
      <x:c r="C16" s="6" t="str">
        <x:v>/Users/kwu/cprt/raw/sec/8k/er_2026-09-10_cprt-ex99_1.htm</x:v>
      </x:c>
      <x:c r="D16" s="21"/>
      <x:c r="E16" s="21"/>
      <x:c r="F16" s="21"/>
      <x:c r="G16" s="21"/>
      <x:c r="H16" s="21"/>
      <x:c r="I16" s="21"/>
      <x:c r="J16" s="21"/>
      <x:c r="K16" s="21"/>
      <x:c r="L16" s="3"/>
      <x:c r="M16" s="3"/>
    </x:row>
    <x:row r="17" ht="18" customHeight="1">
      <x:c r="A17" s="2"/>
      <x:c r="B17" s="2"/>
      <x:c r="C17" s="105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28" customHeight="1">
      <x:c r="A18" s="2"/>
      <x:c r="B18" s="2"/>
      <x:c r="C18" s="6" t="str">
        <x:v>Local archived SEC release paths above. Latest: https://www.sec.gov/Archives/edgar/data/900075/000119312526387902/cprt-ex99_1.htm</x:v>
      </x:c>
      <x:c r="D18" s="21"/>
      <x:c r="E18" s="21"/>
      <x:c r="F18" s="21"/>
      <x:c r="G18" s="21"/>
      <x:c r="H18" s="21"/>
      <x:c r="I18" s="21"/>
      <x:c r="J18" s="21"/>
      <x:c r="K18" s="21"/>
      <x:c r="L18" s="3"/>
      <x:c r="M18" s="3"/>
    </x:row>
    <x:row r="19" ht="18" customHeight="1">
      <x:c r="A19" s="2"/>
      <x:c r="B19" s="2"/>
      <x:c r="C19" s="105"/>
      <x:c r="D19" s="3"/>
      <x:c r="E19" s="3"/>
      <x:c r="F19" s="3"/>
      <x:c r="G19" s="3"/>
      <x:c r="H19" s="3"/>
      <x:c r="I19" s="3"/>
      <x:c r="J19" s="3"/>
      <x:c r="K19" s="3"/>
      <x:c r="L19" s="3"/>
      <x:c r="M19" s="3"/>
    </x:row>
    <x:row r="20" ht="18" customHeight="1">
      <x:c r="A20" s="2"/>
      <x:c r="B20" s="2"/>
      <x:c r="C20" s="105"/>
      <x:c r="D20" s="3"/>
      <x:c r="E20" s="3"/>
      <x:c r="F20" s="3"/>
      <x:c r="G20" s="3"/>
      <x:c r="H20" s="3"/>
      <x:c r="I20" s="3"/>
      <x:c r="J20" s="3"/>
      <x:c r="K20" s="3"/>
      <x:c r="L20" s="3"/>
      <x:c r="M20" s="3"/>
    </x:row>
    <x:row r="21" ht="18" customHeight="1">
      <x:c r="A21" s="2"/>
      <x:c r="B21" s="2"/>
      <x:c r="C21" s="105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 ht="18" customHeight="1">
      <x:c r="A22" s="2"/>
      <x:c r="B22" s="2"/>
      <x:c r="C22" s="105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 ht="18" customHeight="1">
      <x:c r="A23" s="2"/>
      <x:c r="B23" s="2"/>
      <x:c r="C23" s="105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18" customHeight="1">
      <x:c r="A24" s="2"/>
      <x:c r="B24" s="2"/>
      <x:c r="C24" s="105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C25" s="108"/>
    </x:row>
    <x:row r="26">
      <x:c r="C26" s="108"/>
    </x:row>
    <x:row r="27">
      <x:c r="C27" s="108"/>
    </x:row>
    <x:row r="28">
      <x:c r="C28" s="108"/>
    </x:row>
    <x:row r="29">
      <x:c r="C29" s="108"/>
    </x:row>
    <x:row r="30">
      <x:c r="C30" s="108"/>
    </x:row>
    <x:row r="31">
      <x:c r="C31" s="108"/>
    </x:row>
    <x:row r="32">
      <x:c r="C32" s="108"/>
    </x:row>
    <x:row r="33">
      <x:c r="C33" s="108"/>
    </x:row>
    <x:row r="34">
      <x:c r="C34" s="108"/>
    </x:row>
    <x:row r="35">
      <x:c r="C35" s="108"/>
    </x:row>
    <x:row r="36">
      <x:c r="C36" s="108"/>
    </x:row>
    <x:row r="37">
      <x:c r="C37" s="108"/>
    </x:row>
    <x:row r="38">
      <x:c r="C38" s="108"/>
    </x:row>
    <x:row r="39">
      <x:c r="C39" s="108"/>
    </x:row>
    <x:row r="40">
      <x:c r="C40" s="108"/>
    </x:row>
  </x:sheetData>
  <x:mergeCells>
    <x:mergeCell ref="C2:K2"/>
    <x:mergeCell ref="C3:K3"/>
    <x:mergeCell ref="C13:K13"/>
    <x:mergeCell ref="C14:K14"/>
    <x:mergeCell ref="C15:K15"/>
    <x:mergeCell ref="C16:K16"/>
    <x:mergeCell ref="C18:K1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13" hidden="0" customWidth="1"/>
    <x:col min="4" max="4" width="13" hidden="0" customWidth="1"/>
    <x:col min="5" max="5" width="13" hidden="0" customWidth="1"/>
    <x:col min="6" max="6" width="17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4" t="str">
        <x:v>Fleet source records</x:v>
      </x:c>
      <x:c r="D2" s="4"/>
      <x:c r="E2" s="4"/>
      <x:c r="F2" s="4"/>
      <x:c r="G2" s="4"/>
      <x:c r="H2" s="4"/>
      <x:c r="I2" s="4"/>
      <x:c r="J2" s="4"/>
      <x:c r="K2" s="4"/>
      <x:c r="L2" s="2"/>
      <x:c r="M2" s="2"/>
    </x:row>
    <x:row r="3" ht="28" customHeight="1">
      <x:c r="A3" s="2"/>
      <x:c r="B3" s="2"/>
      <x:c r="C3" s="6" t="str">
        <x:v>Car/LT births, EPA survival and calendar timing weights. Forecasts and fitted adjustments belong in the build.</x:v>
      </x:c>
      <x:c r="D3" s="6"/>
      <x:c r="E3" s="6"/>
      <x:c r="F3" s="6"/>
      <x:c r="G3" s="6"/>
      <x:c r="H3" s="6"/>
      <x:c r="I3" s="6"/>
      <x:c r="J3" s="6"/>
      <x:c r="K3" s="6"/>
      <x:c r="L3" s="2"/>
      <x:c r="M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9" customHeight="1">
      <x:c r="A5" s="2"/>
      <x:c r="B5" s="2"/>
      <x:c r="C5" s="10" t="str">
        <x:v>Year</x:v>
      </x:c>
      <x:c r="D5" s="10" t="str">
        <x:v>Cars (000s)</x:v>
      </x:c>
      <x:c r="E5" s="10" t="str">
        <x:v>LT (000s)</x:v>
      </x:c>
      <x:c r="F5" s="2"/>
      <x:c r="G5" s="10" t="str">
        <x:v>Age</x:v>
      </x:c>
      <x:c r="H5" s="10" t="str">
        <x:v>Car survival</x:v>
      </x:c>
      <x:c r="I5" s="10" t="str">
        <x:v>LT survival</x:v>
      </x:c>
      <x:c r="J5" s="2"/>
      <x:c r="K5" s="2"/>
      <x:c r="L5" s="2"/>
      <x:c r="M5" s="2"/>
    </x:row>
    <x:row r="6" ht="18" customHeight="1">
      <x:c r="A6" s="2"/>
      <x:c r="B6" s="2"/>
      <x:c r="C6" s="111" t="n">
        <x:v>1970</x:v>
      </x:c>
      <x:c r="D6" s="12" t="n">
        <x:v>8321</x:v>
      </x:c>
      <x:c r="E6" s="12" t="n">
        <x:v>1457</x:v>
      </x:c>
      <x:c r="F6" s="3"/>
      <x:c r="G6" s="23" t="n">
        <x:v>0</x:v>
      </x:c>
      <x:c r="H6" s="24" t="n">
        <x:v>1</x:v>
      </x:c>
      <x:c r="I6" s="24" t="n">
        <x:v>1</x:v>
      </x:c>
      <x:c r="J6" s="3"/>
      <x:c r="K6" s="3"/>
      <x:c r="L6" s="3"/>
      <x:c r="M6" s="3"/>
    </x:row>
    <x:row r="7" ht="18" customHeight="1">
      <x:c r="A7" s="2"/>
      <x:c r="B7" s="2"/>
      <x:c r="C7" s="111" t="n">
        <x:v>1971</x:v>
      </x:c>
      <x:c r="D7" s="12" t="n">
        <x:v>10144</x:v>
      </x:c>
      <x:c r="E7" s="12" t="n">
        <x:v>1673</x:v>
      </x:c>
      <x:c r="F7" s="3"/>
      <x:c r="G7" s="23" t="n">
        <x:v>1</x:v>
      </x:c>
      <x:c r="H7" s="24" t="n">
        <x:v>0.997</x:v>
      </x:c>
      <x:c r="I7" s="24" t="n">
        <x:v>0.991</x:v>
      </x:c>
      <x:c r="J7" s="3"/>
      <x:c r="K7" s="3"/>
      <x:c r="L7" s="3"/>
      <x:c r="M7" s="3"/>
    </x:row>
    <x:row r="8" ht="18" customHeight="1">
      <x:c r="A8" s="2"/>
      <x:c r="B8" s="2"/>
      <x:c r="C8" s="111" t="n">
        <x:v>1972</x:v>
      </x:c>
      <x:c r="D8" s="12" t="n">
        <x:v>10800.6</x:v>
      </x:c>
      <x:c r="E8" s="12" t="n">
        <x:v>2097</x:v>
      </x:c>
      <x:c r="F8" s="3"/>
      <x:c r="G8" s="23" t="n">
        <x:v>2</x:v>
      </x:c>
      <x:c r="H8" s="24" t="n">
        <x:v>0.994</x:v>
      </x:c>
      <x:c r="I8" s="24" t="n">
        <x:v>0.982</x:v>
      </x:c>
      <x:c r="J8" s="3"/>
      <x:c r="K8" s="3"/>
      <x:c r="L8" s="3"/>
      <x:c r="M8" s="3"/>
    </x:row>
    <x:row r="9" ht="18" customHeight="1">
      <x:c r="A9" s="2"/>
      <x:c r="B9" s="2"/>
      <x:c r="C9" s="111" t="n">
        <x:v>1973</x:v>
      </x:c>
      <x:c r="D9" s="12" t="n">
        <x:v>11276</x:v>
      </x:c>
      <x:c r="E9" s="12" t="n">
        <x:v>2512</x:v>
      </x:c>
      <x:c r="F9" s="3"/>
      <x:c r="G9" s="23" t="n">
        <x:v>3</x:v>
      </x:c>
      <x:c r="H9" s="24" t="n">
        <x:v>0.991</x:v>
      </x:c>
      <x:c r="I9" s="24" t="n">
        <x:v>0.973</x:v>
      </x:c>
      <x:c r="J9" s="3"/>
      <x:c r="K9" s="3"/>
      <x:c r="L9" s="3"/>
      <x:c r="M9" s="3"/>
    </x:row>
    <x:row r="10" ht="18" customHeight="1">
      <x:c r="A10" s="2"/>
      <x:c r="B10" s="2"/>
      <x:c r="C10" s="111" t="n">
        <x:v>1974</x:v>
      </x:c>
      <x:c r="D10" s="12" t="n">
        <x:v>8720.3</x:v>
      </x:c>
      <x:c r="E10" s="12" t="n">
        <x:v>2163</x:v>
      </x:c>
      <x:c r="F10" s="3"/>
      <x:c r="G10" s="23" t="n">
        <x:v>4</x:v>
      </x:c>
      <x:c r="H10" s="24" t="n">
        <x:v>0.984</x:v>
      </x:c>
      <x:c r="I10" s="24" t="n">
        <x:v>0.96</x:v>
      </x:c>
      <x:c r="J10" s="3"/>
      <x:c r="K10" s="3"/>
      <x:c r="L10" s="3"/>
      <x:c r="M10" s="3"/>
    </x:row>
    <x:row r="11" ht="18" customHeight="1">
      <x:c r="A11" s="2"/>
      <x:c r="B11" s="2"/>
      <x:c r="C11" s="111" t="n">
        <x:v>1975</x:v>
      </x:c>
      <x:c r="D11" s="12" t="n">
        <x:v>8485.8</x:v>
      </x:c>
      <x:c r="E11" s="12" t="n">
        <x:v>2053</x:v>
      </x:c>
      <x:c r="F11" s="3"/>
      <x:c r="G11" s="23" t="n">
        <x:v>5</x:v>
      </x:c>
      <x:c r="H11" s="24" t="n">
        <x:v>0.974</x:v>
      </x:c>
      <x:c r="I11" s="24" t="n">
        <x:v>0.941</x:v>
      </x:c>
      <x:c r="J11" s="3"/>
      <x:c r="K11" s="3"/>
      <x:c r="L11" s="3"/>
      <x:c r="M11" s="3"/>
    </x:row>
    <x:row r="12" ht="18" customHeight="1">
      <x:c r="A12" s="2"/>
      <x:c r="B12" s="2"/>
      <x:c r="C12" s="111" t="n">
        <x:v>1976</x:v>
      </x:c>
      <x:c r="D12" s="12" t="n">
        <x:v>9956.8</x:v>
      </x:c>
      <x:c r="E12" s="12" t="n">
        <x:v>2719</x:v>
      </x:c>
      <x:c r="F12" s="3"/>
      <x:c r="G12" s="23" t="n">
        <x:v>6</x:v>
      </x:c>
      <x:c r="H12" s="24" t="n">
        <x:v>0.961</x:v>
      </x:c>
      <x:c r="I12" s="24" t="n">
        <x:v>0.919</x:v>
      </x:c>
      <x:c r="J12" s="3"/>
      <x:c r="K12" s="3"/>
      <x:c r="L12" s="3"/>
      <x:c r="M12" s="3"/>
    </x:row>
    <x:row r="13" ht="18" customHeight="1">
      <x:c r="A13" s="2"/>
      <x:c r="B13" s="2"/>
      <x:c r="C13" s="111" t="n">
        <x:v>1977</x:v>
      </x:c>
      <x:c r="D13" s="12" t="n">
        <x:v>11003.6</x:v>
      </x:c>
      <x:c r="E13" s="12" t="n">
        <x:v>3109</x:v>
      </x:c>
      <x:c r="F13" s="3"/>
      <x:c r="G13" s="23" t="n">
        <x:v>7</x:v>
      </x:c>
      <x:c r="H13" s="24" t="n">
        <x:v>0.942</x:v>
      </x:c>
      <x:c r="I13" s="24" t="n">
        <x:v>0.891</x:v>
      </x:c>
      <x:c r="J13" s="3"/>
      <x:c r="K13" s="3"/>
      <x:c r="L13" s="3"/>
      <x:c r="M13" s="3"/>
    </x:row>
    <x:row r="14" ht="18" customHeight="1">
      <x:c r="A14" s="2"/>
      <x:c r="B14" s="2"/>
      <x:c r="C14" s="111" t="n">
        <x:v>1978</x:v>
      </x:c>
      <x:c r="D14" s="12" t="n">
        <x:v>11107</x:v>
      </x:c>
      <x:c r="E14" s="12" t="n">
        <x:v>3474</x:v>
      </x:c>
      <x:c r="F14" s="3"/>
      <x:c r="G14" s="23" t="n">
        <x:v>8</x:v>
      </x:c>
      <x:c r="H14" s="24" t="n">
        <x:v>0.92</x:v>
      </x:c>
      <x:c r="I14" s="24" t="n">
        <x:v>0.859</x:v>
      </x:c>
      <x:c r="J14" s="3"/>
      <x:c r="K14" s="3"/>
      <x:c r="L14" s="3"/>
      <x:c r="M14" s="3"/>
    </x:row>
    <x:row r="15" ht="18" customHeight="1">
      <x:c r="A15" s="2"/>
      <x:c r="B15" s="2"/>
      <x:c r="C15" s="111" t="n">
        <x:v>1979</x:v>
      </x:c>
      <x:c r="D15" s="12" t="n">
        <x:v>10512</x:v>
      </x:c>
      <x:c r="E15" s="12" t="n">
        <x:v>2845</x:v>
      </x:c>
      <x:c r="F15" s="3"/>
      <x:c r="G15" s="23" t="n">
        <x:v>9</x:v>
      </x:c>
      <x:c r="H15" s="24" t="n">
        <x:v>0.893</x:v>
      </x:c>
      <x:c r="I15" s="24" t="n">
        <x:v>0.823</x:v>
      </x:c>
      <x:c r="J15" s="3"/>
      <x:c r="K15" s="3"/>
      <x:c r="L15" s="3"/>
      <x:c r="M15" s="3"/>
    </x:row>
    <x:row r="16" ht="18" customHeight="1">
      <x:c r="A16" s="2"/>
      <x:c r="B16" s="2"/>
      <x:c r="C16" s="111" t="n">
        <x:v>1980</x:v>
      </x:c>
      <x:c r="D16" s="12" t="n">
        <x:v>8948.8</x:v>
      </x:c>
      <x:c r="E16" s="12" t="n">
        <x:v>1960</x:v>
      </x:c>
      <x:c r="F16" s="3"/>
      <x:c r="G16" s="23" t="n">
        <x:v>10</x:v>
      </x:c>
      <x:c r="H16" s="24" t="n">
        <x:v>0.862</x:v>
      </x:c>
      <x:c r="I16" s="24" t="n">
        <x:v>0.784</x:v>
      </x:c>
      <x:c r="J16" s="3"/>
      <x:c r="K16" s="3"/>
      <x:c r="L16" s="3"/>
      <x:c r="M16" s="3"/>
    </x:row>
    <x:row r="17" ht="18" customHeight="1">
      <x:c r="A17" s="2"/>
      <x:c r="B17" s="2"/>
      <x:c r="C17" s="111" t="n">
        <x:v>1981</x:v>
      </x:c>
      <x:c r="D17" s="12" t="n">
        <x:v>8488.4</x:v>
      </x:c>
      <x:c r="E17" s="12" t="n">
        <x:v>1746</x:v>
      </x:c>
      <x:c r="F17" s="3"/>
      <x:c r="G17" s="23" t="n">
        <x:v>11</x:v>
      </x:c>
      <x:c r="H17" s="24" t="n">
        <x:v>0.826</x:v>
      </x:c>
      <x:c r="I17" s="24" t="n">
        <x:v>0.741</x:v>
      </x:c>
      <x:c r="J17" s="3"/>
      <x:c r="K17" s="3"/>
      <x:c r="L17" s="3"/>
      <x:c r="M17" s="3"/>
    </x:row>
    <x:row r="18" ht="18" customHeight="1">
      <x:c r="A18" s="2"/>
      <x:c r="B18" s="2"/>
      <x:c r="C18" s="111" t="n">
        <x:v>1982</x:v>
      </x:c>
      <x:c r="D18" s="12" t="n">
        <x:v>7956.5</x:v>
      </x:c>
      <x:c r="E18" s="12" t="n">
        <x:v>2063</x:v>
      </x:c>
      <x:c r="F18" s="3"/>
      <x:c r="G18" s="23" t="n">
        <x:v>12</x:v>
      </x:c>
      <x:c r="H18" s="24" t="n">
        <x:v>0.788</x:v>
      </x:c>
      <x:c r="I18" s="24" t="n">
        <x:v>0.697</x:v>
      </x:c>
      <x:c r="J18" s="3"/>
      <x:c r="K18" s="3"/>
      <x:c r="L18" s="3"/>
      <x:c r="M18" s="3"/>
    </x:row>
    <x:row r="19" ht="18" customHeight="1">
      <x:c r="A19" s="2"/>
      <x:c r="B19" s="2"/>
      <x:c r="C19" s="111" t="n">
        <x:v>1983</x:v>
      </x:c>
      <x:c r="D19" s="12" t="n">
        <x:v>9148</x:v>
      </x:c>
      <x:c r="E19" s="12" t="n">
        <x:v>2521</x:v>
      </x:c>
      <x:c r="F19" s="3"/>
      <x:c r="G19" s="23" t="n">
        <x:v>13</x:v>
      </x:c>
      <x:c r="H19" s="24" t="n">
        <x:v>0.718</x:v>
      </x:c>
      <x:c r="I19" s="24" t="n">
        <x:v>0.651</x:v>
      </x:c>
      <x:c r="J19" s="3"/>
      <x:c r="K19" s="3"/>
      <x:c r="L19" s="3"/>
      <x:c r="M19" s="3"/>
    </x:row>
    <x:row r="20" ht="18" customHeight="1">
      <x:c r="A20" s="2"/>
      <x:c r="B20" s="2"/>
      <x:c r="C20" s="111" t="n">
        <x:v>1984</x:v>
      </x:c>
      <x:c r="D20" s="12" t="n">
        <x:v>10323.7</x:v>
      </x:c>
      <x:c r="E20" s="12" t="n">
        <x:v>3255</x:v>
      </x:c>
      <x:c r="F20" s="3"/>
      <x:c r="G20" s="23" t="n">
        <x:v>14</x:v>
      </x:c>
      <x:c r="H20" s="24" t="n">
        <x:v>0.613</x:v>
      </x:c>
      <x:c r="I20" s="24" t="n">
        <x:v>0.605</x:v>
      </x:c>
      <x:c r="J20" s="3"/>
      <x:c r="K20" s="3"/>
      <x:c r="L20" s="3"/>
      <x:c r="M20" s="3"/>
    </x:row>
    <x:row r="21" ht="18" customHeight="1">
      <x:c r="A21" s="2"/>
      <x:c r="B21" s="2"/>
      <x:c r="C21" s="111" t="n">
        <x:v>1985</x:v>
      </x:c>
      <x:c r="D21" s="12" t="n">
        <x:v>10979.2</x:v>
      </x:c>
      <x:c r="E21" s="12" t="n">
        <x:v>3688</x:v>
      </x:c>
      <x:c r="F21" s="3"/>
      <x:c r="G21" s="23" t="n">
        <x:v>15</x:v>
      </x:c>
      <x:c r="H21" s="24" t="n">
        <x:v>0.51</x:v>
      </x:c>
      <x:c r="I21" s="24" t="n">
        <x:v>0.553</x:v>
      </x:c>
      <x:c r="J21" s="3"/>
      <x:c r="K21" s="3"/>
      <x:c r="L21" s="3"/>
      <x:c r="M21" s="3"/>
    </x:row>
    <x:row r="22" ht="18" customHeight="1">
      <x:c r="A22" s="2"/>
      <x:c r="B22" s="2"/>
      <x:c r="C22" s="111" t="n">
        <x:v>1986</x:v>
      </x:c>
      <x:c r="D22" s="12" t="n">
        <x:v>11404.1</x:v>
      </x:c>
      <x:c r="E22" s="12" t="n">
        <x:v>4594</x:v>
      </x:c>
      <x:c r="F22" s="3"/>
      <x:c r="G22" s="23" t="n">
        <x:v>16</x:v>
      </x:c>
      <x:c r="H22" s="24" t="n">
        <x:v>0.415</x:v>
      </x:c>
      <x:c r="I22" s="24" t="n">
        <x:v>0.502</x:v>
      </x:c>
      <x:c r="J22" s="3"/>
      <x:c r="K22" s="3"/>
      <x:c r="L22" s="3"/>
      <x:c r="M22" s="3"/>
    </x:row>
    <x:row r="23" ht="18" customHeight="1">
      <x:c r="A23" s="2"/>
      <x:c r="B23" s="2"/>
      <x:c r="C23" s="111" t="n">
        <x:v>1987</x:v>
      </x:c>
      <x:c r="D23" s="12" t="n">
        <x:v>10187.5</x:v>
      </x:c>
      <x:c r="E23" s="12" t="n">
        <x:v>4610</x:v>
      </x:c>
      <x:c r="F23" s="3"/>
      <x:c r="G23" s="23" t="n">
        <x:v>17</x:v>
      </x:c>
      <x:c r="H23" s="24" t="n">
        <x:v>0.332</x:v>
      </x:c>
      <x:c r="I23" s="24" t="n">
        <x:v>0.453</x:v>
      </x:c>
      <x:c r="J23" s="3"/>
      <x:c r="K23" s="3"/>
      <x:c r="L23" s="3"/>
      <x:c r="M23" s="3"/>
    </x:row>
    <x:row r="24" ht="18" customHeight="1">
      <x:c r="A24" s="2"/>
      <x:c r="B24" s="2"/>
      <x:c r="C24" s="111" t="n">
        <x:v>1988</x:v>
      </x:c>
      <x:c r="D24" s="12" t="n">
        <x:v>10543.6</x:v>
      </x:c>
      <x:c r="E24" s="12" t="n">
        <x:v>4800</x:v>
      </x:c>
      <x:c r="F24" s="3"/>
      <x:c r="G24" s="23" t="n">
        <x:v>18</x:v>
      </x:c>
      <x:c r="H24" s="24" t="n">
        <x:v>0.261</x:v>
      </x:c>
      <x:c r="I24" s="24" t="n">
        <x:v>0.407</x:v>
      </x:c>
      <x:c r="J24" s="3"/>
      <x:c r="K24" s="3"/>
      <x:c r="L24" s="3"/>
      <x:c r="M24" s="3"/>
    </x:row>
    <x:row r="25" ht="18" customHeight="1">
      <x:c r="A25" s="2"/>
      <x:c r="B25" s="2"/>
      <x:c r="C25" s="111" t="n">
        <x:v>1989</x:v>
      </x:c>
      <x:c r="D25" s="12" t="n">
        <x:v>9775.9</x:v>
      </x:c>
      <x:c r="E25" s="12" t="n">
        <x:v>4610</x:v>
      </x:c>
      <x:c r="F25" s="3"/>
      <x:c r="G25" s="23" t="n">
        <x:v>19</x:v>
      </x:c>
      <x:c r="H25" s="24" t="n">
        <x:v>0.203</x:v>
      </x:c>
      <x:c r="I25" s="24" t="n">
        <x:v>0.364</x:v>
      </x:c>
      <x:c r="J25" s="3"/>
      <x:c r="K25" s="3"/>
      <x:c r="L25" s="3"/>
      <x:c r="M25" s="3"/>
    </x:row>
    <x:row r="26" ht="18" customHeight="1">
      <x:c r="A26" s="2"/>
      <x:c r="B26" s="2"/>
      <x:c r="C26" s="111" t="n">
        <x:v>1990</x:v>
      </x:c>
      <x:c r="D26" s="12" t="n">
        <x:v>9301.2</x:v>
      </x:c>
      <x:c r="E26" s="12" t="n">
        <x:v>4548</x:v>
      </x:c>
      <x:c r="F26" s="3"/>
      <x:c r="G26" s="23" t="n">
        <x:v>20</x:v>
      </x:c>
      <x:c r="H26" s="24" t="n">
        <x:v>0.157</x:v>
      </x:c>
      <x:c r="I26" s="24" t="n">
        <x:v>0.324</x:v>
      </x:c>
      <x:c r="J26" s="3"/>
      <x:c r="K26" s="3"/>
      <x:c r="L26" s="3"/>
      <x:c r="M26" s="3"/>
    </x:row>
    <x:row r="27" ht="18" customHeight="1">
      <x:c r="A27" s="2"/>
      <x:c r="B27" s="2"/>
      <x:c r="C27" s="111" t="n">
        <x:v>1991</x:v>
      </x:c>
      <x:c r="D27" s="12" t="n">
        <x:v>8185</x:v>
      </x:c>
      <x:c r="E27" s="12" t="n">
        <x:v>4122</x:v>
      </x:c>
      <x:c r="F27" s="3"/>
      <x:c r="G27" s="23" t="n">
        <x:v>21</x:v>
      </x:c>
      <x:c r="H27" s="24" t="n">
        <x:v>0.12</x:v>
      </x:c>
      <x:c r="I27" s="24" t="n">
        <x:v>0.288</x:v>
      </x:c>
      <x:c r="J27" s="3"/>
      <x:c r="K27" s="3"/>
      <x:c r="L27" s="3"/>
      <x:c r="M27" s="3"/>
    </x:row>
    <x:row r="28" ht="18" customHeight="1">
      <x:c r="A28" s="2"/>
      <x:c r="B28" s="2"/>
      <x:c r="C28" s="111" t="n">
        <x:v>1992</x:v>
      </x:c>
      <x:c r="D28" s="12" t="n">
        <x:v>8213.1</x:v>
      </x:c>
      <x:c r="E28" s="12" t="n">
        <x:v>4629</x:v>
      </x:c>
      <x:c r="F28" s="3"/>
      <x:c r="G28" s="23" t="n">
        <x:v>22</x:v>
      </x:c>
      <x:c r="H28" s="24" t="n">
        <x:v>0.092</x:v>
      </x:c>
      <x:c r="I28" s="24" t="n">
        <x:v>0.255</x:v>
      </x:c>
      <x:c r="J28" s="3"/>
      <x:c r="K28" s="3"/>
      <x:c r="L28" s="3"/>
      <x:c r="M28" s="3"/>
    </x:row>
    <x:row r="29" ht="18" customHeight="1">
      <x:c r="A29" s="2"/>
      <x:c r="B29" s="2"/>
      <x:c r="C29" s="111" t="n">
        <x:v>1993</x:v>
      </x:c>
      <x:c r="D29" s="12" t="n">
        <x:v>8517.9</x:v>
      </x:c>
      <x:c r="E29" s="12" t="n">
        <x:v>5351</x:v>
      </x:c>
      <x:c r="F29" s="3"/>
      <x:c r="G29" s="23" t="n">
        <x:v>23</x:v>
      </x:c>
      <x:c r="H29" s="24" t="n">
        <x:v>0.07</x:v>
      </x:c>
      <x:c r="I29" s="24" t="n">
        <x:v>0.225</x:v>
      </x:c>
      <x:c r="J29" s="3"/>
      <x:c r="K29" s="3"/>
      <x:c r="L29" s="3"/>
      <x:c r="M29" s="3"/>
    </x:row>
    <x:row r="30" ht="18" customHeight="1">
      <x:c r="A30" s="2"/>
      <x:c r="B30" s="2"/>
      <x:c r="C30" s="111" t="n">
        <x:v>1994</x:v>
      </x:c>
      <x:c r="D30" s="12" t="n">
        <x:v>8990.5</x:v>
      </x:c>
      <x:c r="E30" s="12" t="n">
        <x:v>6033</x:v>
      </x:c>
      <x:c r="F30" s="3"/>
      <x:c r="G30" s="23" t="n">
        <x:v>24</x:v>
      </x:c>
      <x:c r="H30" s="24" t="n">
        <x:v>0.053</x:v>
      </x:c>
      <x:c r="I30" s="24" t="n">
        <x:v>0.198</x:v>
      </x:c>
      <x:c r="J30" s="3"/>
      <x:c r="K30" s="3"/>
      <x:c r="L30" s="3"/>
      <x:c r="M30" s="3"/>
    </x:row>
    <x:row r="31" ht="18" customHeight="1">
      <x:c r="A31" s="2"/>
      <x:c r="B31" s="2"/>
      <x:c r="C31" s="111" t="n">
        <x:v>1995</x:v>
      </x:c>
      <x:c r="D31" s="12" t="n">
        <x:v>8620.2</x:v>
      </x:c>
      <x:c r="E31" s="12" t="n">
        <x:v>6053</x:v>
      </x:c>
      <x:c r="F31" s="3"/>
      <x:c r="G31" s="23" t="n">
        <x:v>25</x:v>
      </x:c>
      <x:c r="H31" s="24" t="n">
        <x:v>0.04</x:v>
      </x:c>
      <x:c r="I31" s="24" t="n">
        <x:v>0.174</x:v>
      </x:c>
      <x:c r="J31" s="3"/>
      <x:c r="K31" s="3"/>
      <x:c r="L31" s="3"/>
      <x:c r="M31" s="3"/>
    </x:row>
    <x:row r="32" ht="18" customHeight="1">
      <x:c r="A32" s="2"/>
      <x:c r="B32" s="2"/>
      <x:c r="C32" s="111" t="n">
        <x:v>1996</x:v>
      </x:c>
      <x:c r="D32" s="12" t="n">
        <x:v>8478.5</x:v>
      </x:c>
      <x:c r="E32" s="12" t="n">
        <x:v>6519</x:v>
      </x:c>
      <x:c r="F32" s="3"/>
      <x:c r="G32" s="23" t="n">
        <x:v>26</x:v>
      </x:c>
      <x:c r="H32" s="24" t="n">
        <x:v>0.03</x:v>
      </x:c>
      <x:c r="I32" s="24" t="n">
        <x:v>0.153</x:v>
      </x:c>
      <x:c r="J32" s="3"/>
      <x:c r="K32" s="3"/>
      <x:c r="L32" s="3"/>
      <x:c r="M32" s="3"/>
    </x:row>
    <x:row r="33" ht="18" customHeight="1">
      <x:c r="A33" s="2"/>
      <x:c r="B33" s="2"/>
      <x:c r="C33" s="111" t="n">
        <x:v>1997</x:v>
      </x:c>
      <x:c r="D33" s="12" t="n">
        <x:v>8217.5</x:v>
      </x:c>
      <x:c r="E33" s="12" t="n">
        <x:v>6797</x:v>
      </x:c>
      <x:c r="F33" s="3"/>
      <x:c r="G33" s="23" t="n">
        <x:v>27</x:v>
      </x:c>
      <x:c r="H33" s="24" t="n">
        <x:v>0.023</x:v>
      </x:c>
      <x:c r="I33" s="24" t="n">
        <x:v>0.133</x:v>
      </x:c>
      <x:c r="J33" s="3"/>
      <x:c r="K33" s="3"/>
      <x:c r="L33" s="3"/>
      <x:c r="M33" s="3"/>
    </x:row>
    <x:row r="34" ht="18" customHeight="1">
      <x:c r="A34" s="2"/>
      <x:c r="B34" s="2"/>
      <x:c r="C34" s="111" t="n">
        <x:v>1998</x:v>
      </x:c>
      <x:c r="D34" s="12" t="n">
        <x:v>8085</x:v>
      </x:c>
      <x:c r="E34" s="12" t="n">
        <x:v>7299</x:v>
      </x:c>
      <x:c r="F34" s="3"/>
      <x:c r="G34" s="23" t="n">
        <x:v>28</x:v>
      </x:c>
      <x:c r="H34" s="24" t="n">
        <x:v>0.013</x:v>
      </x:c>
      <x:c r="I34" s="24" t="n">
        <x:v>0.117</x:v>
      </x:c>
      <x:c r="J34" s="3"/>
      <x:c r="K34" s="3"/>
      <x:c r="L34" s="3"/>
      <x:c r="M34" s="3"/>
    </x:row>
    <x:row r="35" ht="18" customHeight="1">
      <x:c r="A35" s="2"/>
      <x:c r="B35" s="2"/>
      <x:c r="C35" s="111" t="n">
        <x:v>1999</x:v>
      </x:c>
      <x:c r="D35" s="12" t="n">
        <x:v>8637.7</x:v>
      </x:c>
      <x:c r="E35" s="12" t="n">
        <x:v>8073</x:v>
      </x:c>
      <x:c r="F35" s="3"/>
      <x:c r="G35" s="23" t="n">
        <x:v>29</x:v>
      </x:c>
      <x:c r="H35" s="24" t="n">
        <x:v>0.01</x:v>
      </x:c>
      <x:c r="I35" s="24" t="n">
        <x:v>0.102</x:v>
      </x:c>
      <x:c r="J35" s="3"/>
      <x:c r="K35" s="3"/>
      <x:c r="L35" s="3"/>
      <x:c r="M35" s="3"/>
    </x:row>
    <x:row r="36" ht="18" customHeight="1">
      <x:c r="A36" s="2"/>
      <x:c r="B36" s="2"/>
      <x:c r="C36" s="111" t="n">
        <x:v>2000</x:v>
      </x:c>
      <x:c r="D36" s="12" t="n">
        <x:v>8777.7</x:v>
      </x:c>
      <x:c r="E36" s="12" t="n">
        <x:v>8386</x:v>
      </x:c>
      <x:c r="F36" s="3"/>
      <x:c r="G36" s="23" t="n">
        <x:v>30</x:v>
      </x:c>
      <x:c r="H36" s="24" t="n">
        <x:v>0.007</x:v>
      </x:c>
      <x:c r="I36" s="24" t="n">
        <x:v>0.089</x:v>
      </x:c>
      <x:c r="J36" s="3"/>
      <x:c r="K36" s="3"/>
      <x:c r="L36" s="3"/>
      <x:c r="M36" s="3"/>
    </x:row>
    <x:row r="37" ht="18" customHeight="1">
      <x:c r="A37" s="2"/>
      <x:c r="B37" s="2"/>
      <x:c r="C37" s="111" t="n">
        <x:v>2001</x:v>
      </x:c>
      <x:c r="D37" s="12" t="n">
        <x:v>8352</x:v>
      </x:c>
      <x:c r="E37" s="12" t="n">
        <x:v>8598</x:v>
      </x:c>
      <x:c r="F37" s="3"/>
      <x:c r="G37" s="23" t="n">
        <x:v>31</x:v>
      </x:c>
      <x:c r="H37" s="24" t="n">
        <x:v>0.002</x:v>
      </x:c>
      <x:c r="I37" s="24" t="n">
        <x:v>0.027</x:v>
      </x:c>
      <x:c r="J37" s="3"/>
      <x:c r="K37" s="3"/>
      <x:c r="L37" s="3"/>
      <x:c r="M37" s="3"/>
    </x:row>
    <x:row r="38" ht="18" customHeight="1">
      <x:c r="A38" s="2"/>
      <x:c r="B38" s="2"/>
      <x:c r="C38" s="111" t="n">
        <x:v>2002</x:v>
      </x:c>
      <x:c r="D38" s="12" t="n">
        <x:v>8042.3</x:v>
      </x:c>
      <x:c r="E38" s="12" t="n">
        <x:v>8633</x:v>
      </x:c>
      <x:c r="F38" s="3"/>
      <x:c r="G38" s="3"/>
      <x:c r="H38" s="3"/>
      <x:c r="I38" s="3"/>
      <x:c r="J38" s="3"/>
      <x:c r="K38" s="3"/>
      <x:c r="L38" s="3"/>
      <x:c r="M38" s="3"/>
    </x:row>
    <x:row r="39" ht="18" customHeight="1">
      <x:c r="A39" s="2"/>
      <x:c r="B39" s="2"/>
      <x:c r="C39" s="111" t="n">
        <x:v>2003</x:v>
      </x:c>
      <x:c r="D39" s="12" t="n">
        <x:v>7555.6</x:v>
      </x:c>
      <x:c r="E39" s="12" t="n">
        <x:v>8938</x:v>
      </x:c>
      <x:c r="F39" s="3"/>
      <x:c r="G39" s="3"/>
      <x:c r="H39" s="3"/>
      <x:c r="I39" s="3"/>
      <x:c r="J39" s="3"/>
      <x:c r="K39" s="3"/>
      <x:c r="L39" s="3"/>
      <x:c r="M39" s="3"/>
    </x:row>
    <x:row r="40" ht="18" customHeight="1">
      <x:c r="A40" s="2"/>
      <x:c r="B40" s="2"/>
      <x:c r="C40" s="111" t="n">
        <x:v>2004</x:v>
      </x:c>
      <x:c r="D40" s="12" t="n">
        <x:v>7482.6</x:v>
      </x:c>
      <x:c r="E40" s="12" t="n">
        <x:v>9254</x:v>
      </x:c>
      <x:c r="F40" s="3"/>
      <x:c r="G40" s="3"/>
      <x:c r="H40" s="3"/>
      <x:c r="I40" s="3"/>
      <x:c r="J40" s="3"/>
      <x:c r="K40" s="3"/>
      <x:c r="L40" s="3"/>
      <x:c r="M40" s="3"/>
    </x:row>
    <x:row r="41" ht="18" customHeight="1">
      <x:c r="A41" s="2"/>
      <x:c r="B41" s="2"/>
      <x:c r="C41" s="23" t="n">
        <x:v>2005</x:v>
      </x:c>
      <x:c r="D41" s="12" t="n">
        <x:v>7660</x:v>
      </x:c>
      <x:c r="E41" s="12" t="n">
        <x:v>9114</x:v>
      </x:c>
      <x:c r="F41" s="3"/>
      <x:c r="G41" s="3"/>
      <x:c r="H41" s="3"/>
      <x:c r="I41" s="3"/>
      <x:c r="J41" s="3"/>
      <x:c r="K41" s="3"/>
      <x:c r="L41" s="3"/>
      <x:c r="M41" s="3"/>
    </x:row>
    <x:row r="42" ht="18" customHeight="1">
      <x:c r="A42" s="2"/>
      <x:c r="B42" s="2"/>
      <x:c r="C42" s="23" t="n">
        <x:v>2006</x:v>
      </x:c>
      <x:c r="D42" s="12" t="n">
        <x:v>7761.6</x:v>
      </x:c>
      <x:c r="E42" s="12" t="n">
        <x:v>8574</x:v>
      </x:c>
      <x:c r="F42" s="3"/>
      <x:c r="G42" s="3"/>
      <x:c r="H42" s="3"/>
      <x:c r="I42" s="3"/>
      <x:c r="J42" s="3"/>
      <x:c r="K42" s="3"/>
      <x:c r="L42" s="3"/>
      <x:c r="M42" s="3"/>
    </x:row>
    <x:row r="43" ht="18" customHeight="1">
      <x:c r="A43" s="2"/>
      <x:c r="B43" s="2"/>
      <x:c r="C43" s="23" t="n">
        <x:v>2007</x:v>
      </x:c>
      <x:c r="D43" s="12" t="n">
        <x:v>7562.3</x:v>
      </x:c>
      <x:c r="E43" s="12" t="n">
        <x:v>8305</x:v>
      </x:c>
      <x:c r="F43" s="3"/>
      <x:c r="G43" s="3"/>
      <x:c r="H43" s="3"/>
      <x:c r="I43" s="3"/>
      <x:c r="J43" s="3"/>
      <x:c r="K43" s="3"/>
      <x:c r="L43" s="3"/>
      <x:c r="M43" s="3"/>
    </x:row>
    <x:row r="44" ht="29" customHeight="1">
      <x:c r="A44" s="2"/>
      <x:c r="B44" s="2"/>
      <x:c r="C44" s="23" t="n">
        <x:v>2008</x:v>
      </x:c>
      <x:c r="D44" s="12" t="n">
        <x:v>6769.1</x:v>
      </x:c>
      <x:c r="E44" s="12" t="n">
        <x:v>6246</x:v>
      </x:c>
      <x:c r="F44" s="25" t="str">
        <x:v>Period</x:v>
      </x:c>
      <x:c r="G44" s="26" t="n">
        <x:v>2023</x:v>
      </x:c>
      <x:c r="H44" s="26" t="n">
        <x:v>2024</x:v>
      </x:c>
      <x:c r="I44" s="26" t="n">
        <x:v>2025</x:v>
      </x:c>
      <x:c r="J44" s="26" t="n">
        <x:v>2026</x:v>
      </x:c>
      <x:c r="K44" s="26" t="n">
        <x:v>2027</x:v>
      </x:c>
      <x:c r="L44" s="3"/>
      <x:c r="M44" s="3"/>
    </x:row>
    <x:row r="45" ht="18" customHeight="1">
      <x:c r="A45" s="2"/>
      <x:c r="B45" s="2"/>
      <x:c r="C45" s="23" t="n">
        <x:v>2009</x:v>
      </x:c>
      <x:c r="D45" s="12" t="n">
        <x:v>5401.6</x:v>
      </x:c>
      <x:c r="E45" s="12" t="n">
        <x:v>4834</x:v>
      </x:c>
      <x:c r="F45" s="3"/>
      <x:c r="G45" s="3"/>
      <x:c r="H45" s="3"/>
      <x:c r="I45" s="3"/>
      <x:c r="J45" s="3"/>
      <x:c r="K45" s="3"/>
      <x:c r="L45" s="3"/>
      <x:c r="M45" s="3"/>
    </x:row>
    <x:row r="46" ht="18" customHeight="1">
      <x:c r="A46" s="2"/>
      <x:c r="B46" s="2"/>
      <x:c r="C46" s="23" t="n">
        <x:v>2010</x:v>
      </x:c>
      <x:c r="D46" s="12" t="n">
        <x:v>5635.7</x:v>
      </x:c>
      <x:c r="E46" s="12" t="n">
        <x:v>5758</x:v>
      </x:c>
      <x:c r="F46" s="12" t="str">
        <x:v>Q1 FY25M</x:v>
      </x:c>
      <x:c r="G46" s="24" t="n">
        <x:v>0.2916666666666667</x:v>
      </x:c>
      <x:c r="H46" s="24" t="n">
        <x:v>0.7083333333333334</x:v>
      </x:c>
      <x:c r="I46" s="24" t="n">
        <x:v>0</x:v>
      </x:c>
      <x:c r="J46" s="24" t="n">
        <x:v>0</x:v>
      </x:c>
      <x:c r="K46" s="24" t="n">
        <x:v>0</x:v>
      </x:c>
      <x:c r="L46" s="3"/>
      <x:c r="M46" s="3"/>
    </x:row>
    <x:row r="47" ht="18" customHeight="1">
      <x:c r="A47" s="2"/>
      <x:c r="B47" s="2"/>
      <x:c r="C47" s="23" t="n">
        <x:v>2011</x:v>
      </x:c>
      <x:c r="D47" s="12" t="n">
        <x:v>6092.9</x:v>
      </x:c>
      <x:c r="E47" s="12" t="n">
        <x:v>6449</x:v>
      </x:c>
      <x:c r="F47" s="12" t="str">
        <x:v>Q2 FY25M</x:v>
      </x:c>
      <x:c r="G47" s="24" t="n">
        <x:v>0.05555555555555554</x:v>
      </x:c>
      <x:c r="H47" s="24" t="n">
        <x:v>0.9305555555555556</x:v>
      </x:c>
      <x:c r="I47" s="24" t="n">
        <x:v>0.013888888888888888</x:v>
      </x:c>
      <x:c r="J47" s="24" t="n">
        <x:v>0</x:v>
      </x:c>
      <x:c r="K47" s="24" t="n">
        <x:v>0</x:v>
      </x:c>
      <x:c r="L47" s="3"/>
      <x:c r="M47" s="3"/>
    </x:row>
    <x:row r="48" ht="18" customHeight="1">
      <x:c r="A48" s="2"/>
      <x:c r="B48" s="2"/>
      <x:c r="C48" s="23" t="n">
        <x:v>2012</x:v>
      </x:c>
      <x:c r="D48" s="12" t="n">
        <x:v>7245.2</x:v>
      </x:c>
      <x:c r="E48" s="12" t="n">
        <x:v>6974.8</x:v>
      </x:c>
      <x:c r="F48" s="12" t="str">
        <x:v>Q3 FY25M</x:v>
      </x:c>
      <x:c r="G48" s="24" t="n">
        <x:v>0</x:v>
      </x:c>
      <x:c r="H48" s="24" t="n">
        <x:v>0.7916666666666666</x:v>
      </x:c>
      <x:c r="I48" s="24" t="n">
        <x:v>0.20833333333333331</x:v>
      </x:c>
      <x:c r="J48" s="24" t="n">
        <x:v>0</x:v>
      </x:c>
      <x:c r="K48" s="24" t="n">
        <x:v>0</x:v>
      </x:c>
      <x:c r="L48" s="3"/>
      <x:c r="M48" s="3"/>
    </x:row>
    <x:row r="49" ht="18" customHeight="1">
      <x:c r="A49" s="2"/>
      <x:c r="B49" s="2"/>
      <x:c r="C49" s="23" t="n">
        <x:v>2013</x:v>
      </x:c>
      <x:c r="D49" s="12" t="n">
        <x:v>7586.3</x:v>
      </x:c>
      <x:c r="E49" s="12" t="n">
        <x:v>7692.6</x:v>
      </x:c>
      <x:c r="F49" s="12" t="str">
        <x:v>Q4 FY25M</x:v>
      </x:c>
      <x:c r="G49" s="24" t="n">
        <x:v>0</x:v>
      </x:c>
      <x:c r="H49" s="24" t="n">
        <x:v>0.5416666666666667</x:v>
      </x:c>
      <x:c r="I49" s="24" t="n">
        <x:v>0.45833333333333337</x:v>
      </x:c>
      <x:c r="J49" s="24" t="n">
        <x:v>0</x:v>
      </x:c>
      <x:c r="K49" s="24" t="n">
        <x:v>0</x:v>
      </x:c>
      <x:c r="L49" s="3"/>
      <x:c r="M49" s="3"/>
    </x:row>
    <x:row r="50" ht="18" customHeight="1">
      <x:c r="A50" s="2"/>
      <x:c r="B50" s="2"/>
      <x:c r="C50" s="23" t="n">
        <x:v>2014</x:v>
      </x:c>
      <x:c r="D50" s="12" t="n">
        <x:v>7708</x:v>
      </x:c>
      <x:c r="E50" s="12" t="n">
        <x:v>8483.8</x:v>
      </x:c>
      <x:c r="F50" s="12" t="str">
        <x:v>Q1 FY26M</x:v>
      </x:c>
      <x:c r="G50" s="24" t="n">
        <x:v>0</x:v>
      </x:c>
      <x:c r="H50" s="24" t="n">
        <x:v>0.2916666666666667</x:v>
      </x:c>
      <x:c r="I50" s="24" t="n">
        <x:v>0.7083333333333334</x:v>
      </x:c>
      <x:c r="J50" s="24" t="n">
        <x:v>0</x:v>
      </x:c>
      <x:c r="K50" s="24" t="n">
        <x:v>0</x:v>
      </x:c>
      <x:c r="L50" s="3"/>
      <x:c r="M50" s="3"/>
    </x:row>
    <x:row r="51" ht="18" customHeight="1">
      <x:c r="A51" s="2"/>
      <x:c r="B51" s="2"/>
      <x:c r="C51" s="23" t="n">
        <x:v>2015</x:v>
      </x:c>
      <x:c r="D51" s="12" t="n">
        <x:v>7528.5</x:v>
      </x:c>
      <x:c r="E51" s="12" t="n">
        <x:v>9578.4</x:v>
      </x:c>
      <x:c r="F51" s="12" t="str">
        <x:v>Q2 FY26M</x:v>
      </x:c>
      <x:c r="G51" s="24" t="n">
        <x:v>0</x:v>
      </x:c>
      <x:c r="H51" s="24" t="n">
        <x:v>0.05555555555555554</x:v>
      </x:c>
      <x:c r="I51" s="24" t="n">
        <x:v>0.9305555555555556</x:v>
      </x:c>
      <x:c r="J51" s="24" t="n">
        <x:v>0.013888888888888888</x:v>
      </x:c>
      <x:c r="K51" s="24" t="n">
        <x:v>0</x:v>
      </x:c>
      <x:c r="L51" s="3"/>
      <x:c r="M51" s="3"/>
    </x:row>
    <x:row r="52" ht="18" customHeight="1">
      <x:c r="A52" s="2"/>
      <x:c r="B52" s="2"/>
      <x:c r="C52" s="23" t="n">
        <x:v>2016</x:v>
      </x:c>
      <x:c r="D52" s="12" t="n">
        <x:v>6883.3</x:v>
      </x:c>
      <x:c r="E52" s="12" t="n">
        <x:v>10296</x:v>
      </x:c>
      <x:c r="F52" s="12" t="str">
        <x:v>Q3 FY26M</x:v>
      </x:c>
      <x:c r="G52" s="24" t="n">
        <x:v>0</x:v>
      </x:c>
      <x:c r="H52" s="24" t="n">
        <x:v>0</x:v>
      </x:c>
      <x:c r="I52" s="24" t="n">
        <x:v>0.7916666666666666</x:v>
      </x:c>
      <x:c r="J52" s="24" t="n">
        <x:v>0.20833333333333331</x:v>
      </x:c>
      <x:c r="K52" s="24" t="n">
        <x:v>0</x:v>
      </x:c>
      <x:c r="L52" s="3"/>
      <x:c r="M52" s="3"/>
    </x:row>
    <x:row r="53" ht="18" customHeight="1">
      <x:c r="A53" s="2"/>
      <x:c r="B53" s="2"/>
      <x:c r="C53" s="23" t="n">
        <x:v>2017</x:v>
      </x:c>
      <x:c r="D53" s="12" t="n">
        <x:v>6089.2</x:v>
      </x:c>
      <x:c r="E53" s="12" t="n">
        <x:v>10738</x:v>
      </x:c>
      <x:c r="F53" s="12" t="str">
        <x:v>Q4 FY26M</x:v>
      </x:c>
      <x:c r="G53" s="24" t="n">
        <x:v>0</x:v>
      </x:c>
      <x:c r="H53" s="24" t="n">
        <x:v>0</x:v>
      </x:c>
      <x:c r="I53" s="24" t="n">
        <x:v>0.5416666666666667</x:v>
      </x:c>
      <x:c r="J53" s="24" t="n">
        <x:v>0.45833333333333337</x:v>
      </x:c>
      <x:c r="K53" s="24" t="n">
        <x:v>0</x:v>
      </x:c>
      <x:c r="L53" s="3"/>
      <x:c r="M53" s="3"/>
    </x:row>
    <x:row r="54" ht="18" customHeight="1">
      <x:c r="A54" s="2"/>
      <x:c r="B54" s="2"/>
      <x:c r="C54" s="23" t="n">
        <x:v>2018</x:v>
      </x:c>
      <x:c r="D54" s="12" t="n">
        <x:v>5310.3</x:v>
      </x:c>
      <x:c r="E54" s="12" t="n">
        <x:v>11609.2</x:v>
      </x:c>
      <x:c r="F54" s="12" t="str">
        <x:v>Q1 FY27E</x:v>
      </x:c>
      <x:c r="G54" s="24" t="n">
        <x:v>0</x:v>
      </x:c>
      <x:c r="H54" s="24" t="n">
        <x:v>0</x:v>
      </x:c>
      <x:c r="I54" s="24" t="n">
        <x:v>0.2916666666666667</x:v>
      </x:c>
      <x:c r="J54" s="24" t="n">
        <x:v>0.7083333333333334</x:v>
      </x:c>
      <x:c r="K54" s="24" t="n">
        <x:v>0</x:v>
      </x:c>
      <x:c r="L54" s="3"/>
      <x:c r="M54" s="3"/>
    </x:row>
    <x:row r="55" ht="18" customHeight="1">
      <x:c r="A55" s="2"/>
      <x:c r="B55" s="2"/>
      <x:c r="C55" s="23" t="n">
        <x:v>2019</x:v>
      </x:c>
      <x:c r="D55" s="12" t="n">
        <x:v>4719.7</x:v>
      </x:c>
      <x:c r="E55" s="12" t="n">
        <x:v>11910.5</x:v>
      </x:c>
      <x:c r="F55" s="12" t="str">
        <x:v>Q2 FY27E</x:v>
      </x:c>
      <x:c r="G55" s="24" t="n">
        <x:v>0</x:v>
      </x:c>
      <x:c r="H55" s="24" t="n">
        <x:v>0</x:v>
      </x:c>
      <x:c r="I55" s="24" t="n">
        <x:v>0.05555555555555554</x:v>
      </x:c>
      <x:c r="J55" s="24" t="n">
        <x:v>0.9305555555555556</x:v>
      </x:c>
      <x:c r="K55" s="24" t="n">
        <x:v>0.013888888888888888</x:v>
      </x:c>
      <x:c r="L55" s="3"/>
      <x:c r="M55" s="3"/>
    </x:row>
    <x:row r="56" ht="18" customHeight="1">
      <x:c r="A56" s="2"/>
      <x:c r="B56" s="2"/>
      <x:c r="C56" s="23" t="n">
        <x:v>2020</x:v>
      </x:c>
      <x:c r="D56" s="12" t="n">
        <x:v>3401.8</x:v>
      </x:c>
      <x:c r="E56" s="12" t="n">
        <x:v>10721.2</x:v>
      </x:c>
      <x:c r="F56" s="12" t="str">
        <x:v>Q3 FY27E</x:v>
      </x:c>
      <x:c r="G56" s="24" t="n">
        <x:v>0</x:v>
      </x:c>
      <x:c r="H56" s="24" t="n">
        <x:v>0</x:v>
      </x:c>
      <x:c r="I56" s="24" t="n">
        <x:v>0</x:v>
      </x:c>
      <x:c r="J56" s="24" t="n">
        <x:v>0.7916666666666666</x:v>
      </x:c>
      <x:c r="K56" s="24" t="n">
        <x:v>0.20833333333333331</x:v>
      </x:c>
      <x:c r="L56" s="3"/>
      <x:c r="M56" s="3"/>
    </x:row>
    <x:row r="57" ht="18" customHeight="1">
      <x:c r="A57" s="2"/>
      <x:c r="B57" s="2"/>
      <x:c r="C57" s="23" t="n">
        <x:v>2021</x:v>
      </x:c>
      <x:c r="D57" s="12" t="n">
        <x:v>3350.1</x:v>
      </x:c>
      <x:c r="E57" s="12" t="n">
        <x:v>11220.1</x:v>
      </x:c>
      <x:c r="F57" s="12" t="str">
        <x:v>Q4 FY27E</x:v>
      </x:c>
      <x:c r="G57" s="24" t="n">
        <x:v>0</x:v>
      </x:c>
      <x:c r="H57" s="24" t="n">
        <x:v>0</x:v>
      </x:c>
      <x:c r="I57" s="24" t="n">
        <x:v>0</x:v>
      </x:c>
      <x:c r="J57" s="24" t="n">
        <x:v>0.5416666666666667</x:v>
      </x:c>
      <x:c r="K57" s="24" t="n">
        <x:v>0.45833333333333337</x:v>
      </x:c>
      <x:c r="L57" s="3"/>
      <x:c r="M57" s="3"/>
    </x:row>
    <x:row r="58" ht="18" customHeight="1">
      <x:c r="A58" s="2"/>
      <x:c r="B58" s="2"/>
      <x:c r="C58" s="23" t="n">
        <x:v>2022</x:v>
      </x:c>
      <x:c r="D58" s="12" t="n">
        <x:v>2930.7</x:v>
      </x:c>
      <x:c r="E58" s="12" t="n">
        <x:v>10541.7</x:v>
      </x:c>
      <x:c r="F58" s="3"/>
      <x:c r="G58" s="3"/>
      <x:c r="H58" s="3"/>
      <x:c r="I58" s="3"/>
      <x:c r="J58" s="3"/>
      <x:c r="K58" s="3"/>
      <x:c r="L58" s="3"/>
      <x:c r="M58" s="3"/>
    </x:row>
    <x:row r="59" ht="18" customHeight="1">
      <x:c r="A59" s="2"/>
      <x:c r="B59" s="2"/>
      <x:c r="C59" s="23" t="n">
        <x:v>2023</x:v>
      </x:c>
      <x:c r="D59" s="12" t="n">
        <x:v>3184.6</x:v>
      </x:c>
      <x:c r="E59" s="12" t="n">
        <x:v>11983.4</x:v>
      </x:c>
      <x:c r="F59" s="3"/>
      <x:c r="G59" s="3"/>
      <x:c r="H59" s="3"/>
      <x:c r="I59" s="3"/>
      <x:c r="J59" s="3"/>
      <x:c r="K59" s="3"/>
      <x:c r="L59" s="3"/>
      <x:c r="M59" s="3"/>
    </x:row>
    <x:row r="60" ht="18" customHeight="1">
      <x:c r="A60" s="2"/>
      <x:c r="B60" s="2"/>
      <x:c r="C60" s="23" t="n">
        <x:v>2024</x:v>
      </x:c>
      <x:c r="D60" s="12" t="n">
        <x:v>3040.5</x:v>
      </x:c>
      <x:c r="E60" s="12" t="n">
        <x:v>12455.7</x:v>
      </x:c>
      <x:c r="F60" s="3"/>
      <x:c r="G60" s="3"/>
      <x:c r="H60" s="3"/>
      <x:c r="I60" s="3"/>
      <x:c r="J60" s="3"/>
      <x:c r="K60" s="3"/>
      <x:c r="L60" s="3"/>
      <x:c r="M60" s="3"/>
    </x:row>
    <x:row r="61" ht="18" customHeight="1">
      <x:c r="A61" s="2"/>
      <x:c r="B61" s="2"/>
      <x:c r="C61" s="23" t="n">
        <x:v>2025</x:v>
      </x:c>
      <x:c r="D61" s="12" t="n">
        <x:v>2764.4</x:v>
      </x:c>
      <x:c r="E61" s="12" t="n">
        <x:v>13090.5</x:v>
      </x:c>
      <x:c r="F61" s="3"/>
      <x:c r="G61" s="3"/>
      <x:c r="H61" s="3"/>
      <x:c r="I61" s="3"/>
      <x:c r="J61" s="3"/>
      <x:c r="K61" s="3"/>
      <x:c r="L61" s="3"/>
      <x:c r="M61" s="3"/>
    </x:row>
    <x:row r="62" ht="18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 ht="28" customHeight="1">
      <x:c r="A63" s="2"/>
      <x:c r="B63" s="2"/>
      <x:c r="C63" s="6" t="str">
        <x:v>Sources: data/csv/light_vehicle_sales_by_year.csv and ornl_tedb40_survival_by_age.csv in cprt-research. Ward’s/ORNL; later sales rescaled from FRED.</x:v>
      </x:c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</x:row>
    <x:row r="64" ht="18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 ht="28" customHeight="1">
      <x:c r="A65" s="2"/>
      <x:c r="B65" s="2"/>
      <x:c r="C65" s="6" t="str">
        <x:v>Timing weights average three monthly midpoints interpolated between calendar-year-end stocks. They are a timing convention, not observed quarterly claims.</x:v>
      </x:c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</x:row>
    <x:row r="66" ht="18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 ht="18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</x:sheetData>
  <x:mergeCells>
    <x:mergeCell ref="C2:K2"/>
    <x:mergeCell ref="C3:K3"/>
    <x:mergeCell ref="C63:M63"/>
    <x:mergeCell ref="C65:M6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4" t="str">
        <x:v>Repair evidence</x:v>
      </x:c>
      <x:c r="D2" s="4"/>
      <x:c r="E2" s="4"/>
      <x:c r="F2" s="4"/>
      <x:c r="G2" s="4"/>
      <x:c r="H2" s="4"/>
      <x:c r="I2" s="4"/>
      <x:c r="J2" s="4"/>
      <x:c r="K2" s="4"/>
      <x:c r="L2" s="2"/>
      <x:c r="M2" s="2"/>
    </x:row>
    <x:row r="3" ht="28" customHeight="1">
      <x:c r="A3" s="2"/>
      <x:c r="B3" s="2"/>
      <x:c r="C3" s="6" t="str">
        <x:v>CRSS police-crash involvement mix; AAA hypothetical complete estimates; CCC repairable-cost benchmark. Values only.</x:v>
      </x:c>
      <x:c r="D3" s="6"/>
      <x:c r="E3" s="6"/>
      <x:c r="F3" s="6"/>
      <x:c r="G3" s="6"/>
      <x:c r="H3" s="6"/>
      <x:c r="I3" s="6"/>
      <x:c r="J3" s="6"/>
      <x:c r="K3" s="6"/>
      <x:c r="L3" s="2"/>
      <x:c r="M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9" customHeight="1">
      <x:c r="A5" s="2"/>
      <x:c r="B5" s="2"/>
      <x:c r="C5" s="10" t="str">
        <x:v>Body</x:v>
      </x:c>
      <x:c r="D5" s="10" t="str">
        <x:v>Age</x:v>
      </x:c>
      <x:c r="E5" s="10" t="str">
        <x:v>Sample N</x:v>
      </x:c>
      <x:c r="F5" s="10" t="str">
        <x:v>Front share</x:v>
      </x:c>
      <x:c r="G5" s="10" t="str">
        <x:v>Rear share</x:v>
      </x:c>
      <x:c r="H5" s="10" t="str">
        <x:v>Front SE</x:v>
      </x:c>
      <x:c r="I5" s="10" t="str">
        <x:v>Rear SE</x:v>
      </x:c>
      <x:c r="J5" s="2"/>
      <x:c r="K5" s="2"/>
      <x:c r="L5" s="2"/>
      <x:c r="M5" s="2"/>
    </x:row>
    <x:row r="6" ht="18" customHeight="1">
      <x:c r="A6" s="2"/>
      <x:c r="B6" s="2"/>
      <x:c r="C6" s="112" t="str">
        <x:v>Car</x:v>
      </x:c>
      <x:c r="D6" s="12" t="str">
        <x:v>0-3</x:v>
      </x:c>
      <x:c r="E6" s="27" t="n">
        <x:v>6531</x:v>
      </x:c>
      <x:c r="F6" s="24" t="n">
        <x:v>0.4775003454677243</x:v>
      </x:c>
      <x:c r="G6" s="24" t="n">
        <x:v>0.3101732852980609</x:v>
      </x:c>
      <x:c r="H6" s="24" t="n">
        <x:v>0.008960213869336969</x:v>
      </x:c>
      <x:c r="I6" s="24" t="n">
        <x:v>0.008686760992077535</x:v>
      </x:c>
      <x:c r="J6" s="3"/>
      <x:c r="K6" s="3"/>
      <x:c r="L6" s="3"/>
      <x:c r="M6" s="3"/>
    </x:row>
    <x:row r="7" ht="18" customHeight="1">
      <x:c r="A7" s="2"/>
      <x:c r="B7" s="2"/>
      <x:c r="C7" s="112" t="str">
        <x:v>Car</x:v>
      </x:c>
      <x:c r="D7" s="12" t="str">
        <x:v>4-6</x:v>
      </x:c>
      <x:c r="E7" s="27" t="n">
        <x:v>5616</x:v>
      </x:c>
      <x:c r="F7" s="24" t="n">
        <x:v>0.5009204471343314</x:v>
      </x:c>
      <x:c r="G7" s="24" t="n">
        <x:v>0.28461466382819023</x:v>
      </x:c>
      <x:c r="H7" s="24" t="n">
        <x:v>0.008721919145831016</x:v>
      </x:c>
      <x:c r="I7" s="24" t="n">
        <x:v>0.011039341137046799</x:v>
      </x:c>
      <x:c r="J7" s="3"/>
      <x:c r="K7" s="3"/>
      <x:c r="L7" s="3"/>
      <x:c r="M7" s="3"/>
    </x:row>
    <x:row r="8" ht="18" customHeight="1">
      <x:c r="A8" s="2"/>
      <x:c r="B8" s="2"/>
      <x:c r="C8" s="112" t="str">
        <x:v>Car</x:v>
      </x:c>
      <x:c r="D8" s="12" t="str">
        <x:v>7-9</x:v>
      </x:c>
      <x:c r="E8" s="27" t="n">
        <x:v>6921</x:v>
      </x:c>
      <x:c r="F8" s="24" t="n">
        <x:v>0.5601009251398218</x:v>
      </x:c>
      <x:c r="G8" s="24" t="n">
        <x:v>0.24450049382216563</x:v>
      </x:c>
      <x:c r="H8" s="24" t="n">
        <x:v>0.0074446115556593825</x:v>
      </x:c>
      <x:c r="I8" s="24" t="n">
        <x:v>0.005798427978270959</x:v>
      </x:c>
      <x:c r="J8" s="3"/>
      <x:c r="K8" s="3"/>
      <x:c r="L8" s="3"/>
      <x:c r="M8" s="3"/>
    </x:row>
    <x:row r="9" ht="18" customHeight="1">
      <x:c r="A9" s="2"/>
      <x:c r="B9" s="2"/>
      <x:c r="C9" s="112" t="str">
        <x:v>Car</x:v>
      </x:c>
      <x:c r="D9" s="12" t="str">
        <x:v>10-12</x:v>
      </x:c>
      <x:c r="E9" s="27" t="n">
        <x:v>6417</x:v>
      </x:c>
      <x:c r="F9" s="24" t="n">
        <x:v>0.5952273336592409</x:v>
      </x:c>
      <x:c r="G9" s="24" t="n">
        <x:v>0.21063124226210966</x:v>
      </x:c>
      <x:c r="H9" s="24" t="n">
        <x:v>0.0061628880852579275</x:v>
      </x:c>
      <x:c r="I9" s="24" t="n">
        <x:v>0.007636655032650853</x:v>
      </x:c>
      <x:c r="J9" s="3"/>
      <x:c r="K9" s="3"/>
      <x:c r="L9" s="3"/>
      <x:c r="M9" s="3"/>
    </x:row>
    <x:row r="10" ht="18" customHeight="1">
      <x:c r="A10" s="2"/>
      <x:c r="B10" s="2"/>
      <x:c r="C10" s="112" t="str">
        <x:v>Car</x:v>
      </x:c>
      <x:c r="D10" s="12" t="str">
        <x:v>13+</x:v>
      </x:c>
      <x:c r="E10" s="27" t="n">
        <x:v>11268</x:v>
      </x:c>
      <x:c r="F10" s="24" t="n">
        <x:v>0.6169129410484442</x:v>
      </x:c>
      <x:c r="G10" s="24" t="n">
        <x:v>0.18900097475777472</x:v>
      </x:c>
      <x:c r="H10" s="24" t="n">
        <x:v>0.007558200420412094</x:v>
      </x:c>
      <x:c r="I10" s="24" t="n">
        <x:v>0.005813835639357766</x:v>
      </x:c>
      <x:c r="J10" s="3"/>
      <x:c r="K10" s="3"/>
      <x:c r="L10" s="3"/>
      <x:c r="M10" s="3"/>
    </x:row>
    <x:row r="11" ht="18" customHeight="1">
      <x:c r="A11" s="2"/>
      <x:c r="B11" s="2"/>
      <x:c r="C11" s="112" t="str">
        <x:v>SUV</x:v>
      </x:c>
      <x:c r="D11" s="12" t="str">
        <x:v>0-3</x:v>
      </x:c>
      <x:c r="E11" s="27" t="n">
        <x:v>8602</x:v>
      </x:c>
      <x:c r="F11" s="24" t="n">
        <x:v>0.4449791184075141</x:v>
      </x:c>
      <x:c r="G11" s="24" t="n">
        <x:v>0.35896395214158544</x:v>
      </x:c>
      <x:c r="H11" s="24" t="n">
        <x:v>0.007710578531780657</x:v>
      </x:c>
      <x:c r="I11" s="24" t="n">
        <x:v>0.009815142621501927</x:v>
      </x:c>
      <x:c r="J11" s="3"/>
      <x:c r="K11" s="3"/>
      <x:c r="L11" s="3"/>
      <x:c r="M11" s="3"/>
    </x:row>
    <x:row r="12" ht="18" customHeight="1">
      <x:c r="A12" s="2"/>
      <x:c r="B12" s="2"/>
      <x:c r="C12" s="112" t="str">
        <x:v>SUV</x:v>
      </x:c>
      <x:c r="D12" s="12" t="str">
        <x:v>4-6</x:v>
      </x:c>
      <x:c r="E12" s="27" t="n">
        <x:v>5187</x:v>
      </x:c>
      <x:c r="F12" s="24" t="n">
        <x:v>0.5104702629683658</x:v>
      </x:c>
      <x:c r="G12" s="24" t="n">
        <x:v>0.30550838361331</x:v>
      </x:c>
      <x:c r="H12" s="24" t="n">
        <x:v>0.008542262333016628</x:v>
      </x:c>
      <x:c r="I12" s="24" t="n">
        <x:v>0.012039563377292877</x:v>
      </x:c>
      <x:c r="J12" s="3"/>
      <x:c r="K12" s="3"/>
      <x:c r="L12" s="3"/>
      <x:c r="M12" s="3"/>
    </x:row>
    <x:row r="13" ht="18" customHeight="1">
      <x:c r="A13" s="2"/>
      <x:c r="B13" s="2"/>
      <x:c r="C13" s="112" t="str">
        <x:v>SUV</x:v>
      </x:c>
      <x:c r="D13" s="12" t="str">
        <x:v>7-9</x:v>
      </x:c>
      <x:c r="E13" s="27" t="n">
        <x:v>3655</x:v>
      </x:c>
      <x:c r="F13" s="24" t="n">
        <x:v>0.548968528955254</x:v>
      </x:c>
      <x:c r="G13" s="24" t="n">
        <x:v>0.28002817537478014</x:v>
      </x:c>
      <x:c r="H13" s="24" t="n">
        <x:v>0.010443945761182733</x:v>
      </x:c>
      <x:c r="I13" s="24" t="n">
        <x:v>0.010713300961924301</x:v>
      </x:c>
      <x:c r="J13" s="3"/>
      <x:c r="K13" s="3"/>
      <x:c r="L13" s="3"/>
      <x:c r="M13" s="3"/>
    </x:row>
    <x:row r="14" ht="18" customHeight="1">
      <x:c r="A14" s="2"/>
      <x:c r="B14" s="2"/>
      <x:c r="C14" s="112" t="str">
        <x:v>SUV</x:v>
      </x:c>
      <x:c r="D14" s="12" t="str">
        <x:v>10-12</x:v>
      </x:c>
      <x:c r="E14" s="27" t="n">
        <x:v>2284</x:v>
      </x:c>
      <x:c r="F14" s="24" t="n">
        <x:v>0.5551394649555154</x:v>
      </x:c>
      <x:c r="G14" s="24" t="n">
        <x:v>0.27137561638436586</x:v>
      </x:c>
      <x:c r="H14" s="24" t="n">
        <x:v>0.014823422820809949</x:v>
      </x:c>
      <x:c r="I14" s="24" t="n">
        <x:v>0.012764151420314587</x:v>
      </x:c>
      <x:c r="J14" s="3"/>
      <x:c r="K14" s="3"/>
      <x:c r="L14" s="3"/>
      <x:c r="M14" s="3"/>
    </x:row>
    <x:row r="15" ht="18" customHeight="1">
      <x:c r="A15" s="2"/>
      <x:c r="B15" s="2"/>
      <x:c r="C15" s="112" t="str">
        <x:v>SUV</x:v>
      </x:c>
      <x:c r="D15" s="12" t="str">
        <x:v>13+</x:v>
      </x:c>
      <x:c r="E15" s="27" t="n">
        <x:v>4548</x:v>
      </x:c>
      <x:c r="F15" s="24" t="n">
        <x:v>0.6034781964450527</x:v>
      </x:c>
      <x:c r="G15" s="24" t="n">
        <x:v>0.20637569041035483</x:v>
      </x:c>
      <x:c r="H15" s="24" t="n">
        <x:v>0.008252361943684887</x:v>
      </x:c>
      <x:c r="I15" s="24" t="n">
        <x:v>0.009242043924903548</x:v>
      </x:c>
      <x:c r="J15" s="3"/>
      <x:c r="K15" s="3"/>
      <x:c r="L15" s="3"/>
      <x:c r="M15" s="3"/>
    </x:row>
    <x:row r="16" ht="18" customHeight="1">
      <x:c r="A16" s="2"/>
      <x:c r="B16" s="2"/>
      <x:c r="C16" s="112" t="str">
        <x:v>Pickup</x:v>
      </x:c>
      <x:c r="D16" s="12" t="str">
        <x:v>0-3</x:v>
      </x:c>
      <x:c r="E16" s="27" t="n">
        <x:v>2318</x:v>
      </x:c>
      <x:c r="F16" s="24" t="n">
        <x:v>0.4901341267239842</x:v>
      </x:c>
      <x:c r="G16" s="24" t="n">
        <x:v>0.28625132938155484</x:v>
      </x:c>
      <x:c r="H16" s="24" t="n">
        <x:v>0.01824965940138521</x:v>
      </x:c>
      <x:c r="I16" s="24" t="n">
        <x:v>0.01422007429964307</x:v>
      </x:c>
      <x:c r="J16" s="3"/>
      <x:c r="K16" s="3"/>
      <x:c r="L16" s="3"/>
      <x:c r="M16" s="3"/>
    </x:row>
    <x:row r="17" ht="18" customHeight="1">
      <x:c r="A17" s="2"/>
      <x:c r="B17" s="2"/>
      <x:c r="C17" s="112" t="str">
        <x:v>Pickup</x:v>
      </x:c>
      <x:c r="D17" s="12" t="str">
        <x:v>4-6</x:v>
      </x:c>
      <x:c r="E17" s="27" t="n">
        <x:v>1735</x:v>
      </x:c>
      <x:c r="F17" s="24" t="n">
        <x:v>0.5114618252818169</x:v>
      </x:c>
      <x:c r="G17" s="24" t="n">
        <x:v>0.28608695992518196</x:v>
      </x:c>
      <x:c r="H17" s="24" t="n">
        <x:v>0.015477588457886035</x:v>
      </x:c>
      <x:c r="I17" s="24" t="n">
        <x:v>0.0113032242289217</x:v>
      </x:c>
      <x:c r="J17" s="3"/>
      <x:c r="K17" s="3"/>
      <x:c r="L17" s="3"/>
      <x:c r="M17" s="3"/>
    </x:row>
    <x:row r="18" ht="18" customHeight="1">
      <x:c r="A18" s="2"/>
      <x:c r="B18" s="2"/>
      <x:c r="C18" s="112" t="str">
        <x:v>Pickup</x:v>
      </x:c>
      <x:c r="D18" s="12" t="str">
        <x:v>7-9</x:v>
      </x:c>
      <x:c r="E18" s="27" t="n">
        <x:v>1366</x:v>
      </x:c>
      <x:c r="F18" s="24" t="n">
        <x:v>0.5734089038492839</x:v>
      </x:c>
      <x:c r="G18" s="24" t="n">
        <x:v>0.21300608127086687</x:v>
      </x:c>
      <x:c r="H18" s="24" t="n">
        <x:v>0.016819836697926055</x:v>
      </x:c>
      <x:c r="I18" s="24" t="n">
        <x:v>0.015255545200754006</x:v>
      </x:c>
      <x:c r="J18" s="3"/>
      <x:c r="K18" s="3"/>
      <x:c r="L18" s="3"/>
      <x:c r="M18" s="3"/>
    </x:row>
    <x:row r="19" ht="18" customHeight="1">
      <x:c r="A19" s="2"/>
      <x:c r="B19" s="2"/>
      <x:c r="C19" s="112" t="str">
        <x:v>Pickup</x:v>
      </x:c>
      <x:c r="D19" s="12" t="str">
        <x:v>10-12</x:v>
      </x:c>
      <x:c r="E19" s="27" t="n">
        <x:v>945</x:v>
      </x:c>
      <x:c r="F19" s="24" t="n">
        <x:v>0.5466849719817076</x:v>
      </x:c>
      <x:c r="G19" s="24" t="n">
        <x:v>0.2385944431331316</x:v>
      </x:c>
      <x:c r="H19" s="24" t="n">
        <x:v>0.019350366881511136</x:v>
      </x:c>
      <x:c r="I19" s="24" t="n">
        <x:v>0.017013625959555786</x:v>
      </x:c>
      <x:c r="J19" s="3"/>
      <x:c r="K19" s="3"/>
      <x:c r="L19" s="3"/>
      <x:c r="M19" s="3"/>
    </x:row>
    <x:row r="20" ht="18" customHeight="1">
      <x:c r="A20" s="2"/>
      <x:c r="B20" s="2"/>
      <x:c r="C20" s="112" t="str">
        <x:v>Pickup</x:v>
      </x:c>
      <x:c r="D20" s="12" t="str">
        <x:v>13+</x:v>
      </x:c>
      <x:c r="E20" s="27" t="n">
        <x:v>4286</x:v>
      </x:c>
      <x:c r="F20" s="24" t="n">
        <x:v>0.5844599024707864</x:v>
      </x:c>
      <x:c r="G20" s="24" t="n">
        <x:v>0.20607948362192843</x:v>
      </x:c>
      <x:c r="H20" s="24" t="n">
        <x:v>0.00937796245761978</x:v>
      </x:c>
      <x:c r="I20" s="24" t="n">
        <x:v>0.005586310280867396</x:v>
      </x:c>
      <x:c r="J20" s="3"/>
      <x:c r="K20" s="3"/>
      <x:c r="L20" s="3"/>
      <x:c r="M20" s="3"/>
    </x:row>
    <x:row r="21" ht="18" customHeight="1">
      <x:c r="A21" s="2"/>
      <x:c r="B21" s="2"/>
      <x:c r="C21" s="112" t="str">
        <x:v>Minivan</x:v>
      </x:c>
      <x:c r="D21" s="12" t="str">
        <x:v>0-3</x:v>
      </x:c>
      <x:c r="E21" s="27" t="n">
        <x:v>402</x:v>
      </x:c>
      <x:c r="F21" s="24" t="n">
        <x:v>0.41129797819361635</x:v>
      </x:c>
      <x:c r="G21" s="24" t="n">
        <x:v>0.3569074121701884</x:v>
      </x:c>
      <x:c r="H21" s="24" t="n">
        <x:v>0.023039637323077716</x:v>
      </x:c>
      <x:c r="I21" s="24" t="n">
        <x:v>0.023150955126147635</x:v>
      </x:c>
      <x:c r="J21" s="3"/>
      <x:c r="K21" s="3"/>
      <x:c r="L21" s="3"/>
      <x:c r="M21" s="3"/>
    </x:row>
    <x:row r="22" ht="18" customHeight="1">
      <x:c r="A22" s="2"/>
      <x:c r="B22" s="2"/>
      <x:c r="C22" s="112" t="str">
        <x:v>Minivan</x:v>
      </x:c>
      <x:c r="D22" s="12" t="str">
        <x:v>4-6</x:v>
      </x:c>
      <x:c r="E22" s="27" t="n">
        <x:v>311</x:v>
      </x:c>
      <x:c r="F22" s="24" t="n">
        <x:v>0.5698640503849913</x:v>
      </x:c>
      <x:c r="G22" s="24" t="n">
        <x:v>0.24715006544293433</x:v>
      </x:c>
      <x:c r="H22" s="24" t="n">
        <x:v>0.030577541590582166</x:v>
      </x:c>
      <x:c r="I22" s="24" t="n">
        <x:v>0.025149123255387523</x:v>
      </x:c>
      <x:c r="J22" s="3"/>
      <x:c r="K22" s="3"/>
      <x:c r="L22" s="3"/>
      <x:c r="M22" s="3"/>
    </x:row>
    <x:row r="23" ht="18" customHeight="1">
      <x:c r="A23" s="2"/>
      <x:c r="B23" s="2"/>
      <x:c r="C23" s="112" t="str">
        <x:v>Minivan</x:v>
      </x:c>
      <x:c r="D23" s="12" t="str">
        <x:v>7-9</x:v>
      </x:c>
      <x:c r="E23" s="27" t="n">
        <x:v>376</x:v>
      </x:c>
      <x:c r="F23" s="24" t="n">
        <x:v>0.5063098300079454</x:v>
      </x:c>
      <x:c r="G23" s="24" t="n">
        <x:v>0.34558315967998227</x:v>
      </x:c>
      <x:c r="H23" s="24" t="n">
        <x:v>0.030628187928951504</x:v>
      </x:c>
      <x:c r="I23" s="24" t="n">
        <x:v>0.03344511990801779</x:v>
      </x:c>
      <x:c r="J23" s="3"/>
      <x:c r="K23" s="3"/>
      <x:c r="L23" s="3"/>
      <x:c r="M23" s="3"/>
    </x:row>
    <x:row r="24" ht="18" customHeight="1">
      <x:c r="A24" s="2"/>
      <x:c r="B24" s="2"/>
      <x:c r="C24" s="112" t="str">
        <x:v>Minivan</x:v>
      </x:c>
      <x:c r="D24" s="12" t="str">
        <x:v>10-12</x:v>
      </x:c>
      <x:c r="E24" s="27" t="n">
        <x:v>322</x:v>
      </x:c>
      <x:c r="F24" s="24" t="n">
        <x:v>0.5826748151129704</x:v>
      </x:c>
      <x:c r="G24" s="24" t="n">
        <x:v>0.2513720148560518</x:v>
      </x:c>
      <x:c r="H24" s="24" t="n">
        <x:v>0.03672457109905342</x:v>
      </x:c>
      <x:c r="I24" s="24" t="n">
        <x:v>0.03036689059782091</x:v>
      </x:c>
      <x:c r="J24" s="3"/>
      <x:c r="K24" s="3"/>
      <x:c r="L24" s="3"/>
      <x:c r="M24" s="3"/>
    </x:row>
    <x:row r="25" ht="18" customHeight="1">
      <x:c r="A25" s="2"/>
      <x:c r="B25" s="2"/>
      <x:c r="C25" s="112" t="str">
        <x:v>Minivan</x:v>
      </x:c>
      <x:c r="D25" s="12" t="str">
        <x:v>13+</x:v>
      </x:c>
      <x:c r="E25" s="27" t="n">
        <x:v>785</x:v>
      </x:c>
      <x:c r="F25" s="24" t="n">
        <x:v>0.5710474882053105</x:v>
      </x:c>
      <x:c r="G25" s="24" t="n">
        <x:v>0.22369702261600222</x:v>
      </x:c>
      <x:c r="H25" s="24" t="n">
        <x:v>0.016639605671600034</x:v>
      </x:c>
      <x:c r="I25" s="24" t="n">
        <x:v>0.01950316140480291</x:v>
      </x:c>
      <x:c r="J25" s="3"/>
      <x:c r="K25" s="3"/>
      <x:c r="L25" s="3"/>
      <x:c r="M25" s="3"/>
    </x:row>
    <x:row r="26" ht="18" customHeight="1">
      <x:c r="A26" s="2"/>
      <x:c r="B26" s="2"/>
      <x:c r="C26" s="105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28" customHeight="1">
      <x:c r="A27" s="2"/>
      <x:c r="B27" s="2"/>
      <x:c r="C27" s="6" t="str">
        <x:v>CRSS2024: cohort_table.csv in repair_frequency_feasibility. Shares are survey estimates of initial impact in police crashes, not paid-claim repair frequencies.</x:v>
      </x:c>
      <x:c r="D27" s="21"/>
      <x:c r="E27" s="21"/>
      <x:c r="F27" s="21"/>
      <x:c r="G27" s="21"/>
      <x:c r="H27" s="21"/>
      <x:c r="I27" s="21"/>
      <x:c r="J27" s="21"/>
      <x:c r="K27" s="21"/>
      <x:c r="L27" s="3"/>
      <x:c r="M27" s="3"/>
    </x:row>
    <x:row r="28" ht="18" customHeight="1">
      <x:c r="A28" s="2"/>
      <x:c r="B28" s="2"/>
      <x:c r="C28" s="105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18" customHeight="1">
      <x:c r="A29" s="2"/>
      <x:c r="B29" s="2"/>
      <x:c r="C29" s="105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29" customHeight="1">
      <x:c r="A30" s="2"/>
      <x:c r="B30" s="2"/>
      <x:c r="C30" s="10" t="str">
        <x:v>AAA scope</x:v>
      </x:c>
      <x:c r="D30" s="25" t="str">
        <x:v>Camry ($)</x:v>
      </x:c>
      <x:c r="E30" s="25" t="str">
        <x:v>Rogue ($)</x:v>
      </x:c>
      <x:c r="F30" s="25" t="str">
        <x:v>F150 ($)</x:v>
      </x:c>
      <x:c r="G30" s="3"/>
      <x:c r="H30" s="3"/>
      <x:c r="I30" s="3"/>
      <x:c r="J30" s="3"/>
      <x:c r="K30" s="3"/>
      <x:c r="L30" s="3"/>
      <x:c r="M30" s="3"/>
    </x:row>
    <x:row r="31" ht="18" customHeight="1">
      <x:c r="A31" s="2"/>
      <x:c r="B31" s="2"/>
      <x:c r="C31" s="112" t="str">
        <x:v>Front impact</x:v>
      </x:c>
      <x:c r="D31" s="12" t="n">
        <x:v>10270.37</x:v>
      </x:c>
      <x:c r="E31" s="12" t="n">
        <x:v>10209.09</x:v>
      </x:c>
      <x:c r="F31" s="12" t="n">
        <x:v>14645.42</x:v>
      </x:c>
      <x:c r="G31" s="3"/>
      <x:c r="H31" s="3"/>
      <x:c r="I31" s="3"/>
      <x:c r="J31" s="3"/>
      <x:c r="K31" s="3"/>
      <x:c r="L31" s="3"/>
      <x:c r="M31" s="3"/>
    </x:row>
    <x:row r="32" ht="18" customHeight="1">
      <x:c r="A32" s="2"/>
      <x:c r="B32" s="2"/>
      <x:c r="C32" s="112" t="str">
        <x:v>Side mirror</x:v>
      </x:c>
      <x:c r="D32" s="12" t="n">
        <x:v>1028.81</x:v>
      </x:c>
      <x:c r="E32" s="12" t="n">
        <x:v>1583.53</x:v>
      </x:c>
      <x:c r="F32" s="12" t="n">
        <x:v>1910.3</x:v>
      </x:c>
      <x:c r="G32" s="3"/>
      <x:c r="H32" s="3"/>
      <x:c r="I32" s="3"/>
      <x:c r="J32" s="3"/>
      <x:c r="K32" s="3"/>
      <x:c r="L32" s="3"/>
      <x:c r="M32" s="3"/>
    </x:row>
    <x:row r="33" ht="18" customHeight="1">
      <x:c r="A33" s="2"/>
      <x:c r="B33" s="2"/>
      <x:c r="C33" s="112" t="str">
        <x:v>Rear impact</x:v>
      </x:c>
      <x:c r="D33" s="12" t="n">
        <x:v>1733.41</x:v>
      </x:c>
      <x:c r="E33" s="12" t="n">
        <x:v>1782.75</x:v>
      </x:c>
      <x:c r="F33" s="12" t="n">
        <x:v>1578.67</x:v>
      </x:c>
      <x:c r="G33" s="3"/>
      <x:c r="H33" s="3"/>
      <x:c r="I33" s="3"/>
      <x:c r="J33" s="3"/>
      <x:c r="K33" s="3"/>
      <x:c r="L33" s="3"/>
      <x:c r="M33" s="3"/>
    </x:row>
    <x:row r="34" ht="18" customHeight="1">
      <x:c r="A34" s="2"/>
      <x:c r="B34" s="2"/>
      <x:c r="C34" s="112" t="str">
        <x:v>Windshield</x:v>
      </x:c>
      <x:c r="D34" s="12" t="n">
        <x:v>1371.95</x:v>
      </x:c>
      <x:c r="E34" s="12" t="n">
        <x:v>1687.4</x:v>
      </x:c>
      <x:c r="F34" s="12" t="n">
        <x:v>1259.98</x:v>
      </x:c>
      <x:c r="G34" s="3"/>
      <x:c r="H34" s="3"/>
      <x:c r="I34" s="3"/>
      <x:c r="J34" s="3"/>
      <x:c r="K34" s="3"/>
      <x:c r="L34" s="3"/>
      <x:c r="M34" s="3"/>
    </x:row>
    <x:row r="35" ht="18" customHeight="1">
      <x:c r="A35" s="2"/>
      <x:c r="B35" s="2"/>
      <x:c r="C35" s="105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28" customHeight="1">
      <x:c r="A36" s="2"/>
      <x:c r="B36" s="2"/>
      <x:c r="C36" s="6" t="str">
        <x:v>AAA2023 report: newsroom.aaa.com/wp-content/uploads/2023/11/Report_Cost-of-ADAS-Repairs-FINAL-23.pdf. F150 detail/summary discrepancy remains unresolved.</x:v>
      </x:c>
      <x:c r="D36" s="21"/>
      <x:c r="E36" s="21"/>
      <x:c r="F36" s="21"/>
      <x:c r="G36" s="21"/>
      <x:c r="H36" s="21"/>
      <x:c r="I36" s="21"/>
      <x:c r="J36" s="21"/>
      <x:c r="K36" s="21"/>
      <x:c r="L36" s="3"/>
      <x:c r="M36" s="3"/>
    </x:row>
    <x:row r="37" ht="18" customHeight="1">
      <x:c r="A37" s="2"/>
      <x:c r="B37" s="2"/>
      <x:c r="C37" s="105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18" customHeight="1">
      <x:c r="A38" s="2"/>
      <x:c r="B38" s="2"/>
      <x:c r="C38" s="105" t="str">
        <x:v>CCC 7+ repairable mean ($)</x:v>
      </x:c>
      <x:c r="D38" s="12" t="n">
        <x:v>3682</x:v>
      </x:c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29" customHeight="1">
      <x:c r="A39" s="2"/>
      <x:c r="B39" s="2"/>
      <x:c r="C39" s="10" t="str">
        <x:v>Listing weights</x:v>
      </x:c>
      <x:c r="D39" s="25" t="str">
        <x:v>Car</x:v>
      </x:c>
      <x:c r="E39" s="25" t="str">
        <x:v>SUV / crossover</x:v>
      </x:c>
      <x:c r="F39" s="25" t="str">
        <x:v>Pickup</x:v>
      </x:c>
      <x:c r="G39" s="25" t="str">
        <x:v>Van</x:v>
      </x:c>
      <x:c r="H39" s="3"/>
      <x:c r="I39" s="3"/>
      <x:c r="J39" s="3"/>
      <x:c r="K39" s="3"/>
      <x:c r="L39" s="3"/>
      <x:c r="M39" s="3"/>
    </x:row>
    <x:row r="40" ht="18" customHeight="1">
      <x:c r="A40" s="2"/>
      <x:c r="B40" s="2"/>
      <x:c r="C40" s="105"/>
      <x:c r="D40" s="24" t="n">
        <x:v>0</x:v>
      </x:c>
      <x:c r="E40" s="24" t="n">
        <x:v>0.409</x:v>
      </x:c>
      <x:c r="F40" s="24" t="n">
        <x:v>0.109</x:v>
      </x:c>
      <x:c r="G40" s="24" t="n">
        <x:v>0.047</x:v>
      </x:c>
      <x:c r="H40" s="3"/>
      <x:c r="I40" s="3"/>
      <x:c r="J40" s="3"/>
      <x:c r="K40" s="3"/>
      <x:c r="L40" s="3"/>
      <x:c r="M40" s="3"/>
    </x:row>
    <x:row r="41" ht="18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28" customHeight="1">
      <x:c r="A42" s="2"/>
      <x:c r="B42" s="2"/>
      <x:c r="C42" s="6" t="str">
        <x:v>CCC Crash Course 2026 older-vehicle repair mean is assigned to cars by assumption. Listing weights are a Jan-2026 proxy, not historical exposure weights.</x:v>
      </x:c>
      <x:c r="D42" s="21"/>
      <x:c r="E42" s="21"/>
      <x:c r="F42" s="21"/>
      <x:c r="G42" s="21"/>
      <x:c r="H42" s="21"/>
      <x:c r="I42" s="21"/>
      <x:c r="J42" s="21"/>
      <x:c r="K42" s="21"/>
      <x:c r="L42" s="3"/>
      <x:c r="M42" s="3"/>
    </x:row>
    <x:row r="43" ht="18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18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18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</x:sheetData>
  <x:mergeCells>
    <x:mergeCell ref="C2:K2"/>
    <x:mergeCell ref="C3:K3"/>
    <x:mergeCell ref="C27:K27"/>
    <x:mergeCell ref="C36:K36"/>
    <x:mergeCell ref="C42:K4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5" hidden="0" customWidth="1"/>
    <x:col min="2" max="2" width="1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4" t="str">
        <x:v>Total-loss and fee sources</x:v>
      </x:c>
      <x:c r="D2" s="4"/>
      <x:c r="E2" s="4"/>
      <x:c r="F2" s="4"/>
      <x:c r="G2" s="4"/>
      <x:c r="H2" s="4"/>
      <x:c r="I2" s="4"/>
      <x:c r="J2" s="4"/>
      <x:c r="K2" s="4"/>
      <x:c r="L2" s="2"/>
      <x:c r="M2" s="2"/>
    </x:row>
    <x:row r="3" ht="28" customHeight="1">
      <x:c r="A3" s="2"/>
      <x:c r="B3" s="2"/>
      <x:c r="C3" s="6" t="str">
        <x:v>CCC2025 age buckets and the September-2026 buyer fee schedule. One buyer tier; values only.</x:v>
      </x:c>
      <x:c r="D3" s="6"/>
      <x:c r="E3" s="6"/>
      <x:c r="F3" s="6"/>
      <x:c r="G3" s="6"/>
      <x:c r="H3" s="6"/>
      <x:c r="I3" s="6"/>
      <x:c r="J3" s="6"/>
      <x:c r="K3" s="6"/>
      <x:c r="L3" s="2"/>
      <x:c r="M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9" customHeight="1">
      <x:c r="A5" s="2"/>
      <x:c r="B5" s="2"/>
      <x:c r="C5" s="10" t="str">
        <x:v>Age bucket</x:v>
      </x:c>
      <x:c r="D5" s="10" t="str">
        <x:v>CCC2025 TLF</x:v>
      </x:c>
      <x:c r="E5" s="2"/>
      <x:c r="F5" s="2"/>
      <x:c r="G5" s="2"/>
      <x:c r="H5" s="2"/>
      <x:c r="I5" s="2"/>
      <x:c r="J5" s="2"/>
      <x:c r="K5" s="2"/>
      <x:c r="L5" s="2"/>
      <x:c r="M5" s="2"/>
    </x:row>
    <x:row r="6" ht="18" customHeight="1">
      <x:c r="A6" s="2"/>
      <x:c r="B6" s="2"/>
      <x:c r="C6" s="112" t="str">
        <x:v>current_year_or_newer</x:v>
      </x:c>
      <x:c r="D6" s="24" t="n">
        <x:v>0.096</x:v>
      </x:c>
      <x:c r="E6" s="3"/>
      <x:c r="F6" s="3"/>
      <x:c r="G6" s="3"/>
      <x:c r="H6" s="3"/>
      <x:c r="I6" s="3"/>
      <x:c r="J6" s="3"/>
      <x:c r="K6" s="3"/>
      <x:c r="L6" s="3"/>
      <x:c r="M6" s="3"/>
    </x:row>
    <x:row r="7" ht="18" customHeight="1">
      <x:c r="A7" s="2"/>
      <x:c r="B7" s="2"/>
      <x:c r="C7" s="112" t="str">
        <x:v>1-3</x:v>
      </x:c>
      <x:c r="D7" s="24" t="n">
        <x:v>0.107</x:v>
      </x:c>
      <x:c r="E7" s="3"/>
      <x:c r="F7" s="3"/>
      <x:c r="G7" s="3"/>
      <x:c r="H7" s="3"/>
      <x:c r="I7" s="3"/>
      <x:c r="J7" s="3"/>
      <x:c r="K7" s="3"/>
      <x:c r="L7" s="3"/>
      <x:c r="M7" s="3"/>
    </x:row>
    <x:row r="8" ht="18" customHeight="1">
      <x:c r="A8" s="2"/>
      <x:c r="B8" s="2"/>
      <x:c r="C8" s="112" t="str">
        <x:v>4-6</x:v>
      </x:c>
      <x:c r="D8" s="24" t="n">
        <x:v>0.157</x:v>
      </x:c>
      <x:c r="E8" s="3"/>
      <x:c r="F8" s="3"/>
      <x:c r="G8" s="3"/>
      <x:c r="H8" s="3"/>
      <x:c r="I8" s="3"/>
      <x:c r="J8" s="3"/>
      <x:c r="K8" s="3"/>
      <x:c r="L8" s="3"/>
      <x:c r="M8" s="3"/>
    </x:row>
    <x:row r="9" ht="18" customHeight="1">
      <x:c r="A9" s="2"/>
      <x:c r="B9" s="2"/>
      <x:c r="C9" s="112" t="str">
        <x:v>7-9</x:v>
      </x:c>
      <x:c r="D9" s="24" t="n">
        <x:v>0.23399999999999999</x:v>
      </x:c>
      <x:c r="E9" s="3"/>
      <x:c r="F9" s="3"/>
      <x:c r="G9" s="3"/>
      <x:c r="H9" s="3"/>
      <x:c r="I9" s="3"/>
      <x:c r="J9" s="3"/>
      <x:c r="K9" s="3"/>
      <x:c r="L9" s="3"/>
      <x:c r="M9" s="3"/>
    </x:row>
    <x:row r="10" ht="18" customHeight="1">
      <x:c r="A10" s="2"/>
      <x:c r="B10" s="2"/>
      <x:c r="C10" s="112" t="str">
        <x:v>10-12</x:v>
      </x:c>
      <x:c r="D10" s="24" t="n">
        <x:v>0.32299999999999995</x:v>
      </x:c>
      <x:c r="E10" s="3"/>
      <x:c r="F10" s="3"/>
      <x:c r="G10" s="3"/>
      <x:c r="H10" s="3"/>
      <x:c r="I10" s="3"/>
      <x:c r="J10" s="3"/>
      <x:c r="K10" s="3"/>
      <x:c r="L10" s="3"/>
      <x:c r="M10" s="3"/>
    </x:row>
    <x:row r="11" ht="18" customHeight="1">
      <x:c r="A11" s="2"/>
      <x:c r="B11" s="2"/>
      <x:c r="C11" s="112" t="str">
        <x:v>13+</x:v>
      </x:c>
      <x:c r="D11" s="24" t="n">
        <x:v>0.45299999999999996</x:v>
      </x:c>
      <x:c r="E11" s="3"/>
      <x:c r="F11" s="3"/>
      <x:c r="G11" s="3"/>
      <x:c r="H11" s="3"/>
      <x:c r="I11" s="3"/>
      <x:c r="J11" s="3"/>
      <x:c r="K11" s="3"/>
      <x:c r="L11" s="3"/>
      <x:c r="M11" s="3"/>
    </x:row>
    <x:row r="12" ht="18" customHeight="1">
      <x:c r="A12" s="2"/>
      <x:c r="B12" s="2"/>
      <x:c r="C12" s="112" t="str">
        <x:v>total</x:v>
      </x:c>
      <x:c r="D12" s="24" t="n">
        <x:v>0.231</x:v>
      </x:c>
      <x:c r="E12" s="3"/>
      <x:c r="F12" s="3"/>
      <x:c r="G12" s="3"/>
      <x:c r="H12" s="3"/>
      <x:c r="I12" s="3"/>
      <x:c r="J12" s="3"/>
      <x:c r="K12" s="3"/>
      <x:c r="L12" s="3"/>
      <x:c r="M12" s="3"/>
    </x:row>
    <x:row r="13" ht="18" customHeight="1">
      <x:c r="A13" s="2"/>
      <x:c r="B13" s="2"/>
      <x:c r="C13" s="105"/>
      <x:c r="D13" s="3"/>
      <x:c r="E13" s="3"/>
      <x:c r="F13" s="3"/>
      <x:c r="G13" s="3"/>
      <x:c r="H13" s="3"/>
      <x:c r="I13" s="3"/>
      <x:c r="J13" s="3"/>
      <x:c r="K13" s="3"/>
      <x:c r="L13" s="3"/>
      <x:c r="M13" s="3"/>
    </x:row>
    <x:row r="14" ht="28" customHeight="1">
      <x:c r="A14" s="2"/>
      <x:c r="B14" s="2"/>
      <x:c r="C14" s="6" t="str">
        <x:v>CCC Crash Course 2026, Figure 19: cccis.com/reports/crash-course-2026. Bucket calibration does not validate the modeled body split.</x:v>
      </x:c>
      <x:c r="D14" s="21"/>
      <x:c r="E14" s="21"/>
      <x:c r="F14" s="21"/>
      <x:c r="G14" s="21"/>
      <x:c r="H14" s="21"/>
      <x:c r="I14" s="21"/>
      <x:c r="J14" s="21"/>
      <x:c r="K14" s="21"/>
      <x:c r="L14" s="3"/>
      <x:c r="M14" s="3"/>
    </x:row>
    <x:row r="15" ht="18" customHeight="1">
      <x:c r="A15" s="2"/>
      <x:c r="B15" s="2"/>
      <x:c r="C15" s="105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 ht="18" customHeight="1">
      <x:c r="A16" s="2"/>
      <x:c r="B16" s="2"/>
      <x:c r="C16" s="105"/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 ht="18" customHeight="1">
      <x:c r="A17" s="2"/>
      <x:c r="B17" s="2"/>
      <x:c r="C17" s="105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29" customHeight="1">
      <x:c r="A18" s="2"/>
      <x:c r="B18" s="2"/>
      <x:c r="C18" s="10" t="str">
        <x:v>Bid lower ($)</x:v>
      </x:c>
      <x:c r="D18" s="25" t="str">
        <x:v>Fixed fee ($)</x:v>
      </x:c>
      <x:c r="E18" s="25" t="str">
        <x:v>Rate</x:v>
      </x:c>
      <x:c r="F18" s="3"/>
      <x:c r="G18" s="25" t="str">
        <x:v>Prebid lower ($)</x:v>
      </x:c>
      <x:c r="H18" s="25" t="str">
        <x:v>Fee ($)</x:v>
      </x:c>
      <x:c r="I18" s="3"/>
      <x:c r="J18" s="3"/>
      <x:c r="K18" s="3"/>
      <x:c r="L18" s="3"/>
      <x:c r="M18" s="3"/>
    </x:row>
    <x:row r="19" ht="18" customHeight="1">
      <x:c r="A19" s="2"/>
      <x:c r="B19" s="2"/>
      <x:c r="C19" s="112" t="n">
        <x:v>0</x:v>
      </x:c>
      <x:c r="D19" s="12" t="n">
        <x:v>25</x:v>
      </x:c>
      <x:c r="E19" s="24" t="n">
        <x:v>0</x:v>
      </x:c>
      <x:c r="F19" s="3"/>
      <x:c r="G19" s="12" t="n">
        <x:v>0</x:v>
      </x:c>
      <x:c r="H19" s="12" t="n">
        <x:v>0</x:v>
      </x:c>
      <x:c r="I19" s="3"/>
      <x:c r="J19" s="3"/>
      <x:c r="K19" s="3"/>
      <x:c r="L19" s="3"/>
      <x:c r="M19" s="3"/>
    </x:row>
    <x:row r="20" ht="18" customHeight="1">
      <x:c r="A20" s="2"/>
      <x:c r="B20" s="2"/>
      <x:c r="C20" s="112" t="n">
        <x:v>50</x:v>
      </x:c>
      <x:c r="D20" s="12" t="n">
        <x:v>45</x:v>
      </x:c>
      <x:c r="E20" s="24" t="n">
        <x:v>0</x:v>
      </x:c>
      <x:c r="F20" s="3"/>
      <x:c r="G20" s="12" t="n">
        <x:v>100</x:v>
      </x:c>
      <x:c r="H20" s="12" t="n">
        <x:v>40</x:v>
      </x:c>
      <x:c r="I20" s="3"/>
      <x:c r="J20" s="3"/>
      <x:c r="K20" s="3"/>
      <x:c r="L20" s="3"/>
      <x:c r="M20" s="3"/>
    </x:row>
    <x:row r="21" ht="18" customHeight="1">
      <x:c r="A21" s="2"/>
      <x:c r="B21" s="2"/>
      <x:c r="C21" s="112" t="n">
        <x:v>100</x:v>
      </x:c>
      <x:c r="D21" s="12" t="n">
        <x:v>80</x:v>
      </x:c>
      <x:c r="E21" s="24" t="n">
        <x:v>0</x:v>
      </x:c>
      <x:c r="F21" s="3"/>
      <x:c r="G21" s="12" t="n">
        <x:v>500</x:v>
      </x:c>
      <x:c r="H21" s="12" t="n">
        <x:v>55</x:v>
      </x:c>
      <x:c r="I21" s="3"/>
      <x:c r="J21" s="3"/>
      <x:c r="K21" s="3"/>
      <x:c r="L21" s="3"/>
      <x:c r="M21" s="3"/>
    </x:row>
    <x:row r="22" ht="18" customHeight="1">
      <x:c r="A22" s="2"/>
      <x:c r="B22" s="2"/>
      <x:c r="C22" s="112" t="n">
        <x:v>200</x:v>
      </x:c>
      <x:c r="D22" s="12" t="n">
        <x:v>130</x:v>
      </x:c>
      <x:c r="E22" s="24" t="n">
        <x:v>0</x:v>
      </x:c>
      <x:c r="F22" s="3"/>
      <x:c r="G22" s="12" t="n">
        <x:v>1000</x:v>
      </x:c>
      <x:c r="H22" s="12" t="n">
        <x:v>75</x:v>
      </x:c>
      <x:c r="I22" s="3"/>
      <x:c r="J22" s="3"/>
      <x:c r="K22" s="3"/>
      <x:c r="L22" s="3"/>
      <x:c r="M22" s="3"/>
    </x:row>
    <x:row r="23" ht="18" customHeight="1">
      <x:c r="A23" s="2"/>
      <x:c r="B23" s="2"/>
      <x:c r="C23" s="112" t="n">
        <x:v>300</x:v>
      </x:c>
      <x:c r="D23" s="12" t="n">
        <x:v>137.5</x:v>
      </x:c>
      <x:c r="E23" s="24" t="n">
        <x:v>0</x:v>
      </x:c>
      <x:c r="F23" s="3"/>
      <x:c r="G23" s="12" t="n">
        <x:v>1500</x:v>
      </x:c>
      <x:c r="H23" s="12" t="n">
        <x:v>85</x:v>
      </x:c>
      <x:c r="I23" s="3"/>
      <x:c r="J23" s="3"/>
      <x:c r="K23" s="3"/>
      <x:c r="L23" s="3"/>
      <x:c r="M23" s="3"/>
    </x:row>
    <x:row r="24" ht="18" customHeight="1">
      <x:c r="A24" s="2"/>
      <x:c r="B24" s="2"/>
      <x:c r="C24" s="112" t="n">
        <x:v>350</x:v>
      </x:c>
      <x:c r="D24" s="12" t="n">
        <x:v>145</x:v>
      </x:c>
      <x:c r="E24" s="24" t="n">
        <x:v>0</x:v>
      </x:c>
      <x:c r="F24" s="3"/>
      <x:c r="G24" s="12" t="n">
        <x:v>2000</x:v>
      </x:c>
      <x:c r="H24" s="12" t="n">
        <x:v>100</x:v>
      </x:c>
      <x:c r="I24" s="3"/>
      <x:c r="J24" s="3"/>
      <x:c r="K24" s="3"/>
      <x:c r="L24" s="3"/>
      <x:c r="M24" s="3"/>
    </x:row>
    <x:row r="25" ht="18" customHeight="1">
      <x:c r="A25" s="2"/>
      <x:c r="B25" s="2"/>
      <x:c r="C25" s="112" t="n">
        <x:v>400</x:v>
      </x:c>
      <x:c r="D25" s="12" t="n">
        <x:v>175</x:v>
      </x:c>
      <x:c r="E25" s="24" t="n">
        <x:v>0</x:v>
      </x:c>
      <x:c r="F25" s="3"/>
      <x:c r="G25" s="12" t="n">
        <x:v>4000</x:v>
      </x:c>
      <x:c r="H25" s="12" t="n">
        <x:v>110</x:v>
      </x:c>
      <x:c r="I25" s="3"/>
      <x:c r="J25" s="3"/>
      <x:c r="K25" s="3"/>
      <x:c r="L25" s="3"/>
      <x:c r="M25" s="3"/>
    </x:row>
    <x:row r="26" ht="18" customHeight="1">
      <x:c r="A26" s="2"/>
      <x:c r="B26" s="2"/>
      <x:c r="C26" s="112" t="n">
        <x:v>450</x:v>
      </x:c>
      <x:c r="D26" s="12" t="n">
        <x:v>185</x:v>
      </x:c>
      <x:c r="E26" s="24" t="n">
        <x:v>0</x:v>
      </x:c>
      <x:c r="F26" s="3"/>
      <x:c r="G26" s="12" t="n">
        <x:v>6000</x:v>
      </x:c>
      <x:c r="H26" s="12" t="n">
        <x:v>125</x:v>
      </x:c>
      <x:c r="I26" s="3"/>
      <x:c r="J26" s="3"/>
      <x:c r="K26" s="3"/>
      <x:c r="L26" s="3"/>
      <x:c r="M26" s="3"/>
    </x:row>
    <x:row r="27" ht="18" customHeight="1">
      <x:c r="A27" s="2"/>
      <x:c r="B27" s="2"/>
      <x:c r="C27" s="112" t="n">
        <x:v>500</x:v>
      </x:c>
      <x:c r="D27" s="12" t="n">
        <x:v>205</x:v>
      </x:c>
      <x:c r="E27" s="24" t="n">
        <x:v>0</x:v>
      </x:c>
      <x:c r="F27" s="3"/>
      <x:c r="G27" s="12" t="n">
        <x:v>8000</x:v>
      </x:c>
      <x:c r="H27" s="12" t="n">
        <x:v>140</x:v>
      </x:c>
      <x:c r="I27" s="3"/>
      <x:c r="J27" s="3"/>
      <x:c r="K27" s="3"/>
      <x:c r="L27" s="3"/>
      <x:c r="M27" s="3"/>
    </x:row>
    <x:row r="28" ht="18" customHeight="1">
      <x:c r="A28" s="2"/>
      <x:c r="B28" s="2"/>
      <x:c r="C28" s="112" t="n">
        <x:v>550</x:v>
      </x:c>
      <x:c r="D28" s="12" t="n">
        <x:v>210</x:v>
      </x:c>
      <x:c r="E28" s="24" t="n">
        <x:v>0</x:v>
      </x:c>
      <x:c r="F28" s="3"/>
      <x:c r="G28" s="3"/>
      <x:c r="H28" s="3"/>
      <x:c r="I28" s="3"/>
      <x:c r="J28" s="3"/>
      <x:c r="K28" s="3"/>
      <x:c r="L28" s="3"/>
      <x:c r="M28" s="3"/>
    </x:row>
    <x:row r="29" ht="18" customHeight="1">
      <x:c r="A29" s="2"/>
      <x:c r="B29" s="2"/>
      <x:c r="C29" s="112" t="n">
        <x:v>600</x:v>
      </x:c>
      <x:c r="D29" s="12" t="n">
        <x:v>240</x:v>
      </x:c>
      <x:c r="E29" s="24" t="n">
        <x:v>0</x:v>
      </x:c>
      <x:c r="F29" s="3"/>
      <x:c r="G29" s="3"/>
      <x:c r="H29" s="3"/>
      <x:c r="I29" s="3"/>
      <x:c r="J29" s="3"/>
      <x:c r="K29" s="3"/>
      <x:c r="L29" s="3"/>
      <x:c r="M29" s="3"/>
    </x:row>
    <x:row r="30" ht="18" customHeight="1">
      <x:c r="A30" s="2"/>
      <x:c r="B30" s="2"/>
      <x:c r="C30" s="112" t="n">
        <x:v>700</x:v>
      </x:c>
      <x:c r="D30" s="12" t="n">
        <x:v>270</x:v>
      </x:c>
      <x:c r="E30" s="24" t="n">
        <x:v>0</x:v>
      </x:c>
      <x:c r="F30" s="3"/>
      <x:c r="G30" s="3" t="str">
        <x:v>Gate fee</x:v>
      </x:c>
      <x:c r="H30" s="12" t="n">
        <x:v>95</x:v>
      </x:c>
      <x:c r="I30" s="3"/>
      <x:c r="J30" s="3"/>
      <x:c r="K30" s="3"/>
      <x:c r="L30" s="3"/>
      <x:c r="M30" s="3"/>
    </x:row>
    <x:row r="31" ht="18" customHeight="1">
      <x:c r="A31" s="2"/>
      <x:c r="B31" s="2"/>
      <x:c r="C31" s="112" t="n">
        <x:v>800</x:v>
      </x:c>
      <x:c r="D31" s="12" t="n">
        <x:v>295</x:v>
      </x:c>
      <x:c r="E31" s="24" t="n">
        <x:v>0</x:v>
      </x:c>
      <x:c r="F31" s="3"/>
      <x:c r="G31" s="3" t="str">
        <x:v>Environment</x:v>
      </x:c>
      <x:c r="H31" s="12" t="n">
        <x:v>15</x:v>
      </x:c>
      <x:c r="I31" s="3"/>
      <x:c r="J31" s="3"/>
      <x:c r="K31" s="3"/>
      <x:c r="L31" s="3"/>
      <x:c r="M31" s="3"/>
    </x:row>
    <x:row r="32" ht="18" customHeight="1">
      <x:c r="A32" s="2"/>
      <x:c r="B32" s="2"/>
      <x:c r="C32" s="112" t="n">
        <x:v>900</x:v>
      </x:c>
      <x:c r="D32" s="12" t="n">
        <x:v>320</x:v>
      </x:c>
      <x:c r="E32" s="24" t="n">
        <x:v>0</x:v>
      </x:c>
      <x:c r="F32" s="3"/>
      <x:c r="G32" s="3"/>
      <x:c r="H32" s="3"/>
      <x:c r="I32" s="3"/>
      <x:c r="J32" s="3"/>
      <x:c r="K32" s="3"/>
      <x:c r="L32" s="3"/>
      <x:c r="M32" s="3"/>
    </x:row>
    <x:row r="33" ht="18" customHeight="1">
      <x:c r="A33" s="2"/>
      <x:c r="B33" s="2"/>
      <x:c r="C33" s="112" t="n">
        <x:v>1000</x:v>
      </x:c>
      <x:c r="D33" s="12" t="n">
        <x:v>375</x:v>
      </x:c>
      <x:c r="E33" s="24" t="n">
        <x:v>0</x:v>
      </x:c>
      <x:c r="F33" s="3"/>
      <x:c r="G33" s="3"/>
      <x:c r="H33" s="3"/>
      <x:c r="I33" s="3"/>
      <x:c r="J33" s="3"/>
      <x:c r="K33" s="3"/>
      <x:c r="L33" s="3"/>
      <x:c r="M33" s="3"/>
    </x:row>
    <x:row r="34" ht="18" customHeight="1">
      <x:c r="A34" s="2"/>
      <x:c r="B34" s="2"/>
      <x:c r="C34" s="112" t="n">
        <x:v>1200</x:v>
      </x:c>
      <x:c r="D34" s="12" t="n">
        <x:v>395</x:v>
      </x:c>
      <x:c r="E34" s="24" t="n">
        <x:v>0</x:v>
      </x:c>
      <x:c r="F34" s="3"/>
      <x:c r="G34" s="3"/>
      <x:c r="H34" s="3"/>
      <x:c r="I34" s="3"/>
      <x:c r="J34" s="3"/>
      <x:c r="K34" s="3"/>
      <x:c r="L34" s="3"/>
      <x:c r="M34" s="3"/>
    </x:row>
    <x:row r="35" ht="18" customHeight="1">
      <x:c r="A35" s="2"/>
      <x:c r="B35" s="2"/>
      <x:c r="C35" s="112" t="n">
        <x:v>1300</x:v>
      </x:c>
      <x:c r="D35" s="12" t="n">
        <x:v>410</x:v>
      </x:c>
      <x:c r="E35" s="24" t="n">
        <x:v>0</x:v>
      </x:c>
      <x:c r="F35" s="3"/>
      <x:c r="G35" s="3"/>
      <x:c r="H35" s="3"/>
      <x:c r="I35" s="3"/>
      <x:c r="J35" s="3"/>
      <x:c r="K35" s="3"/>
      <x:c r="L35" s="3"/>
      <x:c r="M35" s="3"/>
    </x:row>
    <x:row r="36" ht="18" customHeight="1">
      <x:c r="A36" s="2"/>
      <x:c r="B36" s="2"/>
      <x:c r="C36" s="112" t="n">
        <x:v>1400</x:v>
      </x:c>
      <x:c r="D36" s="12" t="n">
        <x:v>430</x:v>
      </x:c>
      <x:c r="E36" s="24" t="n">
        <x:v>0</x:v>
      </x:c>
      <x:c r="F36" s="3"/>
      <x:c r="G36" s="3"/>
      <x:c r="H36" s="3"/>
      <x:c r="I36" s="3"/>
      <x:c r="J36" s="3"/>
      <x:c r="K36" s="3"/>
      <x:c r="L36" s="3"/>
      <x:c r="M36" s="3"/>
    </x:row>
    <x:row r="37" ht="18" customHeight="1">
      <x:c r="A37" s="2"/>
      <x:c r="B37" s="2"/>
      <x:c r="C37" s="112" t="n">
        <x:v>1500</x:v>
      </x:c>
      <x:c r="D37" s="12" t="n">
        <x:v>445</x:v>
      </x:c>
      <x:c r="E37" s="24" t="n">
        <x:v>0</x:v>
      </x:c>
      <x:c r="F37" s="3"/>
      <x:c r="G37" s="3"/>
      <x:c r="H37" s="3"/>
      <x:c r="I37" s="3"/>
      <x:c r="J37" s="3"/>
      <x:c r="K37" s="3"/>
      <x:c r="L37" s="3"/>
      <x:c r="M37" s="3"/>
    </x:row>
    <x:row r="38" ht="18" customHeight="1">
      <x:c r="A38" s="2"/>
      <x:c r="B38" s="2"/>
      <x:c r="C38" s="112" t="n">
        <x:v>1600</x:v>
      </x:c>
      <x:c r="D38" s="12" t="n">
        <x:v>465</x:v>
      </x:c>
      <x:c r="E38" s="24" t="n">
        <x:v>0</x:v>
      </x:c>
      <x:c r="F38" s="3"/>
      <x:c r="G38" s="3"/>
      <x:c r="H38" s="3"/>
      <x:c r="I38" s="3"/>
      <x:c r="J38" s="3"/>
      <x:c r="K38" s="3"/>
      <x:c r="L38" s="3"/>
      <x:c r="M38" s="3"/>
    </x:row>
    <x:row r="39" ht="18" customHeight="1">
      <x:c r="A39" s="2"/>
      <x:c r="B39" s="2"/>
      <x:c r="C39" s="112" t="n">
        <x:v>1700</x:v>
      </x:c>
      <x:c r="D39" s="12" t="n">
        <x:v>485</x:v>
      </x:c>
      <x:c r="E39" s="24" t="n">
        <x:v>0</x:v>
      </x:c>
      <x:c r="F39" s="3"/>
      <x:c r="G39" s="3"/>
      <x:c r="H39" s="3"/>
      <x:c r="I39" s="3"/>
      <x:c r="J39" s="3"/>
      <x:c r="K39" s="3"/>
      <x:c r="L39" s="3"/>
      <x:c r="M39" s="3"/>
    </x:row>
    <x:row r="40" ht="18" customHeight="1">
      <x:c r="A40" s="2"/>
      <x:c r="B40" s="2"/>
      <x:c r="C40" s="112" t="n">
        <x:v>1800</x:v>
      </x:c>
      <x:c r="D40" s="12" t="n">
        <x:v>510</x:v>
      </x:c>
      <x:c r="E40" s="24" t="n">
        <x:v>0</x:v>
      </x:c>
      <x:c r="F40" s="3"/>
      <x:c r="G40" s="3"/>
      <x:c r="H40" s="3"/>
      <x:c r="I40" s="3"/>
      <x:c r="J40" s="3"/>
      <x:c r="K40" s="3"/>
      <x:c r="L40" s="3"/>
      <x:c r="M40" s="3"/>
    </x:row>
    <x:row r="41" ht="18" customHeight="1">
      <x:c r="A41" s="2"/>
      <x:c r="B41" s="2"/>
      <x:c r="C41" s="22" t="n">
        <x:v>2000</x:v>
      </x:c>
      <x:c r="D41" s="12" t="n">
        <x:v>535</x:v>
      </x:c>
      <x:c r="E41" s="24" t="n">
        <x:v>0</x:v>
      </x:c>
      <x:c r="F41" s="3"/>
      <x:c r="G41" s="3"/>
      <x:c r="H41" s="3"/>
      <x:c r="I41" s="3"/>
      <x:c r="J41" s="3"/>
      <x:c r="K41" s="3"/>
      <x:c r="L41" s="3"/>
      <x:c r="M41" s="3"/>
    </x:row>
    <x:row r="42" ht="18" customHeight="1">
      <x:c r="A42" s="2"/>
      <x:c r="B42" s="2"/>
      <x:c r="C42" s="22" t="n">
        <x:v>2400</x:v>
      </x:c>
      <x:c r="D42" s="12" t="n">
        <x:v>570</x:v>
      </x:c>
      <x:c r="E42" s="24" t="n">
        <x:v>0</x:v>
      </x:c>
      <x:c r="F42" s="3"/>
      <x:c r="G42" s="3"/>
      <x:c r="H42" s="3"/>
      <x:c r="I42" s="3"/>
      <x:c r="J42" s="3"/>
      <x:c r="K42" s="3"/>
      <x:c r="L42" s="3"/>
      <x:c r="M42" s="3"/>
    </x:row>
    <x:row r="43" ht="18" customHeight="1">
      <x:c r="A43" s="2"/>
      <x:c r="B43" s="2"/>
      <x:c r="C43" s="22" t="n">
        <x:v>2500</x:v>
      </x:c>
      <x:c r="D43" s="12" t="n">
        <x:v>610</x:v>
      </x:c>
      <x:c r="E43" s="24" t="n">
        <x:v>0</x:v>
      </x:c>
      <x:c r="F43" s="3"/>
      <x:c r="G43" s="3"/>
      <x:c r="H43" s="3"/>
      <x:c r="I43" s="3"/>
      <x:c r="J43" s="3"/>
      <x:c r="K43" s="3"/>
      <x:c r="L43" s="3"/>
      <x:c r="M43" s="3"/>
    </x:row>
    <x:row r="44" ht="18" customHeight="1">
      <x:c r="A44" s="2"/>
      <x:c r="B44" s="2"/>
      <x:c r="C44" s="22" t="n">
        <x:v>3000</x:v>
      </x:c>
      <x:c r="D44" s="12" t="n">
        <x:v>655</x:v>
      </x:c>
      <x:c r="E44" s="24" t="n">
        <x:v>0</x:v>
      </x:c>
      <x:c r="F44" s="3"/>
      <x:c r="G44" s="3"/>
      <x:c r="H44" s="3"/>
      <x:c r="I44" s="3"/>
      <x:c r="J44" s="3"/>
      <x:c r="K44" s="3"/>
      <x:c r="L44" s="3"/>
      <x:c r="M44" s="3"/>
    </x:row>
    <x:row r="45" ht="18" customHeight="1">
      <x:c r="A45" s="2"/>
      <x:c r="B45" s="2"/>
      <x:c r="C45" s="22" t="n">
        <x:v>3500</x:v>
      </x:c>
      <x:c r="D45" s="12" t="n">
        <x:v>705</x:v>
      </x:c>
      <x:c r="E45" s="24" t="n">
        <x:v>0</x:v>
      </x:c>
      <x:c r="F45" s="3"/>
      <x:c r="G45" s="3"/>
      <x:c r="H45" s="3"/>
      <x:c r="I45" s="3"/>
      <x:c r="J45" s="3"/>
      <x:c r="K45" s="3"/>
      <x:c r="L45" s="3"/>
      <x:c r="M45" s="3"/>
    </x:row>
    <x:row r="46" ht="18" customHeight="1">
      <x:c r="A46" s="2"/>
      <x:c r="B46" s="2"/>
      <x:c r="C46" s="22" t="n">
        <x:v>4000</x:v>
      </x:c>
      <x:c r="D46" s="12" t="n">
        <x:v>725</x:v>
      </x:c>
      <x:c r="E46" s="24" t="n">
        <x:v>0</x:v>
      </x:c>
      <x:c r="F46" s="3"/>
      <x:c r="G46" s="3"/>
      <x:c r="H46" s="3"/>
      <x:c r="I46" s="3"/>
      <x:c r="J46" s="3"/>
      <x:c r="K46" s="3"/>
      <x:c r="L46" s="3"/>
      <x:c r="M46" s="3"/>
    </x:row>
    <x:row r="47" ht="18" customHeight="1">
      <x:c r="A47" s="2"/>
      <x:c r="B47" s="2"/>
      <x:c r="C47" s="22" t="n">
        <x:v>4500</x:v>
      </x:c>
      <x:c r="D47" s="12" t="n">
        <x:v>750</x:v>
      </x:c>
      <x:c r="E47" s="24" t="n">
        <x:v>0</x:v>
      </x:c>
      <x:c r="F47" s="3"/>
      <x:c r="G47" s="3"/>
      <x:c r="H47" s="3"/>
      <x:c r="I47" s="3"/>
      <x:c r="J47" s="3"/>
      <x:c r="K47" s="3"/>
      <x:c r="L47" s="3"/>
      <x:c r="M47" s="3"/>
    </x:row>
    <x:row r="48" ht="18" customHeight="1">
      <x:c r="A48" s="2"/>
      <x:c r="B48" s="2"/>
      <x:c r="C48" s="22" t="n">
        <x:v>5000</x:v>
      </x:c>
      <x:c r="D48" s="12" t="n">
        <x:v>775</x:v>
      </x:c>
      <x:c r="E48" s="24" t="n">
        <x:v>0</x:v>
      </x:c>
      <x:c r="F48" s="3"/>
      <x:c r="G48" s="3"/>
      <x:c r="H48" s="3"/>
      <x:c r="I48" s="3"/>
      <x:c r="J48" s="3"/>
      <x:c r="K48" s="3"/>
      <x:c r="L48" s="3"/>
      <x:c r="M48" s="3"/>
    </x:row>
    <x:row r="49" ht="18" customHeight="1">
      <x:c r="A49" s="2"/>
      <x:c r="B49" s="2"/>
      <x:c r="C49" s="22" t="n">
        <x:v>5500</x:v>
      </x:c>
      <x:c r="D49" s="12" t="n">
        <x:v>800</x:v>
      </x:c>
      <x:c r="E49" s="24" t="n">
        <x:v>0</x:v>
      </x:c>
      <x:c r="F49" s="3"/>
      <x:c r="G49" s="3"/>
      <x:c r="H49" s="3"/>
      <x:c r="I49" s="3"/>
      <x:c r="J49" s="3"/>
      <x:c r="K49" s="3"/>
      <x:c r="L49" s="3"/>
      <x:c r="M49" s="3"/>
    </x:row>
    <x:row r="50" ht="18" customHeight="1">
      <x:c r="A50" s="2"/>
      <x:c r="B50" s="2"/>
      <x:c r="C50" s="22" t="n">
        <x:v>6000</x:v>
      </x:c>
      <x:c r="D50" s="12" t="n">
        <x:v>825</x:v>
      </x:c>
      <x:c r="E50" s="24" t="n">
        <x:v>0</x:v>
      </x:c>
      <x:c r="F50" s="3"/>
      <x:c r="G50" s="3"/>
      <x:c r="H50" s="3"/>
      <x:c r="I50" s="3"/>
      <x:c r="J50" s="3"/>
      <x:c r="K50" s="3"/>
      <x:c r="L50" s="3"/>
      <x:c r="M50" s="3"/>
    </x:row>
    <x:row r="51" ht="18" customHeight="1">
      <x:c r="A51" s="2"/>
      <x:c r="B51" s="2"/>
      <x:c r="C51" s="22" t="n">
        <x:v>6500</x:v>
      </x:c>
      <x:c r="D51" s="12" t="n">
        <x:v>845</x:v>
      </x:c>
      <x:c r="E51" s="24" t="n">
        <x:v>0</x:v>
      </x:c>
      <x:c r="F51" s="3"/>
      <x:c r="G51" s="3"/>
      <x:c r="H51" s="3"/>
      <x:c r="I51" s="3"/>
      <x:c r="J51" s="3"/>
      <x:c r="K51" s="3"/>
      <x:c r="L51" s="3"/>
      <x:c r="M51" s="3"/>
    </x:row>
    <x:row r="52" ht="18" customHeight="1">
      <x:c r="A52" s="2"/>
      <x:c r="B52" s="2"/>
      <x:c r="C52" s="22" t="n">
        <x:v>7000</x:v>
      </x:c>
      <x:c r="D52" s="12" t="n">
        <x:v>880</x:v>
      </x:c>
      <x:c r="E52" s="24" t="n">
        <x:v>0</x:v>
      </x:c>
      <x:c r="F52" s="3"/>
      <x:c r="G52" s="3"/>
      <x:c r="H52" s="3"/>
      <x:c r="I52" s="3"/>
      <x:c r="J52" s="3"/>
      <x:c r="K52" s="3"/>
      <x:c r="L52" s="3"/>
      <x:c r="M52" s="3"/>
    </x:row>
    <x:row r="53" ht="18" customHeight="1">
      <x:c r="A53" s="2"/>
      <x:c r="B53" s="2"/>
      <x:c r="C53" s="22" t="n">
        <x:v>7500</x:v>
      </x:c>
      <x:c r="D53" s="12" t="n">
        <x:v>900</x:v>
      </x:c>
      <x:c r="E53" s="24" t="n">
        <x:v>0</x:v>
      </x:c>
      <x:c r="F53" s="3"/>
      <x:c r="G53" s="3"/>
      <x:c r="H53" s="3"/>
      <x:c r="I53" s="3"/>
      <x:c r="J53" s="3"/>
      <x:c r="K53" s="3"/>
      <x:c r="L53" s="3"/>
      <x:c r="M53" s="3"/>
    </x:row>
    <x:row r="54" ht="18" customHeight="1">
      <x:c r="A54" s="2"/>
      <x:c r="B54" s="2"/>
      <x:c r="C54" s="22" t="n">
        <x:v>8000</x:v>
      </x:c>
      <x:c r="D54" s="12" t="n">
        <x:v>925</x:v>
      </x:c>
      <x:c r="E54" s="24" t="n">
        <x:v>0</x:v>
      </x:c>
      <x:c r="F54" s="3"/>
      <x:c r="G54" s="3"/>
      <x:c r="H54" s="3"/>
      <x:c r="I54" s="3"/>
      <x:c r="J54" s="3"/>
      <x:c r="K54" s="3"/>
      <x:c r="L54" s="3"/>
      <x:c r="M54" s="3"/>
    </x:row>
    <x:row r="55" ht="18" customHeight="1">
      <x:c r="A55" s="2"/>
      <x:c r="B55" s="2"/>
      <x:c r="C55" s="22" t="n">
        <x:v>8500</x:v>
      </x:c>
      <x:c r="D55" s="12" t="n">
        <x:v>945</x:v>
      </x:c>
      <x:c r="E55" s="24" t="n">
        <x:v>0</x:v>
      </x:c>
      <x:c r="F55" s="3"/>
      <x:c r="G55" s="3"/>
      <x:c r="H55" s="3"/>
      <x:c r="I55" s="3"/>
      <x:c r="J55" s="3"/>
      <x:c r="K55" s="3"/>
      <x:c r="L55" s="3"/>
      <x:c r="M55" s="3"/>
    </x:row>
    <x:row r="56" ht="18" customHeight="1">
      <x:c r="A56" s="2"/>
      <x:c r="B56" s="2"/>
      <x:c r="C56" s="22" t="n">
        <x:v>9000</x:v>
      </x:c>
      <x:c r="D56" s="12" t="n">
        <x:v>945</x:v>
      </x:c>
      <x:c r="E56" s="24" t="n">
        <x:v>0</x:v>
      </x:c>
      <x:c r="F56" s="3"/>
      <x:c r="G56" s="3"/>
      <x:c r="H56" s="3"/>
      <x:c r="I56" s="3"/>
      <x:c r="J56" s="3"/>
      <x:c r="K56" s="3"/>
      <x:c r="L56" s="3"/>
      <x:c r="M56" s="3"/>
    </x:row>
    <x:row r="57" ht="18" customHeight="1">
      <x:c r="A57" s="2"/>
      <x:c r="B57" s="2"/>
      <x:c r="C57" s="22" t="n">
        <x:v>10000</x:v>
      </x:c>
      <x:c r="D57" s="12" t="n">
        <x:v>1000</x:v>
      </x:c>
      <x:c r="E57" s="24" t="n">
        <x:v>0</x:v>
      </x:c>
      <x:c r="F57" s="3"/>
      <x:c r="G57" s="3"/>
      <x:c r="H57" s="3"/>
      <x:c r="I57" s="3"/>
      <x:c r="J57" s="3"/>
      <x:c r="K57" s="3"/>
      <x:c r="L57" s="3"/>
      <x:c r="M57" s="3"/>
    </x:row>
    <x:row r="58" ht="18" customHeight="1">
      <x:c r="A58" s="2"/>
      <x:c r="B58" s="2"/>
      <x:c r="C58" s="22" t="n">
        <x:v>10500</x:v>
      </x:c>
      <x:c r="D58" s="12" t="n">
        <x:v>1000</x:v>
      </x:c>
      <x:c r="E58" s="24" t="n">
        <x:v>0</x:v>
      </x:c>
      <x:c r="F58" s="3"/>
      <x:c r="G58" s="3"/>
      <x:c r="H58" s="3"/>
      <x:c r="I58" s="3"/>
      <x:c r="J58" s="3"/>
      <x:c r="K58" s="3"/>
      <x:c r="L58" s="3"/>
      <x:c r="M58" s="3"/>
    </x:row>
    <x:row r="59" ht="18" customHeight="1">
      <x:c r="A59" s="2"/>
      <x:c r="B59" s="2"/>
      <x:c r="C59" s="22" t="n">
        <x:v>11000</x:v>
      </x:c>
      <x:c r="D59" s="12" t="n">
        <x:v>1000</x:v>
      </x:c>
      <x:c r="E59" s="24" t="n">
        <x:v>0</x:v>
      </x:c>
      <x:c r="F59" s="3"/>
      <x:c r="G59" s="3"/>
      <x:c r="H59" s="3"/>
      <x:c r="I59" s="3"/>
      <x:c r="J59" s="3"/>
      <x:c r="K59" s="3"/>
      <x:c r="L59" s="3"/>
      <x:c r="M59" s="3"/>
    </x:row>
    <x:row r="60" ht="18" customHeight="1">
      <x:c r="A60" s="2"/>
      <x:c r="B60" s="2"/>
      <x:c r="C60" s="22" t="n">
        <x:v>11500</x:v>
      </x:c>
      <x:c r="D60" s="12" t="n">
        <x:v>1000</x:v>
      </x:c>
      <x:c r="E60" s="24" t="n">
        <x:v>0</x:v>
      </x:c>
      <x:c r="F60" s="3"/>
      <x:c r="G60" s="3"/>
      <x:c r="H60" s="3"/>
      <x:c r="I60" s="3"/>
      <x:c r="J60" s="3"/>
      <x:c r="K60" s="3"/>
      <x:c r="L60" s="3"/>
      <x:c r="M60" s="3"/>
    </x:row>
    <x:row r="61" ht="18" customHeight="1">
      <x:c r="A61" s="2"/>
      <x:c r="B61" s="2"/>
      <x:c r="C61" s="22" t="n">
        <x:v>12000</x:v>
      </x:c>
      <x:c r="D61" s="12" t="n">
        <x:v>1000</x:v>
      </x:c>
      <x:c r="E61" s="24" t="n">
        <x:v>0</x:v>
      </x:c>
      <x:c r="F61" s="3"/>
      <x:c r="G61" s="3"/>
      <x:c r="H61" s="3"/>
      <x:c r="I61" s="3"/>
      <x:c r="J61" s="3"/>
      <x:c r="K61" s="3"/>
      <x:c r="L61" s="3"/>
      <x:c r="M61" s="3"/>
    </x:row>
    <x:row r="62" ht="18" customHeight="1">
      <x:c r="A62" s="2"/>
      <x:c r="B62" s="2"/>
      <x:c r="C62" s="22" t="n">
        <x:v>12500</x:v>
      </x:c>
      <x:c r="D62" s="12" t="n">
        <x:v>1000</x:v>
      </x:c>
      <x:c r="E62" s="24" t="n">
        <x:v>0</x:v>
      </x:c>
      <x:c r="F62" s="3"/>
      <x:c r="G62" s="3"/>
      <x:c r="H62" s="3"/>
      <x:c r="I62" s="3"/>
      <x:c r="J62" s="3"/>
      <x:c r="K62" s="3"/>
      <x:c r="L62" s="3"/>
      <x:c r="M62" s="3"/>
    </x:row>
    <x:row r="63" ht="18" customHeight="1">
      <x:c r="A63" s="2"/>
      <x:c r="B63" s="2"/>
      <x:c r="C63" s="22" t="n">
        <x:v>15000</x:v>
      </x:c>
      <x:c r="D63" s="12" t="n">
        <x:v>0</x:v>
      </x:c>
      <x:c r="E63" s="24" t="n">
        <x:v>0.075</x:v>
      </x:c>
      <x:c r="F63" s="3"/>
      <x:c r="G63" s="3"/>
      <x:c r="H63" s="3"/>
      <x:c r="I63" s="3"/>
      <x:c r="J63" s="3"/>
      <x:c r="K63" s="3"/>
      <x:c r="L63" s="3"/>
      <x:c r="M63" s="3"/>
    </x:row>
    <x:row r="64" ht="18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 ht="18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 ht="18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 ht="18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 ht="18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 ht="18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 ht="18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 ht="28" customHeight="1">
      <x:c r="A71" s="2"/>
      <x:c r="B71" s="2"/>
      <x:c r="C71" s="6" t="str">
        <x:v>Copart US non-licensed / non-clean / standard / secured / prebid: copart.com/content/us/en/member-fees-us-non-licensed. Saved 26-Sep-2026.</x:v>
      </x:c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</x:row>
    <x:row r="72" ht="18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 ht="28" customHeight="1">
      <x:c r="A73" s="2"/>
      <x:c r="B73" s="2"/>
      <x:c r="C73" s="6" t="str">
        <x:v>Environmental $15 comes from the archived page text. Fee percentages are converted from 7.5 percentage points to 0.075. Other services and actual buyer-tier mix are not modeled.</x:v>
      </x:c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</x:row>
    <x:row r="74" ht="18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 ht="18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 ht="18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 ht="18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 ht="18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</x:sheetData>
  <x:mergeCells>
    <x:mergeCell ref="C2:K2"/>
    <x:mergeCell ref="C3:K3"/>
    <x:mergeCell ref="C14:K14"/>
    <x:mergeCell ref="C71:M71"/>
    <x:mergeCell ref="C73:M73"/>
  </x:mergeCells>
  <x:pageMargins left="0.7" right="0.7" top="0.75" bottom="0.75" header="0.3" footer="0.3"/>
</x:worksheet>
</file>